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yashi\OneDrive\Documents\"/>
    </mc:Choice>
  </mc:AlternateContent>
  <xr:revisionPtr revIDLastSave="0" documentId="13_ncr:1_{B6B67931-2B84-469A-9136-D01985DFA410}" xr6:coauthVersionLast="47" xr6:coauthVersionMax="47" xr10:uidLastSave="{00000000-0000-0000-0000-000000000000}"/>
  <bookViews>
    <workbookView xWindow="-108" yWindow="-108" windowWidth="23256" windowHeight="12456" activeTab="2" xr2:uid="{F5F3EA3A-0080-4615-B698-2B6F1085A611}"/>
  </bookViews>
  <sheets>
    <sheet name="retail_store_sales" sheetId="1" r:id="rId1"/>
    <sheet name="creating_table" sheetId="2" r:id="rId2"/>
    <sheet name="pivot_table" sheetId="4" r:id="rId3"/>
  </sheets>
  <definedNames>
    <definedName name="Slicer_Category">#N/A</definedName>
    <definedName name="Slicer_Loca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3" i="2" l="1"/>
  <c r="N12" i="2"/>
  <c r="N11" i="2"/>
  <c r="N10" i="2"/>
  <c r="N9" i="2"/>
  <c r="N8" i="2"/>
  <c r="N7" i="2"/>
  <c r="N6" i="2"/>
  <c r="N2" i="2"/>
  <c r="M2" i="2"/>
</calcChain>
</file>

<file path=xl/sharedStrings.xml><?xml version="1.0" encoding="utf-8"?>
<sst xmlns="http://schemas.openxmlformats.org/spreadsheetml/2006/main" count="12442" uniqueCount="1243">
  <si>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</si>
  <si>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</si>
  <si>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</si>
  <si>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</si>
  <si>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</si>
  <si>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</si>
  <si>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</si>
  <si>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</si>
  <si>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</si>
  <si>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</si>
  <si>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</si>
  <si>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</si>
  <si>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</si>
  <si>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</si>
  <si>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</si>
  <si>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</si>
  <si>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</si>
  <si>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</si>
  <si>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</si>
  <si>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</si>
  <si>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</si>
  <si>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</si>
  <si>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</si>
  <si>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</si>
  <si>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</si>
  <si>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</si>
  <si>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TXN_9458126</t>
  </si>
  <si>
    <t>CUST_06</t>
  </si>
  <si>
    <t>Beverages</t>
  </si>
  <si>
    <t>Item_16_BEV</t>
  </si>
  <si>
    <t>TXN_4575373</t>
  </si>
  <si>
    <t>CUST_05</t>
  </si>
  <si>
    <t>Food</t>
  </si>
  <si>
    <t>Item_6_FOOD</t>
  </si>
  <si>
    <t>TXN_7482416</t>
  </si>
  <si>
    <t>TXN_3652209</t>
  </si>
  <si>
    <t>CUST_07</t>
  </si>
  <si>
    <t>Item_1_FOOD</t>
  </si>
  <si>
    <t>In-store</t>
  </si>
  <si>
    <t>TXN_1372952</t>
  </si>
  <si>
    <t>CUST_21</t>
  </si>
  <si>
    <t>Furniture</t>
  </si>
  <si>
    <t>TXN_9728486</t>
  </si>
  <si>
    <t>CUST_23</t>
  </si>
  <si>
    <t>Item_16_FUR</t>
  </si>
  <si>
    <t>TXN_2722661</t>
  </si>
  <si>
    <t>CUST_25</t>
  </si>
  <si>
    <t>Item_22_BUT</t>
  </si>
  <si>
    <t>Cash</t>
  </si>
  <si>
    <t>TXN_8776416</t>
  </si>
  <si>
    <t>Item_3_BUT</t>
  </si>
  <si>
    <t>TXN_5422631</t>
  </si>
  <si>
    <t>TXN_5874772</t>
  </si>
  <si>
    <t>Item_2_FOOD</t>
  </si>
  <si>
    <t>TXN_4413070</t>
  </si>
  <si>
    <t>CUST_14</t>
  </si>
  <si>
    <t>Item_24_PAT</t>
  </si>
  <si>
    <t>TXN_2490363</t>
  </si>
  <si>
    <t>Item_16_MILK</t>
  </si>
  <si>
    <t>TXN_1809665</t>
  </si>
  <si>
    <t>TXN_7563311</t>
  </si>
  <si>
    <t>Item_17_PAT</t>
  </si>
  <si>
    <t>TXN_9634894</t>
  </si>
  <si>
    <t>CUST_15</t>
  </si>
  <si>
    <t>TXN_4396807</t>
  </si>
  <si>
    <t>CUST_17</t>
  </si>
  <si>
    <t>Electric household essentials</t>
  </si>
  <si>
    <t>Item_13_EHE</t>
  </si>
  <si>
    <t>TXN_4206593</t>
  </si>
  <si>
    <t>CUST_01</t>
  </si>
  <si>
    <t>TXN_9939063</t>
  </si>
  <si>
    <t>Item_7_BEV</t>
  </si>
  <si>
    <t>TXN_8685338</t>
  </si>
  <si>
    <t>TXN_6547964</t>
  </si>
  <si>
    <t>CUST_10</t>
  </si>
  <si>
    <t>Item_4_EHE</t>
  </si>
  <si>
    <t>TXN_3314099</t>
  </si>
  <si>
    <t>CUST_04</t>
  </si>
  <si>
    <t>Item_10_FOOD</t>
  </si>
  <si>
    <t>TXN_9980736</t>
  </si>
  <si>
    <t>CUST_13</t>
  </si>
  <si>
    <t>Item_14_FUR</t>
  </si>
  <si>
    <t>TXN_3481599</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</si>
  <si>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</si>
  <si>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</si>
  <si>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</si>
  <si>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</si>
  <si>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</si>
  <si>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</si>
  <si>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</si>
  <si>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</si>
  <si>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</si>
  <si>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</si>
  <si>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</si>
  <si>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</si>
  <si>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</si>
  <si>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</si>
  <si>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TXN_1543244</t>
  </si>
  <si>
    <t>CUST_20</t>
  </si>
  <si>
    <t>TXN_1494700</t>
  </si>
  <si>
    <t>CUST_12</t>
  </si>
  <si>
    <t>Item_21_EHE</t>
  </si>
  <si>
    <t>TXN_1621497</t>
  </si>
  <si>
    <t>TXN_6398436</t>
  </si>
  <si>
    <t>Item_25_BEV</t>
  </si>
  <si>
    <t>TXN_9065245</t>
  </si>
  <si>
    <t>Item_23_FOOD</t>
  </si>
  <si>
    <t>TXN_6963438</t>
  </si>
  <si>
    <t>CUST_11</t>
  </si>
  <si>
    <t>Item_10_FUR</t>
  </si>
  <si>
    <t>TXN_8312797</t>
  </si>
  <si>
    <t>Item_11_BEV</t>
  </si>
  <si>
    <t>TXN_5836005</t>
  </si>
  <si>
    <t>CUST_19</t>
  </si>
  <si>
    <t>Item_23_BUT</t>
  </si>
  <si>
    <t>TXN_4223250</t>
  </si>
  <si>
    <t>CUST_16</t>
  </si>
  <si>
    <t>Item_22_BEV</t>
  </si>
  <si>
    <t>TXN_1019817</t>
  </si>
  <si>
    <t>Item_10_EHE</t>
  </si>
  <si>
    <t>TXN_1110407</t>
  </si>
  <si>
    <t>Item_24_BUT</t>
  </si>
  <si>
    <t>TXN_6276518</t>
  </si>
  <si>
    <t>CUST_24</t>
  </si>
  <si>
    <t>Item_8_BEV</t>
  </si>
  <si>
    <t>TXN_4740738</t>
  </si>
  <si>
    <t>Item_3_FOOD</t>
  </si>
  <si>
    <t>TXN_9587232</t>
  </si>
  <si>
    <t>Item_12_FOOD</t>
  </si>
  <si>
    <t>TXN_6404316</t>
  </si>
  <si>
    <t>Computers and electric accessories</t>
  </si>
  <si>
    <t>Item_16_CEA</t>
  </si>
  <si>
    <t>TXN_9331642</t>
  </si>
  <si>
    <t>Item_11_PAT</t>
  </si>
  <si>
    <t>TXN_9729422</t>
  </si>
  <si>
    <t>Item_16_BUT</t>
  </si>
  <si>
    <t>TXN_8425168</t>
  </si>
  <si>
    <t>TXN_5379241</t>
  </si>
  <si>
    <t>TXN_8413369</t>
  </si>
  <si>
    <t>Item_5_CEA</t>
  </si>
  <si>
    <t>TXN_4836321</t>
  </si>
  <si>
    <t>TXN_9451794</t>
  </si>
  <si>
    <t>Item_19_MILK</t>
  </si>
  <si>
    <t>TXN_8218431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</si>
  <si>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</si>
  <si>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</si>
  <si>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</si>
  <si>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</si>
  <si>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</si>
  <si>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</si>
  <si>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</si>
  <si>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</si>
  <si>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</si>
  <si>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</si>
  <si>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</si>
  <si>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</si>
  <si>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</si>
  <si>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</si>
  <si>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</si>
  <si>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</si>
  <si>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</si>
  <si>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</si>
  <si>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</si>
  <si>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</si>
  <si>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</si>
  <si>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</si>
  <si>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</si>
  <si>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</si>
  <si>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CUST_03</t>
  </si>
  <si>
    <t>TXN_9908330</t>
  </si>
  <si>
    <t>Item_18_FOOD</t>
  </si>
  <si>
    <t>TXN_2016332</t>
  </si>
  <si>
    <t>Item_1_PAT</t>
  </si>
  <si>
    <t>TXN_7363165</t>
  </si>
  <si>
    <t>Item_4_BEV</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</si>
  <si>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</si>
  <si>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</si>
  <si>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</si>
  <si>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</si>
  <si>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</si>
  <si>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</si>
  <si>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</si>
  <si>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</si>
  <si>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</si>
  <si>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</si>
  <si>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</si>
  <si>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</si>
  <si>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</si>
  <si>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</si>
  <si>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</si>
  <si>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</si>
  <si>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TXN_4532214</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</si>
  <si>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</si>
  <si>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</si>
  <si>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</si>
  <si>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</si>
  <si>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</si>
  <si>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</si>
  <si>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</si>
  <si>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</si>
  <si>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</si>
  <si>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</si>
  <si>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</si>
  <si>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</si>
  <si>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</si>
  <si>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</si>
  <si>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</si>
  <si>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</si>
  <si>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</si>
  <si>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</si>
  <si>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</si>
  <si>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</si>
  <si>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</si>
  <si>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</si>
  <si>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</si>
  <si>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</si>
  <si>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</si>
  <si>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</si>
  <si>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</si>
  <si>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</si>
  <si>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</si>
  <si>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</si>
  <si>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</si>
  <si>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</si>
  <si>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</si>
  <si>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</si>
  <si>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</si>
  <si>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</si>
  <si>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</si>
  <si>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</si>
  <si>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</si>
  <si>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</si>
  <si>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</si>
  <si>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</si>
  <si>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</si>
  <si>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</si>
  <si>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</si>
  <si>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</si>
  <si>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TXN_5419965</t>
  </si>
  <si>
    <t>TXN_7655704</t>
  </si>
  <si>
    <t>Item_21_CEA</t>
  </si>
  <si>
    <t>TXN_8210621</t>
  </si>
  <si>
    <t>TXN_6908058</t>
  </si>
  <si>
    <t>Item_8_CEA</t>
  </si>
  <si>
    <t>TXN_9204828</t>
  </si>
  <si>
    <t>TXN_3208232</t>
  </si>
  <si>
    <t>Item_8_EHE</t>
  </si>
  <si>
    <t>TXN_8586300</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</si>
  <si>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</si>
  <si>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</si>
  <si>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</si>
  <si>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</si>
  <si>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</si>
  <si>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</si>
  <si>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</si>
  <si>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</si>
  <si>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</si>
  <si>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</si>
  <si>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</si>
  <si>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</si>
  <si>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</si>
  <si>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</si>
  <si>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</si>
  <si>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</si>
  <si>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</si>
  <si>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</si>
  <si>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</si>
  <si>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</si>
  <si>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</si>
  <si>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</si>
  <si>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</si>
  <si>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</si>
  <si>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</si>
  <si>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</si>
  <si>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</si>
  <si>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</si>
  <si>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</si>
  <si>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</si>
  <si>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TXN_1154680</t>
  </si>
  <si>
    <t>TXN_9177662</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</si>
  <si>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</si>
  <si>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</si>
  <si>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</si>
  <si>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</si>
  <si>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</si>
  <si>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</si>
  <si>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</si>
  <si>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</si>
  <si>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</si>
  <si>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</si>
  <si>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</si>
  <si>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</si>
  <si>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</si>
  <si>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</si>
  <si>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</si>
  <si>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</si>
  <si>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</si>
  <si>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</si>
  <si>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</si>
  <si>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</si>
  <si>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</si>
  <si>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</si>
  <si>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</si>
  <si>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</si>
  <si>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</si>
  <si>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</si>
  <si>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</si>
  <si>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</si>
  <si>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</si>
  <si>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</si>
  <si>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</si>
  <si>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</si>
  <si>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</si>
  <si>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</si>
  <si>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</si>
  <si>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</si>
  <si>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</si>
  <si>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</si>
  <si>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</si>
  <si>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</si>
  <si>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</si>
  <si>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</si>
  <si>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</si>
  <si>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</si>
  <si>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</si>
  <si>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</si>
  <si>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</si>
  <si>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</si>
  <si>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</si>
  <si>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</si>
  <si>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</si>
  <si>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</si>
  <si>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</si>
  <si>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TXN_1175914</t>
  </si>
  <si>
    <t>TXN_9760482</t>
  </si>
  <si>
    <t>Item_11_CEA</t>
  </si>
  <si>
    <t>TXN_8460432</t>
  </si>
  <si>
    <t>TXN_9610555</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</si>
  <si>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</si>
  <si>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</si>
  <si>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</si>
  <si>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</si>
  <si>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</si>
  <si>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</si>
  <si>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</si>
  <si>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</si>
  <si>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</si>
  <si>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</si>
  <si>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</si>
  <si>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</si>
  <si>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</si>
  <si>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</si>
  <si>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</si>
  <si>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</si>
  <si>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</si>
  <si>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</si>
  <si>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</si>
  <si>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</si>
  <si>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</si>
  <si>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</si>
  <si>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</si>
  <si>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</si>
  <si>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</si>
  <si>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</si>
  <si>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</si>
  <si>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</si>
  <si>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</si>
  <si>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</si>
  <si>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</si>
  <si>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</si>
  <si>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</si>
  <si>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</si>
  <si>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</si>
  <si>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</si>
  <si>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</si>
  <si>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</si>
  <si>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</si>
  <si>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</si>
  <si>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</si>
  <si>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</si>
  <si>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</si>
  <si>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</si>
  <si>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</si>
  <si>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</si>
  <si>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</si>
  <si>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</si>
  <si>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</si>
  <si>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</si>
  <si>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</si>
  <si>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</si>
  <si>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</si>
  <si>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</si>
  <si>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</si>
  <si>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</si>
  <si>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</si>
  <si>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</si>
  <si>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</si>
  <si>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</si>
  <si>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</si>
  <si>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</si>
  <si>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</si>
  <si>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</si>
  <si>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</si>
  <si>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</si>
  <si>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</si>
  <si>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TXN_1811555</t>
  </si>
  <si>
    <t>TXN_4878744</t>
  </si>
  <si>
    <t>TXN_9246169</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</si>
  <si>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</si>
  <si>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</si>
  <si>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</si>
  <si>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</si>
  <si>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</si>
  <si>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</si>
  <si>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</si>
  <si>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</si>
  <si>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</si>
  <si>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</si>
  <si>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</si>
  <si>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</si>
  <si>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</si>
  <si>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</si>
  <si>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</si>
  <si>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</si>
  <si>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</si>
  <si>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</si>
  <si>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</si>
  <si>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</si>
  <si>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</si>
  <si>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TXN_9410785</t>
  </si>
  <si>
    <t>TXN_1536301</t>
  </si>
  <si>
    <t>TXN_6001621</t>
  </si>
  <si>
    <t>TXN_2077907</t>
  </si>
  <si>
    <t>TXN_6429566</t>
  </si>
  <si>
    <t>TXN_4476611</t>
  </si>
  <si>
    <t>TXN_9130896</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</si>
  <si>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</si>
  <si>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</si>
  <si>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</si>
  <si>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</si>
  <si>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</si>
  <si>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</si>
  <si>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</si>
  <si>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</si>
  <si>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</si>
  <si>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</si>
  <si>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</si>
  <si>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</si>
  <si>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</si>
  <si>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</si>
  <si>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</si>
  <si>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</si>
  <si>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</si>
  <si>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</si>
  <si>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</si>
  <si>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</si>
  <si>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TXN_3096445</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</si>
  <si>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</si>
  <si>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</si>
  <si>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</si>
  <si>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</si>
  <si>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</si>
  <si>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</si>
  <si>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</si>
  <si>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</si>
  <si>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</si>
  <si>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</si>
  <si>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</si>
  <si>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</si>
  <si>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</si>
  <si>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</si>
  <si>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</si>
  <si>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</si>
  <si>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</si>
  <si>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TXN_8838958</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</si>
  <si>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</si>
  <si>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</si>
  <si>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</si>
  <si>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</si>
  <si>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</si>
  <si>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</si>
  <si>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</si>
  <si>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</si>
  <si>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</si>
  <si>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</si>
  <si>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</si>
  <si>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</si>
  <si>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</si>
  <si>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</si>
  <si>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</si>
  <si>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</si>
  <si>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</si>
  <si>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</si>
  <si>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</si>
  <si>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</si>
  <si>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</si>
  <si>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</si>
  <si>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</si>
  <si>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</si>
  <si>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</si>
  <si>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</si>
  <si>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</si>
  <si>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</si>
  <si>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</si>
  <si>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</si>
  <si>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</si>
  <si>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</si>
  <si>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</si>
  <si>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</si>
  <si>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</si>
  <si>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</si>
  <si>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</si>
  <si>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</si>
  <si>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</si>
  <si>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</si>
  <si>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</si>
  <si>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</si>
  <si>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</si>
  <si>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</si>
  <si>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</si>
  <si>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</si>
  <si>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</si>
  <si>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</si>
  <si>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</si>
  <si>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</si>
  <si>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TXN_4351153</t>
  </si>
  <si>
    <t>TXN_5823559</t>
  </si>
  <si>
    <t>TXN_6830801</t>
  </si>
  <si>
    <t>TXN_7480229</t>
  </si>
  <si>
    <t>TXN_9970141</t>
  </si>
  <si>
    <t>TXN_1841098</t>
  </si>
  <si>
    <t>TXN_4374445</t>
  </si>
  <si>
    <t>TXN_2496138</t>
  </si>
  <si>
    <t>TXN_9041908</t>
  </si>
  <si>
    <t>TXN_6035994</t>
  </si>
  <si>
    <t>TXN_3834320</t>
  </si>
  <si>
    <t>TXN_3456177</t>
  </si>
  <si>
    <t>TXN_6615809</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</si>
  <si>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</si>
  <si>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</si>
  <si>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</si>
  <si>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</si>
  <si>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</si>
  <si>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</si>
  <si>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</si>
  <si>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</si>
  <si>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</si>
  <si>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</si>
  <si>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</si>
  <si>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</si>
  <si>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</si>
  <si>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</si>
  <si>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</si>
  <si>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</si>
  <si>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</si>
  <si>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</si>
  <si>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</si>
  <si>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</si>
  <si>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TXN_6908704</t>
  </si>
  <si>
    <t>TXN_6596970</t>
  </si>
  <si>
    <t>TXN_1742336</t>
  </si>
  <si>
    <t>TXN_7738273</t>
  </si>
  <si>
    <t>TXN_2232768</t>
  </si>
  <si>
    <t>TXN_4863238</t>
  </si>
  <si>
    <t>TXN_9409545</t>
  </si>
  <si>
    <t>TXN_5426614</t>
  </si>
  <si>
    <t>TXN_1712455</t>
  </si>
  <si>
    <t>TXN_7017598</t>
  </si>
  <si>
    <t>TXN_7222601</t>
  </si>
  <si>
    <t>TXN_7864933</t>
  </si>
  <si>
    <t>Item_17_BEV</t>
  </si>
  <si>
    <t>TXN_7383288</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</si>
  <si>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</si>
  <si>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</si>
  <si>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</si>
  <si>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</si>
  <si>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</si>
  <si>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</si>
  <si>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</si>
  <si>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</si>
  <si>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</si>
  <si>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</si>
  <si>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</si>
  <si>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</si>
  <si>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</si>
  <si>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</si>
  <si>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</si>
  <si>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</si>
  <si>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</si>
  <si>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</si>
  <si>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</si>
  <si>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</si>
  <si>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</si>
  <si>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</si>
  <si>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</si>
  <si>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</si>
  <si>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</si>
  <si>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</si>
  <si>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</si>
  <si>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</si>
  <si>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</si>
  <si>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</si>
  <si>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</si>
  <si>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</si>
  <si>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</si>
  <si>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</si>
  <si>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</si>
  <si>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</si>
  <si>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</si>
  <si>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</si>
  <si>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</si>
  <si>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</si>
  <si>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TXN_2771813</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</si>
  <si>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</si>
  <si>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</si>
  <si>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</si>
  <si>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</si>
  <si>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</si>
  <si>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</si>
  <si>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</si>
  <si>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</si>
  <si>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</si>
  <si>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</si>
  <si>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</si>
  <si>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</si>
  <si>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</si>
  <si>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</si>
  <si>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</si>
  <si>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</si>
  <si>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</si>
  <si>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</si>
  <si>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</si>
  <si>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</si>
  <si>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</si>
  <si>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</si>
  <si>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</si>
  <si>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</si>
  <si>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</si>
  <si>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</si>
  <si>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TXN_2346263</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</si>
  <si>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</si>
  <si>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</si>
  <si>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</si>
  <si>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</si>
  <si>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</si>
  <si>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</si>
  <si>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</si>
  <si>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</si>
  <si>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</si>
  <si>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</si>
  <si>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</si>
  <si>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</si>
  <si>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</si>
  <si>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</si>
  <si>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</si>
  <si>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</si>
  <si>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</si>
  <si>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TXN_3171192</t>
  </si>
  <si>
    <t>TXN_5547887</t>
  </si>
  <si>
    <t>TXN_2009395</t>
  </si>
  <si>
    <t>TXN_1354667</t>
  </si>
  <si>
    <t>TXN_1597974</t>
  </si>
  <si>
    <t>Item_18_MILK</t>
  </si>
  <si>
    <t>TXN_3795673</t>
  </si>
  <si>
    <t>TXN_7725571</t>
  </si>
  <si>
    <t>TXN_5827116</t>
  </si>
  <si>
    <t>TXN_5314835</t>
  </si>
  <si>
    <t>TXN_4897743</t>
  </si>
  <si>
    <t>TXN_1565398</t>
  </si>
  <si>
    <t>TXN_5579136</t>
  </si>
  <si>
    <t>TXN_9472812</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</si>
  <si>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</si>
  <si>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</si>
  <si>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</si>
  <si>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</si>
  <si>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</si>
  <si>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</si>
  <si>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</si>
  <si>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</si>
  <si>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</si>
  <si>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</si>
  <si>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</si>
  <si>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</si>
  <si>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</si>
  <si>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</si>
  <si>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</si>
  <si>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</si>
  <si>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</si>
  <si>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</si>
  <si>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</si>
  <si>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</si>
  <si>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</si>
  <si>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</si>
  <si>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</si>
  <si>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</si>
  <si>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</si>
  <si>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</si>
  <si>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</si>
  <si>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</si>
  <si>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</si>
  <si>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</si>
  <si>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</si>
  <si>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</si>
  <si>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TXN_3948610</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</si>
  <si>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</si>
  <si>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</si>
  <si>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</si>
  <si>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</si>
  <si>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</si>
  <si>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</si>
  <si>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</si>
  <si>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</si>
  <si>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</si>
  <si>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</si>
  <si>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</si>
  <si>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</si>
  <si>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</si>
  <si>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</si>
  <si>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</si>
  <si>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</si>
  <si>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</si>
  <si>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</si>
  <si>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</si>
  <si>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</si>
  <si>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</si>
  <si>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</si>
  <si>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</si>
  <si>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</si>
  <si>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</si>
  <si>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</si>
  <si>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</si>
  <si>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</si>
  <si>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</si>
  <si>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</si>
  <si>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</si>
  <si>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</si>
  <si>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</si>
  <si>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</si>
  <si>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</si>
  <si>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</si>
  <si>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</si>
  <si>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</si>
  <si>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</si>
  <si>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</si>
  <si>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</si>
  <si>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</si>
  <si>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</si>
  <si>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</si>
  <si>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</si>
  <si>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</si>
  <si>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</si>
  <si>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</si>
  <si>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</si>
  <si>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</si>
  <si>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</si>
  <si>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</si>
  <si>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</si>
  <si>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</si>
  <si>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</si>
  <si>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</si>
  <si>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</si>
  <si>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</si>
  <si>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</si>
  <si>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</si>
  <si>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</si>
  <si>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</si>
  <si>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</si>
  <si>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</si>
  <si>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</si>
  <si>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</si>
  <si>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</si>
  <si>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</si>
  <si>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</si>
  <si>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</si>
  <si>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</si>
  <si>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</si>
  <si>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</si>
  <si>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</si>
  <si>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</si>
  <si>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</si>
  <si>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</si>
  <si>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</si>
  <si>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</si>
  <si>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</si>
  <si>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</si>
  <si>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</si>
  <si>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</si>
  <si>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</si>
  <si>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</si>
  <si>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</si>
  <si>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</si>
  <si>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</si>
  <si>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</si>
  <si>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</si>
  <si>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</si>
  <si>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</si>
  <si>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</si>
  <si>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</si>
  <si>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</si>
  <si>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</si>
  <si>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</si>
  <si>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</si>
  <si>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</si>
  <si>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</si>
  <si>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</si>
  <si>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</si>
  <si>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</si>
  <si>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</si>
  <si>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</si>
  <si>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</si>
  <si>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TXN_5034035</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</si>
  <si>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</si>
  <si>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</si>
  <si>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</si>
  <si>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</si>
  <si>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</si>
  <si>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</si>
  <si>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</si>
  <si>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</si>
  <si>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</si>
  <si>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</si>
  <si>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</si>
  <si>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</si>
  <si>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</si>
  <si>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</si>
  <si>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</si>
  <si>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</si>
  <si>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</si>
  <si>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</si>
  <si>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</si>
  <si>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</si>
  <si>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</si>
  <si>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</si>
  <si>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</si>
  <si>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</si>
  <si>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</si>
  <si>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</si>
  <si>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</si>
  <si>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</si>
  <si>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</si>
  <si>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</si>
  <si>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</si>
  <si>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</si>
  <si>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</si>
  <si>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</si>
  <si>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TXN_9923470</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</si>
  <si>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</si>
  <si>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</si>
  <si>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</si>
  <si>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</si>
  <si>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</si>
  <si>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</si>
  <si>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</si>
  <si>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</si>
  <si>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</si>
  <si>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</si>
  <si>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</si>
  <si>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</si>
  <si>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</si>
  <si>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</si>
  <si>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</si>
  <si>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</si>
  <si>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</si>
  <si>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</si>
  <si>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</si>
  <si>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</si>
  <si>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</si>
  <si>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</si>
  <si>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</si>
  <si>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</si>
  <si>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</si>
  <si>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</si>
  <si>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</si>
  <si>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</si>
  <si>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</si>
  <si>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</si>
  <si>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</si>
  <si>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</si>
  <si>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</si>
  <si>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</si>
  <si>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</si>
  <si>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</si>
  <si>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</si>
  <si>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</si>
  <si>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</si>
  <si>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</si>
  <si>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</si>
  <si>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</si>
  <si>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</si>
  <si>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</si>
  <si>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</si>
  <si>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</si>
  <si>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</si>
  <si>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</si>
  <si>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</si>
  <si>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</si>
  <si>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</si>
  <si>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</si>
  <si>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</si>
  <si>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</si>
  <si>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</si>
  <si>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</si>
  <si>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</si>
  <si>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</si>
  <si>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</si>
  <si>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</si>
  <si>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</si>
  <si>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</si>
  <si>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</si>
  <si>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</si>
  <si>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</si>
  <si>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</si>
  <si>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</si>
  <si>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</si>
  <si>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</si>
  <si>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</si>
  <si>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</si>
  <si>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</si>
  <si>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</si>
  <si>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</si>
  <si>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</si>
  <si>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</si>
  <si>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</si>
  <si>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</si>
  <si>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</si>
  <si>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</si>
  <si>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</si>
  <si>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</si>
  <si>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</si>
  <si>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</si>
  <si>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</si>
  <si>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</si>
  <si>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</si>
  <si>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TXN_9671023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</si>
  <si>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</si>
  <si>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</si>
  <si>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</si>
  <si>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</si>
  <si>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</si>
  <si>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</si>
  <si>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</si>
  <si>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</si>
  <si>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</si>
  <si>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</si>
  <si>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</si>
  <si>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</si>
  <si>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</si>
  <si>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</si>
  <si>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</si>
  <si>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</si>
  <si>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</si>
  <si>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</si>
  <si>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TXN_8482271</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</si>
  <si>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</si>
  <si>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</si>
  <si>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</si>
  <si>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</si>
  <si>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</si>
  <si>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</si>
  <si>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</si>
  <si>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</si>
  <si>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</si>
  <si>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</si>
  <si>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</si>
  <si>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</si>
  <si>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</si>
  <si>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</si>
  <si>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</si>
  <si>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</si>
  <si>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</si>
  <si>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</si>
  <si>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</si>
  <si>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</si>
  <si>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</si>
  <si>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</si>
  <si>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</si>
  <si>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</si>
  <si>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</si>
  <si>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</si>
  <si>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</si>
  <si>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</si>
  <si>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</si>
  <si>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</si>
  <si>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</si>
  <si>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</si>
  <si>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</si>
  <si>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</si>
  <si>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</si>
  <si>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</si>
  <si>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</si>
  <si>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</si>
  <si>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</si>
  <si>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</si>
  <si>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</si>
  <si>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</si>
  <si>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</si>
  <si>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</si>
  <si>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</si>
  <si>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</si>
  <si>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</si>
  <si>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</si>
  <si>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</si>
  <si>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</si>
  <si>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</si>
  <si>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</si>
  <si>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</si>
  <si>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</si>
  <si>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</si>
  <si>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</si>
  <si>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</si>
  <si>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TXN_7068372</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</si>
  <si>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</si>
  <si>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</si>
  <si>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</si>
  <si>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</si>
  <si>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</si>
  <si>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</si>
  <si>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</si>
  <si>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</si>
  <si>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</si>
  <si>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</si>
  <si>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</si>
  <si>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</si>
  <si>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</si>
  <si>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</si>
  <si>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</si>
  <si>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</si>
  <si>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</si>
  <si>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TXN_6417831</t>
  </si>
  <si>
    <t>TXN_4848504</t>
  </si>
  <si>
    <t>TXN_3238663</t>
  </si>
  <si>
    <t>TXN_7461424</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</si>
  <si>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</si>
  <si>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</si>
  <si>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</si>
  <si>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</si>
  <si>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</si>
  <si>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</si>
  <si>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</si>
  <si>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</si>
  <si>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</si>
  <si>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</si>
  <si>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</si>
  <si>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</si>
  <si>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</si>
  <si>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</si>
  <si>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</si>
  <si>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</si>
  <si>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</si>
  <si>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</si>
  <si>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</si>
  <si>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</si>
  <si>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</si>
  <si>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</si>
  <si>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</si>
  <si>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</si>
  <si>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</si>
  <si>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</si>
  <si>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</si>
  <si>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</si>
  <si>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</si>
  <si>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</si>
  <si>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</si>
  <si>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</si>
  <si>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</si>
  <si>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</si>
  <si>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</si>
  <si>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</si>
  <si>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</si>
  <si>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</si>
  <si>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</si>
  <si>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</si>
  <si>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</si>
  <si>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</si>
  <si>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</si>
  <si>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</si>
  <si>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</si>
  <si>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</si>
  <si>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</si>
  <si>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TXN_7705441</t>
  </si>
  <si>
    <t>TXN_2914395</t>
  </si>
  <si>
    <t>TXN_8624505</t>
  </si>
  <si>
    <t>TXN_4104691</t>
  </si>
  <si>
    <t>Item_9_BEV</t>
  </si>
  <si>
    <t>TXN_7557655</t>
  </si>
  <si>
    <t>TXN_9637396</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</si>
  <si>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</si>
  <si>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</si>
  <si>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</si>
  <si>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</si>
  <si>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</si>
  <si>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</si>
  <si>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</si>
  <si>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</si>
  <si>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</si>
  <si>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</si>
  <si>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</si>
  <si>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</si>
  <si>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</si>
  <si>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</si>
  <si>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</si>
  <si>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</si>
  <si>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</si>
  <si>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</si>
  <si>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</si>
  <si>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TXN_1909279</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</si>
  <si>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</si>
  <si>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</si>
  <si>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</si>
  <si>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</si>
  <si>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</si>
  <si>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</si>
  <si>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</si>
  <si>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</si>
  <si>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</si>
  <si>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</si>
  <si>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</si>
  <si>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</si>
  <si>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</si>
  <si>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</si>
  <si>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</si>
  <si>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</si>
  <si>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</si>
  <si>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</si>
  <si>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</si>
  <si>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</si>
  <si>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</si>
  <si>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</si>
  <si>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</si>
  <si>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</si>
  <si>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</si>
  <si>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</si>
  <si>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</si>
  <si>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</si>
  <si>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</si>
  <si>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</si>
  <si>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TXN_1534681</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</si>
  <si>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</si>
  <si>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</si>
  <si>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</si>
  <si>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</si>
  <si>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</si>
  <si>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</si>
  <si>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</si>
  <si>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</si>
  <si>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</si>
  <si>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</si>
  <si>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</si>
  <si>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</si>
  <si>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</si>
  <si>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</si>
  <si>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</si>
  <si>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</si>
  <si>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</si>
  <si>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</si>
  <si>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</si>
  <si>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</si>
  <si>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</si>
  <si>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TXN_2515470</t>
  </si>
  <si>
    <t>TXN_4235666</t>
  </si>
  <si>
    <t>TXN_6576597</t>
  </si>
  <si>
    <t>TXN_2823534</t>
  </si>
  <si>
    <t>TXN_7633119</t>
  </si>
  <si>
    <t>TXN_8110567</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</si>
  <si>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</si>
  <si>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</si>
  <si>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</si>
  <si>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</si>
  <si>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</si>
  <si>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</si>
  <si>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</si>
  <si>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</si>
  <si>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</si>
  <si>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</si>
  <si>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</si>
  <si>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</si>
  <si>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</si>
  <si>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</si>
  <si>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</si>
  <si>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</si>
  <si>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</si>
  <si>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TXN_3499525</t>
  </si>
  <si>
    <t>TXN_9218611</t>
  </si>
  <si>
    <t>TXN_2165118</t>
  </si>
  <si>
    <t>TXN_1096977</t>
  </si>
  <si>
    <t>TXN_1772882</t>
  </si>
  <si>
    <t>TXN_8988049</t>
  </si>
  <si>
    <t>TXN_7477131</t>
  </si>
  <si>
    <t>TXN_9887959</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</si>
  <si>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</si>
  <si>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</si>
  <si>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</si>
  <si>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</si>
  <si>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</si>
  <si>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</si>
  <si>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</si>
  <si>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</si>
  <si>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</si>
  <si>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</si>
  <si>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</si>
  <si>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</si>
  <si>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</si>
  <si>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</si>
  <si>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</si>
  <si>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TXN_1995311</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</si>
  <si>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</si>
  <si>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</si>
  <si>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</si>
  <si>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</si>
  <si>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</si>
  <si>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</si>
  <si>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</si>
  <si>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</si>
  <si>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</si>
  <si>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</si>
  <si>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</si>
  <si>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</si>
  <si>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</si>
  <si>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</si>
  <si>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</si>
  <si>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</si>
  <si>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</si>
  <si>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</si>
  <si>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TXN_2677539</t>
  </si>
  <si>
    <t>TXN_8355918</t>
  </si>
  <si>
    <t>TXN_6666458</t>
  </si>
  <si>
    <t>TXN_9941031</t>
  </si>
  <si>
    <t>TXN_8295482</t>
  </si>
  <si>
    <t>TXN_5747894</t>
  </si>
  <si>
    <t>TXN_8420316</t>
  </si>
  <si>
    <t>TXN_8847569</t>
  </si>
  <si>
    <t>TXN_1662766</t>
  </si>
  <si>
    <t>TXN_6276011</t>
  </si>
  <si>
    <t>Null</t>
  </si>
  <si>
    <t>Sum</t>
  </si>
  <si>
    <t>Average</t>
  </si>
  <si>
    <t>sum</t>
  </si>
  <si>
    <t>Row Labels</t>
  </si>
  <si>
    <t>Grand Total</t>
  </si>
  <si>
    <t>Count of Total Spent</t>
  </si>
  <si>
    <t>Count of Payment Method</t>
  </si>
  <si>
    <t>Count of Discount Applied</t>
  </si>
  <si>
    <t>Sum of Total Spent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</si>
</sst>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applyAlignment="1">
      <alignment horizontal="center"/>
    </xf>
    <xf numFmtId="0" fontId="0" fillId="0" borderId="0" xfId="0" applyAlignment="1">
      <alignment horizontal="left"/>
    </xf>
    <xf numFmtId="0" fontId="0" fillId="0" borderId="0" xfId="0" applyAlignment="1">
      <alignment horizontal="right"/>
    </xf>
    <xf numFmtId="14" fontId="0" fillId="0" borderId="0" xfId="0" applyNumberFormat="1" applyAlignment="1">
      <alignment horizontal="right"/>
    </xf>
    <xf numFmtId="0" fontId="0" fillId="0" borderId="10" xfId="0" applyFont="1" applyBorder="1" applyAlignment="1">
      <alignment horizontal="left"/>
    </xf>
    <xf numFmtId="0" fontId="0" fillId="33" borderId="10" xfId="0" applyFont="1" applyFill="1" applyBorder="1" applyAlignment="1">
      <alignment horizontal="left"/>
    </xf>
    <xf numFmtId="0" fontId="0" fillId="0" borderId="11" xfId="0" applyFont="1" applyBorder="1" applyAlignment="1">
      <alignment horizontal="left"/>
    </xf>
    <xf numFmtId="0" fontId="0" fillId="0" borderId="0" xfId="0" applyBorder="1"/>
    <xf numFmtId="0" fontId="0" fillId="0" borderId="0" xfId="0" pivotButton="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dxf>
    <dxf>
      <numFmt numFmtId="19" formatCode="dd/mm/yyyy"/>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[retail_store_sales.xlsx]pivot_table!PivotTable1</c:name>
    <c:fmtId val="0"/>
  </c:pivotSource>
  <c:chart>
    <c:title>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pivot_table!$A$4:$A$12</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pivot_table!$B$4:$B$12</c:f>
              <c:numCache>
                <c:formatCode>General</c:formatCode>
                <c:ptCount val="8"/>
                <c:pt idx="0">
                  <c:v>13417.5</c:v>
                </c:pt>
                <c:pt idx="1">
                  <c:v>17995</c:v>
                </c:pt>
                <c:pt idx="2">
                  <c:v>16777</c:v>
                </c:pt>
                <c:pt idx="3">
                  <c:v>13569</c:v>
                </c:pt>
                <c:pt idx="4">
                  <c:v>14888</c:v>
                </c:pt>
                <c:pt idx="5">
                  <c:v>17122.5</c:v>
                </c:pt>
                <c:pt idx="6">
                  <c:v>12141.5</c:v>
                </c:pt>
                <c:pt idx="7">
                  <c:v>15139.5</c:v>
                </c:pt>
              </c:numCache>
            </c:numRef>
          </c:val>
          <c:smooth val="0"/>
          <c:extLst>
            <c:ext xmlns:c16="http://schemas.microsoft.com/office/drawing/2014/chart" uri="{C3380CC4-5D6E-409C-BE32-E72D297353CC}">
              <c16:uniqueId val="{00000000-16D1-48A6-8574-6343090CFD8E}"/>
            </c:ext>
          </c:extLst>
        </c:ser>
        <c:dLbls>
          <c:dLblPos val="ctr"/>
          <c:showLegendKey val="0"/>
          <c:showVal val="1"/>
          <c:showCatName val="0"/>
          <c:showSerName val="0"/>
          <c:showPercent val="0"/>
          <c:showBubbleSize val="0"/>
        </c:dLbls>
        <c:marker val="1"/>
        <c:smooth val="0"/>
        <c:axId val="1507974255"/>
        <c:axId val="1507974735"/>
      </c:lineChart>
      <c:catAx>
        <c:axId val="150797425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507974735"/>
        <c:crosses val="autoZero"/>
        <c:auto val="1"/>
        <c:lblAlgn val="ctr"/>
        <c:lblOffset val="100"/>
        <c:noMultiLvlLbl val="0"/>
      </c:catAx>
      <c:valAx>
        <c:axId val="1507974735"/>
        <c:scaling>
          <c:orientation val="minMax"/>
        </c:scaling>
        <c:delete val="1"/>
        <c:axPos val="l"/>
        <c:numFmt formatCode="General" sourceLinked="1"/>
        <c:majorTickMark val="none"/>
        <c:minorTickMark val="none"/>
        <c:tickLblPos val="nextTo"/>
        <c:crossAx val="150797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[retail_store_sales.xlsx]pivot_table!PivotTable2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pivot_table!$B$14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786-4D6E-9291-BB78DC05892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786-4D6E-9291-BB78DC05892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pivot_table!$A$15:$A$17</c:f>
              <c:strCache>
                <c:ptCount val="2"/>
                <c:pt idx="0">
                  <c:v>In-store</c:v>
                </c:pt>
                <c:pt idx="1">
                  <c:v>Online</c:v>
                </c:pt>
              </c:strCache>
            </c:strRef>
          </c:cat>
          <c:val>
            <c:numRef>
              <c:f>pivot_table!$B$15:$B$17</c:f>
              <c:numCache>
                <c:formatCode>General</c:formatCode>
                <c:ptCount val="2"/>
                <c:pt idx="0">
                  <c:v>495</c:v>
                </c:pt>
                <c:pt idx="1">
                  <c:v>504</c:v>
                </c:pt>
              </c:numCache>
            </c:numRef>
          </c:val>
          <c:extLst>
            <c:ext xmlns:c16="http://schemas.microsoft.com/office/drawing/2014/chart" uri="{C3380CC4-5D6E-409C-BE32-E72D297353CC}">
              <c16:uniqueId val="{00000000-2321-448D-82A2-25B32B2BD00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[retail_store_sales.xlsx]pivot_table!PivotTable3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pivot_table!$B$19</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D032-47BD-B3C2-9373B083C0C9}"/>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D032-47BD-B3C2-9373B083C0C9}"/>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D032-47BD-B3C2-9373B083C0C9}"/>
              </c:ext>
            </c:extLst>
          </c:dPt>
          <c:cat>
            <c:strRef>
              <c:f>pivot_table!$A$20:$A$23</c:f>
              <c:strCache>
                <c:ptCount val="3"/>
                <c:pt idx="0">
                  <c:v>Cash</c:v>
                </c:pt>
                <c:pt idx="1">
                  <c:v>Credit Card</c:v>
                </c:pt>
                <c:pt idx="2">
                  <c:v>Digital Wallet</c:v>
                </c:pt>
              </c:strCache>
            </c:strRef>
          </c:cat>
          <c:val>
            <c:numRef>
              <c:f>pivot_table!$B$20:$B$23</c:f>
              <c:numCache>
                <c:formatCode>General</c:formatCode>
                <c:ptCount val="3"/>
                <c:pt idx="0">
                  <c:v>339</c:v>
                </c:pt>
                <c:pt idx="1">
                  <c:v>333</c:v>
                </c:pt>
                <c:pt idx="2">
                  <c:v>327</c:v>
                </c:pt>
              </c:numCache>
            </c:numRef>
          </c:val>
          <c:extLst>
            <c:ext xmlns:c16="http://schemas.microsoft.com/office/drawing/2014/chart" uri="{C3380CC4-5D6E-409C-BE32-E72D297353CC}">
              <c16:uniqueId val="{00000000-5084-4698-8E54-F152F2B0823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[retail_store_sales.xlsx]pivot_table!PivotTable4</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pivot_table!$A$26:$A$51</c:f>
              <c:strCache>
                <c:ptCount val="25"/>
                <c:pt idx="0">
                  <c:v>CUST_01</c:v>
                </c:pt>
                <c:pt idx="1">
                  <c:v>CUST_02</c:v>
                </c:pt>
                <c:pt idx="2">
                  <c:v>CUST_03</c:v>
                </c:pt>
                <c:pt idx="3">
                  <c:v>CUST_04</c:v>
                </c:pt>
                <c:pt idx="4">
                  <c:v>CUST_05</c:v>
                </c:pt>
                <c:pt idx="5">
                  <c:v>CUST_06</c:v>
                </c:pt>
                <c:pt idx="6">
                  <c:v>CUST_07</c:v>
                </c:pt>
                <c:pt idx="7">
                  <c:v>CUST_08</c:v>
                </c:pt>
                <c:pt idx="8">
                  <c:v>CUST_09</c:v>
                </c:pt>
                <c:pt idx="9">
                  <c:v>CUST_10</c:v>
                </c:pt>
                <c:pt idx="10">
                  <c:v>CUST_11</c:v>
                </c:pt>
                <c:pt idx="11">
                  <c:v>CUST_12</c:v>
                </c:pt>
                <c:pt idx="12">
                  <c:v>CUST_13</c:v>
                </c:pt>
                <c:pt idx="13">
                  <c:v>CUST_14</c:v>
                </c:pt>
                <c:pt idx="14">
                  <c:v>CUST_15</c:v>
                </c:pt>
                <c:pt idx="15">
                  <c:v>CUST_16</c:v>
                </c:pt>
                <c:pt idx="16">
                  <c:v>CUST_17</c:v>
                </c:pt>
                <c:pt idx="17">
                  <c:v>CUST_18</c:v>
                </c:pt>
                <c:pt idx="18">
                  <c:v>CUST_19</c:v>
                </c:pt>
                <c:pt idx="19">
                  <c:v>CUST_20</c:v>
                </c:pt>
                <c:pt idx="20">
                  <c:v>CUST_21</c:v>
                </c:pt>
                <c:pt idx="21">
                  <c:v>CUST_22</c:v>
                </c:pt>
                <c:pt idx="22">
                  <c:v>CUST_23</c:v>
                </c:pt>
                <c:pt idx="23">
                  <c:v>CUST_24</c:v>
                </c:pt>
                <c:pt idx="24">
                  <c:v>CUST_25</c:v>
                </c:pt>
              </c:strCache>
            </c:strRef>
          </c:cat>
          <c:val>
            <c:numRef>
              <c:f>pivot_table!$B$26:$B$51</c:f>
              <c:numCache>
                <c:formatCode>General</c:formatCode>
                <c:ptCount val="25"/>
                <c:pt idx="0">
                  <c:v>42</c:v>
                </c:pt>
                <c:pt idx="1">
                  <c:v>40</c:v>
                </c:pt>
                <c:pt idx="2">
                  <c:v>31</c:v>
                </c:pt>
                <c:pt idx="3">
                  <c:v>32</c:v>
                </c:pt>
                <c:pt idx="4">
                  <c:v>42</c:v>
                </c:pt>
                <c:pt idx="5">
                  <c:v>28</c:v>
                </c:pt>
                <c:pt idx="6">
                  <c:v>35</c:v>
                </c:pt>
                <c:pt idx="7">
                  <c:v>49</c:v>
                </c:pt>
                <c:pt idx="8">
                  <c:v>34</c:v>
                </c:pt>
                <c:pt idx="9">
                  <c:v>36</c:v>
                </c:pt>
                <c:pt idx="10">
                  <c:v>39</c:v>
                </c:pt>
                <c:pt idx="11">
                  <c:v>40</c:v>
                </c:pt>
                <c:pt idx="12">
                  <c:v>33</c:v>
                </c:pt>
                <c:pt idx="13">
                  <c:v>35</c:v>
                </c:pt>
                <c:pt idx="14">
                  <c:v>39</c:v>
                </c:pt>
                <c:pt idx="15">
                  <c:v>37</c:v>
                </c:pt>
                <c:pt idx="16">
                  <c:v>40</c:v>
                </c:pt>
                <c:pt idx="17">
                  <c:v>45</c:v>
                </c:pt>
                <c:pt idx="18">
                  <c:v>42</c:v>
                </c:pt>
                <c:pt idx="19">
                  <c:v>44</c:v>
                </c:pt>
                <c:pt idx="20">
                  <c:v>44</c:v>
                </c:pt>
                <c:pt idx="21">
                  <c:v>39</c:v>
                </c:pt>
                <c:pt idx="22">
                  <c:v>49</c:v>
                </c:pt>
                <c:pt idx="23">
                  <c:v>47</c:v>
                </c:pt>
                <c:pt idx="24">
                  <c:v>57</c:v>
                </c:pt>
              </c:numCache>
            </c:numRef>
          </c:val>
          <c:smooth val="0"/>
          <c:extLst>
            <c:ext xmlns:c16="http://schemas.microsoft.com/office/drawing/2014/chart" uri="{C3380CC4-5D6E-409C-BE32-E72D297353CC}">
              <c16:uniqueId val="{00000000-3147-40A6-8122-0BC36D6E0C9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78491263"/>
        <c:axId val="1578489823"/>
      </c:lineChart>
      <c:catAx>
        <c:axId val="157849126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78489823"/>
        <c:crosses val="autoZero"/>
        <c:auto val="1"/>
        <c:lblAlgn val="ctr"/>
        <c:lblOffset val="100"/>
        <c:noMultiLvlLbl val="0"/>
      </c:catAx>
      <c:valAx>
        <c:axId val="157848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7849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693420</xdr:colOff>
      <xdr:row>0</xdr:row>
      <xdr:rowOff>175260</xdr:rowOff>
    </xdr:from>
    <xdr:to>
      <xdr:col>23</xdr:col>
      <xdr:colOff>7620</xdr:colOff>
      <xdr:row>15</xdr:row>
      <xdr:rowOff>175260</xdr:rowOff>
    </xdr:to>
    <xdr:graphicFrame macro="">
      <xdr:nvGraphicFramePr>
        <xdr:cNvPr id="2" name="Chart 1">
          <a:extLst>
            <a:ext uri="{FF2B5EF4-FFF2-40B4-BE49-F238E27FC236}">
              <a16:creationId xmlns:a16="http://schemas.microsoft.com/office/drawing/2014/main" id="{108B1297-B99D-17CD-EBE3-C353EB984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16</xdr:row>
      <xdr:rowOff>76200</xdr:rowOff>
    </xdr:from>
    <xdr:to>
      <xdr:col>10</xdr:col>
      <xdr:colOff>320040</xdr:colOff>
      <xdr:row>31</xdr:row>
      <xdr:rowOff>76200</xdr:rowOff>
    </xdr:to>
    <xdr:graphicFrame macro="">
      <xdr:nvGraphicFramePr>
        <xdr:cNvPr id="3" name="Chart 2">
          <a:extLst>
            <a:ext uri="{FF2B5EF4-FFF2-40B4-BE49-F238E27FC236}">
              <a16:creationId xmlns:a16="http://schemas.microsoft.com/office/drawing/2014/main" id="{76C5E8F7-1ECD-D0F3-8272-2803CDB45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53340</xdr:colOff>
      <xdr:row>16</xdr:row>
      <xdr:rowOff>68580</xdr:rowOff>
    </xdr:from>
    <xdr:to>
      <xdr:col>23</xdr:col>
      <xdr:colOff>335280</xdr:colOff>
      <xdr:row>31</xdr:row>
      <xdr:rowOff>68580</xdr:rowOff>
    </xdr:to>
    <xdr:graphicFrame macro="">
      <xdr:nvGraphicFramePr>
        <xdr:cNvPr id="4" name="Chart 3">
          <a:extLst>
            <a:ext uri="{FF2B5EF4-FFF2-40B4-BE49-F238E27FC236}">
              <a16:creationId xmlns:a16="http://schemas.microsoft.com/office/drawing/2014/main" id="{3FB299B1-895D-4372-EFAE-CE5EBF1F4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678180</xdr:colOff>
      <xdr:row>32</xdr:row>
      <xdr:rowOff>7620</xdr:rowOff>
    </xdr:from>
    <xdr:to>
      <xdr:col>23</xdr:col>
      <xdr:colOff>297180</xdr:colOff>
      <xdr:row>47</xdr:row>
      <xdr:rowOff>7620</xdr:rowOff>
    </xdr:to>
    <xdr:graphicFrame macro="">
      <xdr:nvGraphicFramePr>
        <xdr:cNvPr id="5" name="Chart 4">
          <a:extLst>
            <a:ext uri="{FF2B5EF4-FFF2-40B4-BE49-F238E27FC236}">
              <a16:creationId xmlns:a16="http://schemas.microsoft.com/office/drawing/2014/main" id="{DA19AEE4-894B-BCD1-71E8-099C28486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160020</xdr:colOff>
      <xdr:row>16</xdr:row>
      <xdr:rowOff>0</xdr:rowOff>
    </xdr:from>
    <xdr:to>
      <xdr:col>31</xdr:col>
      <xdr:colOff>274320</xdr:colOff>
      <xdr:row>29</xdr:row>
      <xdr:rowOff>89535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D09068F1-3731-40DD-A611-F4713138164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46080" y="2926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304800</xdr:colOff>
      <xdr:row>1</xdr:row>
      <xdr:rowOff>114300</xdr:rowOff>
    </xdr:from>
    <xdr:to>
      <xdr:col>31</xdr:col>
      <xdr:colOff>76200</xdr:colOff>
      <xdr:row>15</xdr:row>
      <xdr:rowOff>20955</xdr:rowOff>
    </xdr:to>
    <mc:AlternateContent xmlns:mc="http://schemas.openxmlformats.org/markup-compatibility/2006" xmlns:a14="http://schemas.microsoft.com/office/drawing/2010/main">
      <mc:Choice Requires="a14">
        <xdr:graphicFrame macro="">
          <xdr:nvGraphicFramePr>
            <xdr:cNvPr id="7" name="Location">
              <a:extLst>
                <a:ext uri="{FF2B5EF4-FFF2-40B4-BE49-F238E27FC236}">
                  <a16:creationId xmlns:a16="http://schemas.microsoft.com/office/drawing/2014/main" id="{DAC93CF7-F037-6EE5-DBEF-3776E54E96B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0347960" y="297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i Mehta" refreshedDate="46311.881487037041" createdVersion="8" refreshedVersion="8" minRefreshableVersion="3" recordCount="999" xr:uid="{C7955D07-8384-4BB0-9B10-7161BCA6BC3B}">
  <cacheSource type="worksheet">
    <worksheetSource name="Table1"/>
  </cacheSource>
  <cacheFields count="11">
    <cacheField name="Transaction ID" numFmtId="0">
      <sharedItems/>
    </cacheField>
    <cacheField name="Customer ID" numFmtId="0">
      <sharedItems count="25">
        <s v="CUST_09"/>
        <s v="CUST_22"/>
        <s v="CUST_02"/>
        <s v="CUST_06"/>
        <s v="CUST_05"/>
        <s v="CUST_07"/>
        <s v="CUST_21"/>
        <s v="CUST_23"/>
        <s v="CUST_25"/>
        <s v="CUST_14"/>
        <s v="CUST_15"/>
        <s v="CUST_17"/>
        <s v="CUST_01"/>
        <s v="CUST_10"/>
        <s v="CUST_04"/>
        <s v="CUST_13"/>
        <s v="CUST_18"/>
        <s v="CUST_08"/>
        <s v="CUST_20"/>
        <s v="CUST_12"/>
        <s v="CUST_11"/>
        <s v="CUST_19"/>
        <s v="CUST_16"/>
        <s v="CUST_24"/>
        <s v="CUST_03"/>
      </sharedItems>
    </cacheField>
    <cacheField name="Category" numFmtId="0">
      <sharedItems count="8">
        <s v="Patisserie"/>
        <s v="Milk Products"/>
        <s v="Butchers"/>
        <s v="Beverages"/>
        <s v="Food"/>
        <s v="Furniture"/>
        <s v="Electric household essentials"/>
        <s v="Computers and electric accessories"/>
      </sharedItems>
    </cacheField>
    <cacheField name="Item" numFmtId="0">
      <sharedItems/>
    </cacheField>
    <cacheField name="Price Per Unit" numFmtId="0">
      <sharedItems containsMixedTypes="1" containsNumber="1" minValue="5" maxValue="41"/>
    </cacheField>
    <cacheField name="Quantity" numFmtId="0">
      <sharedItems containsMixedTypes="1" containsNumber="1" containsInteger="1" minValue="1" maxValue="10"/>
    </cacheField>
    <cacheField name="Total Spent" numFmtId="0">
      <sharedItems containsMixedTypes="1" containsNumber="1" minValue="5" maxValue="410" count="224">
        <n v="185"/>
        <n v="261"/>
        <n v="43"/>
        <n v="247.5"/>
        <n v="87.5"/>
        <n v="200"/>
        <n v="40"/>
        <s v="Null"/>
        <n v="27.5"/>
        <n v="109.5"/>
        <n v="72"/>
        <n v="52"/>
        <n v="45.5"/>
        <n v="237"/>
        <n v="55"/>
        <n v="232"/>
        <n v="275"/>
        <n v="23"/>
        <n v="126"/>
        <n v="105"/>
        <n v="66.5"/>
        <n v="18.5"/>
        <n v="49"/>
        <n v="134"/>
        <n v="410"/>
        <n v="245"/>
        <n v="182.5"/>
        <n v="100"/>
        <n v="196"/>
        <n v="315"/>
        <n v="287"/>
        <n v="76"/>
        <n v="92.5"/>
        <n v="190"/>
        <n v="255.5"/>
        <n v="276.5"/>
        <n v="46.5"/>
        <n v="8"/>
        <n v="107.5"/>
        <n v="165"/>
        <n v="80"/>
        <n v="192.5"/>
        <n v="335"/>
        <n v="66"/>
        <n v="215"/>
        <n v="96"/>
        <n v="42"/>
        <n v="11"/>
        <n v="234"/>
        <n v="316"/>
        <n v="82.5"/>
        <n v="180"/>
        <n v="365"/>
        <n v="39"/>
        <n v="172"/>
        <n v="122"/>
        <n v="30"/>
        <n v="84"/>
        <n v="320"/>
        <n v="219"/>
        <n v="67"/>
        <n v="146"/>
        <n v="290"/>
        <n v="70"/>
        <n v="160"/>
        <n v="82"/>
        <n v="14"/>
        <n v="355.5"/>
        <n v="124"/>
        <n v="28.5"/>
        <n v="47.5"/>
        <n v="193.5"/>
        <n v="38"/>
        <n v="12.5"/>
        <n v="140"/>
        <n v="120"/>
        <n v="183"/>
        <n v="305"/>
        <n v="41"/>
        <n v="155"/>
        <n v="19.5"/>
        <n v="33"/>
        <n v="108.5"/>
        <n v="119"/>
        <n v="280"/>
        <n v="62"/>
        <n v="32"/>
        <n v="380"/>
        <n v="304"/>
        <n v="139.5"/>
        <n v="114"/>
        <n v="192"/>
        <n v="167.5"/>
        <n v="88"/>
        <n v="395"/>
        <n v="158"/>
        <n v="25"/>
        <n v="50"/>
        <n v="32.5"/>
        <n v="15"/>
        <n v="33.5"/>
        <n v="24"/>
        <n v="111"/>
        <n v="46"/>
        <n v="36.5"/>
        <n v="62.5"/>
        <n v="161"/>
        <n v="26"/>
        <n v="98"/>
        <n v="85"/>
        <n v="228"/>
        <n v="91.5"/>
        <n v="93"/>
        <n v="35"/>
        <n v="208"/>
        <n v="100.5"/>
        <n v="9.5"/>
        <n v="10"/>
        <n v="138"/>
        <n v="288"/>
        <n v="60"/>
        <n v="123"/>
        <n v="73"/>
        <n v="197.5"/>
        <n v="69"/>
        <n v="61"/>
        <n v="116"/>
        <n v="55.5"/>
        <n v="6.5"/>
        <n v="152.5"/>
        <n v="118.5"/>
        <n v="74"/>
        <n v="205"/>
        <n v="150.5"/>
        <n v="110"/>
        <n v="19"/>
        <n v="48"/>
        <n v="175"/>
        <n v="369"/>
        <n v="37.5"/>
        <n v="65"/>
        <n v="170"/>
        <n v="77.5"/>
        <n v="129.5"/>
        <n v="15.5"/>
        <n v="24.5"/>
        <n v="147"/>
        <n v="21.5"/>
        <n v="31"/>
        <n v="99"/>
        <n v="128"/>
        <n v="58.5"/>
        <n v="266"/>
        <n v="29"/>
        <n v="268"/>
        <n v="64"/>
        <n v="115"/>
        <n v="64.5"/>
        <n v="260"/>
        <n v="207"/>
        <n v="224"/>
        <n v="328"/>
        <n v="92"/>
        <n v="244"/>
        <n v="39.5"/>
        <n v="16"/>
        <n v="328.5"/>
        <n v="182"/>
        <n v="44"/>
        <n v="129"/>
        <n v="301.5"/>
        <n v="57"/>
        <n v="5"/>
        <n v="122.5"/>
        <n v="220"/>
        <n v="112.5"/>
        <n v="68"/>
        <n v="292"/>
        <n v="28"/>
        <n v="342"/>
        <n v="102"/>
        <n v="77"/>
        <n v="148"/>
        <n v="125"/>
        <n v="210"/>
        <n v="137.5"/>
        <n v="95"/>
        <n v="136"/>
        <n v="145"/>
        <n v="153"/>
        <n v="79"/>
        <n v="78"/>
        <n v="51"/>
        <n v="256"/>
        <n v="152"/>
        <n v="230"/>
        <n v="274.5"/>
        <n v="184"/>
        <n v="171.5"/>
        <n v="20"/>
        <n v="58"/>
        <n v="213.5"/>
        <n v="203"/>
        <n v="104"/>
        <n v="201"/>
        <n v="234.5"/>
        <n v="87"/>
        <n v="56"/>
        <n v="86"/>
        <n v="30.5"/>
        <n v="85.5"/>
        <n v="174"/>
        <n v="22"/>
        <n v="34"/>
        <n v="156"/>
        <n v="350"/>
        <n v="75"/>
        <n v="246"/>
        <n v="220.5"/>
        <n v="166.5"/>
        <n v="45"/>
        <n v="112"/>
        <n v="164"/>
        <n v="130"/>
      </sharedItems>
    </cacheField>
    <cacheField name="Payment Method" numFmtId="0">
      <sharedItems count="3">
        <s v="Digital Wallet"/>
        <s v="Credit Card"/>
        <s v="Cash"/>
      </sharedItems>
    </cacheField>
    <cacheField name="Location" numFmtId="0">
      <sharedItems count="2">
        <s v="Online"/>
        <s v="In-store"/>
      </sharedItems>
    </cacheField>
    <cacheField name="Transaction Date" numFmtId="14">
      <sharedItems containsSemiMixedTypes="0" containsNonDate="0" containsDate="1" containsString="0" minDate="2022-01-03T00:00:00" maxDate="2025-01-17T00:00:00"/>
    </cacheField>
    <cacheField name="Discount Applied" numFmtId="0">
      <sharedItems/>
    </cacheField>
  </cacheFields>
  <extLst>
    <ext xmlns:x14="http://schemas.microsoft.com/office/spreadsheetml/2009/9/main" uri="{725AE2AE-9491-48be-B2B4-4EB974FC3084}">
      <x14:pivotCacheDefinition pivotCacheId="143423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s v="TXN_6867343"/>
    <x v="0"/>
    <x v="0"/>
    <s v="Item_10_PAT"/>
    <n v="18.5"/>
    <n v="10"/>
    <x v="0"/>
    <x v="0"/>
    <x v="0"/>
    <d v="2024-04-08T00:00:00"/>
    <b v="1"/>
  </r>
  <r>
    <s v="TXN_3731986"/>
    <x v="1"/>
    <x v="1"/>
    <s v="Item_17_MILK"/>
    <n v="29"/>
    <n v="9"/>
    <x v="1"/>
    <x v="0"/>
    <x v="0"/>
    <d v="2023-07-23T00:00:00"/>
    <b v="1"/>
  </r>
  <r>
    <s v="TXN_9303719"/>
    <x v="2"/>
    <x v="2"/>
    <s v="Item_12_BUT"/>
    <n v="21.5"/>
    <n v="2"/>
    <x v="2"/>
    <x v="1"/>
    <x v="0"/>
    <d v="2022-10-05T00:00:00"/>
    <b v="0"/>
  </r>
  <r>
    <s v="TXN_9458126"/>
    <x v="3"/>
    <x v="3"/>
    <s v="Item_16_BEV"/>
    <n v="27.5"/>
    <n v="9"/>
    <x v="3"/>
    <x v="1"/>
    <x v="0"/>
    <d v="2022-05-07T00:00:00"/>
    <s v="Null"/>
  </r>
  <r>
    <s v="TXN_4575373"/>
    <x v="4"/>
    <x v="4"/>
    <s v="Item_6_FOOD"/>
    <n v="12.5"/>
    <n v="7"/>
    <x v="4"/>
    <x v="0"/>
    <x v="0"/>
    <d v="2022-10-02T00:00:00"/>
    <b v="0"/>
  </r>
  <r>
    <s v="TXN_7482416"/>
    <x v="0"/>
    <x v="0"/>
    <s v="Null"/>
    <s v="Null"/>
    <n v="10"/>
    <x v="5"/>
    <x v="1"/>
    <x v="0"/>
    <d v="2023-11-30T00:00:00"/>
    <s v="Null"/>
  </r>
  <r>
    <s v="TXN_3652209"/>
    <x v="5"/>
    <x v="4"/>
    <s v="Item_1_FOOD"/>
    <n v="5"/>
    <n v="8"/>
    <x v="6"/>
    <x v="1"/>
    <x v="1"/>
    <d v="2023-06-10T00:00:00"/>
    <b v="1"/>
  </r>
  <r>
    <s v="TXN_1372952"/>
    <x v="6"/>
    <x v="5"/>
    <s v="Null"/>
    <n v="33.5"/>
    <s v="Null"/>
    <x v="7"/>
    <x v="0"/>
    <x v="1"/>
    <d v="2024-04-02T00:00:00"/>
    <b v="1"/>
  </r>
  <r>
    <s v="TXN_9728486"/>
    <x v="7"/>
    <x v="5"/>
    <s v="Item_16_FUR"/>
    <n v="27.5"/>
    <n v="1"/>
    <x v="8"/>
    <x v="1"/>
    <x v="1"/>
    <d v="2023-04-26T00:00:00"/>
    <b v="0"/>
  </r>
  <r>
    <s v="TXN_2722661"/>
    <x v="8"/>
    <x v="2"/>
    <s v="Item_22_BUT"/>
    <n v="36.5"/>
    <n v="3"/>
    <x v="9"/>
    <x v="2"/>
    <x v="0"/>
    <d v="2024-03-14T00:00:00"/>
    <b v="0"/>
  </r>
  <r>
    <s v="TXN_8776416"/>
    <x v="1"/>
    <x v="2"/>
    <s v="Item_3_BUT"/>
    <n v="8"/>
    <n v="9"/>
    <x v="10"/>
    <x v="2"/>
    <x v="1"/>
    <d v="2024-12-14T00:00:00"/>
    <b v="1"/>
  </r>
  <r>
    <s v="TXN_5422631"/>
    <x v="0"/>
    <x v="1"/>
    <s v="Null"/>
    <s v="Null"/>
    <n v="8"/>
    <x v="11"/>
    <x v="0"/>
    <x v="1"/>
    <d v="2025-01-12T00:00:00"/>
    <b v="1"/>
  </r>
  <r>
    <s v="TXN_5874772"/>
    <x v="7"/>
    <x v="4"/>
    <s v="Item_2_FOOD"/>
    <n v="6.5"/>
    <n v="7"/>
    <x v="12"/>
    <x v="2"/>
    <x v="0"/>
    <d v="2023-09-09T00:00:00"/>
    <b v="1"/>
  </r>
  <r>
    <s v="TXN_4413070"/>
    <x v="9"/>
    <x v="0"/>
    <s v="Item_24_PAT"/>
    <n v="39.5"/>
    <n v="6"/>
    <x v="13"/>
    <x v="0"/>
    <x v="1"/>
    <d v="2022-05-20T00:00:00"/>
    <b v="0"/>
  </r>
  <r>
    <s v="TXN_2490363"/>
    <x v="0"/>
    <x v="1"/>
    <s v="Item_16_MILK"/>
    <n v="27.5"/>
    <n v="2"/>
    <x v="14"/>
    <x v="0"/>
    <x v="0"/>
    <d v="2022-05-22T00:00:00"/>
    <s v="Null"/>
  </r>
  <r>
    <s v="TXN_1809665"/>
    <x v="9"/>
    <x v="3"/>
    <s v="Null"/>
    <n v="24.5"/>
    <s v="Null"/>
    <x v="7"/>
    <x v="1"/>
    <x v="1"/>
    <d v="2022-05-11T00:00:00"/>
    <s v="Null"/>
  </r>
  <r>
    <s v="TXN_7563311"/>
    <x v="7"/>
    <x v="0"/>
    <s v="Item_17_PAT"/>
    <n v="29"/>
    <n v="8"/>
    <x v="15"/>
    <x v="2"/>
    <x v="0"/>
    <d v="2024-11-16T00:00:00"/>
    <b v="1"/>
  </r>
  <r>
    <s v="TXN_9634894"/>
    <x v="10"/>
    <x v="1"/>
    <s v="Null"/>
    <s v="Null"/>
    <n v="10"/>
    <x v="16"/>
    <x v="0"/>
    <x v="0"/>
    <d v="2022-04-17T00:00:00"/>
    <s v="Null"/>
  </r>
  <r>
    <s v="TXN_4396807"/>
    <x v="11"/>
    <x v="6"/>
    <s v="Item_13_EHE"/>
    <n v="23"/>
    <n v="1"/>
    <x v="17"/>
    <x v="0"/>
    <x v="1"/>
    <d v="2022-02-07T00:00:00"/>
    <b v="0"/>
  </r>
  <r>
    <s v="TXN_4206593"/>
    <x v="12"/>
    <x v="5"/>
    <s v="Null"/>
    <n v="35"/>
    <s v="Null"/>
    <x v="7"/>
    <x v="0"/>
    <x v="0"/>
    <d v="2025-01-13T00:00:00"/>
    <b v="0"/>
  </r>
  <r>
    <s v="TXN_9939063"/>
    <x v="9"/>
    <x v="3"/>
    <s v="Item_7_BEV"/>
    <n v="14"/>
    <n v="9"/>
    <x v="18"/>
    <x v="0"/>
    <x v="1"/>
    <d v="2024-01-14T00:00:00"/>
    <s v="Null"/>
  </r>
  <r>
    <s v="TXN_8685338"/>
    <x v="10"/>
    <x v="1"/>
    <s v="Null"/>
    <s v="Null"/>
    <n v="3"/>
    <x v="19"/>
    <x v="1"/>
    <x v="1"/>
    <d v="2023-10-29T00:00:00"/>
    <s v="Null"/>
  </r>
  <r>
    <s v="TXN_6547964"/>
    <x v="13"/>
    <x v="6"/>
    <s v="Item_4_EHE"/>
    <n v="9.5"/>
    <n v="7"/>
    <x v="20"/>
    <x v="2"/>
    <x v="1"/>
    <d v="2022-08-15T00:00:00"/>
    <s v="Null"/>
  </r>
  <r>
    <s v="TXN_3314099"/>
    <x v="14"/>
    <x v="4"/>
    <s v="Item_10_FOOD"/>
    <n v="18.5"/>
    <n v="1"/>
    <x v="21"/>
    <x v="2"/>
    <x v="0"/>
    <d v="2023-09-30T00:00:00"/>
    <b v="0"/>
  </r>
  <r>
    <s v="TXN_9980736"/>
    <x v="15"/>
    <x v="5"/>
    <s v="Item_14_FUR"/>
    <n v="24.5"/>
    <n v="2"/>
    <x v="22"/>
    <x v="2"/>
    <x v="0"/>
    <d v="2023-08-29T00:00:00"/>
    <b v="0"/>
  </r>
  <r>
    <s v="TXN_3481599"/>
    <x v="4"/>
    <x v="5"/>
    <s v="Null"/>
    <n v="39.5"/>
    <s v="Null"/>
    <x v="7"/>
    <x v="2"/>
    <x v="0"/>
    <d v="2022-09-08T00:00:00"/>
    <b v="0"/>
  </r>
  <r>
    <s v="TXN_9057609"/>
    <x v="16"/>
    <x v="2"/>
    <s v="Item_20_BUT"/>
    <n v="33.5"/>
    <n v="4"/>
    <x v="23"/>
    <x v="1"/>
    <x v="1"/>
    <d v="2022-03-16T00:00:00"/>
    <b v="1"/>
  </r>
  <r>
    <s v="TXN_1599706"/>
    <x v="9"/>
    <x v="5"/>
    <s v="Item_25_FUR"/>
    <n v="41"/>
    <n v="10"/>
    <x v="24"/>
    <x v="1"/>
    <x v="1"/>
    <d v="2024-03-24T00:00:00"/>
    <b v="1"/>
  </r>
  <r>
    <s v="TXN_1598860"/>
    <x v="17"/>
    <x v="4"/>
    <s v="Item_14_FOOD"/>
    <n v="24.5"/>
    <n v="10"/>
    <x v="25"/>
    <x v="2"/>
    <x v="1"/>
    <d v="2022-10-23T00:00:00"/>
    <b v="1"/>
  </r>
  <r>
    <s v="TXN_7138501"/>
    <x v="16"/>
    <x v="0"/>
    <s v="Item_22_PAT"/>
    <n v="36.5"/>
    <n v="5"/>
    <x v="26"/>
    <x v="1"/>
    <x v="1"/>
    <d v="2022-03-10T00:00:00"/>
    <b v="0"/>
  </r>
  <r>
    <s v="TXN_5444504"/>
    <x v="4"/>
    <x v="4"/>
    <s v="Item_11_FOOD"/>
    <n v="20"/>
    <n v="10"/>
    <x v="5"/>
    <x v="0"/>
    <x v="0"/>
    <d v="2022-04-26T00:00:00"/>
    <b v="0"/>
  </r>
  <r>
    <s v="TXN_4353295"/>
    <x v="1"/>
    <x v="0"/>
    <s v="Item_6_PAT"/>
    <n v="12.5"/>
    <n v="8"/>
    <x v="27"/>
    <x v="1"/>
    <x v="0"/>
    <d v="2022-04-05T00:00:00"/>
    <b v="1"/>
  </r>
  <r>
    <s v="TXN_1543244"/>
    <x v="18"/>
    <x v="4"/>
    <s v="Null"/>
    <s v="Null"/>
    <n v="8"/>
    <x v="28"/>
    <x v="1"/>
    <x v="0"/>
    <d v="2024-10-25T00:00:00"/>
    <b v="1"/>
  </r>
  <r>
    <s v="TXN_1494700"/>
    <x v="19"/>
    <x v="6"/>
    <s v="Item_21_EHE"/>
    <n v="35"/>
    <n v="9"/>
    <x v="29"/>
    <x v="1"/>
    <x v="1"/>
    <d v="2024-03-07T00:00:00"/>
    <s v="Null"/>
  </r>
  <r>
    <s v="TXN_1621497"/>
    <x v="3"/>
    <x v="0"/>
    <s v="Null"/>
    <n v="23"/>
    <s v="Null"/>
    <x v="7"/>
    <x v="2"/>
    <x v="1"/>
    <d v="2023-02-18T00:00:00"/>
    <s v="Null"/>
  </r>
  <r>
    <s v="TXN_6398436"/>
    <x v="10"/>
    <x v="3"/>
    <s v="Item_25_BEV"/>
    <n v="41"/>
    <n v="7"/>
    <x v="30"/>
    <x v="1"/>
    <x v="1"/>
    <d v="2024-06-03T00:00:00"/>
    <b v="1"/>
  </r>
  <r>
    <s v="TXN_9065245"/>
    <x v="2"/>
    <x v="4"/>
    <s v="Item_23_FOOD"/>
    <n v="38"/>
    <n v="2"/>
    <x v="31"/>
    <x v="0"/>
    <x v="1"/>
    <d v="2024-03-10T00:00:00"/>
    <b v="0"/>
  </r>
  <r>
    <s v="TXN_6963438"/>
    <x v="20"/>
    <x v="5"/>
    <s v="Item_10_FUR"/>
    <n v="18.5"/>
    <n v="5"/>
    <x v="32"/>
    <x v="1"/>
    <x v="0"/>
    <d v="2024-04-23T00:00:00"/>
    <b v="1"/>
  </r>
  <r>
    <s v="TXN_8312797"/>
    <x v="9"/>
    <x v="3"/>
    <s v="Item_11_BEV"/>
    <n v="20"/>
    <n v="5"/>
    <x v="27"/>
    <x v="0"/>
    <x v="0"/>
    <d v="2022-06-03T00:00:00"/>
    <s v="Null"/>
  </r>
  <r>
    <s v="TXN_5836005"/>
    <x v="21"/>
    <x v="2"/>
    <s v="Item_23_BUT"/>
    <n v="38"/>
    <n v="5"/>
    <x v="33"/>
    <x v="1"/>
    <x v="1"/>
    <d v="2024-10-19T00:00:00"/>
    <b v="0"/>
  </r>
  <r>
    <s v="TXN_4223250"/>
    <x v="22"/>
    <x v="3"/>
    <s v="Item_22_BEV"/>
    <n v="36.5"/>
    <n v="7"/>
    <x v="34"/>
    <x v="2"/>
    <x v="0"/>
    <d v="2023-05-31T00:00:00"/>
    <b v="1"/>
  </r>
  <r>
    <s v="TXN_1019817"/>
    <x v="22"/>
    <x v="6"/>
    <s v="Item_10_EHE"/>
    <n v="18.5"/>
    <n v="5"/>
    <x v="32"/>
    <x v="2"/>
    <x v="0"/>
    <d v="2022-08-01T00:00:00"/>
    <s v="Null"/>
  </r>
  <r>
    <s v="TXN_1110407"/>
    <x v="8"/>
    <x v="2"/>
    <s v="Item_24_BUT"/>
    <n v="39.5"/>
    <n v="7"/>
    <x v="35"/>
    <x v="0"/>
    <x v="1"/>
    <d v="2022-10-21T00:00:00"/>
    <s v="Null"/>
  </r>
  <r>
    <s v="TXN_6276518"/>
    <x v="23"/>
    <x v="3"/>
    <s v="Item_8_BEV"/>
    <n v="15.5"/>
    <n v="3"/>
    <x v="36"/>
    <x v="2"/>
    <x v="1"/>
    <d v="2024-04-08T00:00:00"/>
    <s v="Null"/>
  </r>
  <r>
    <s v="TXN_4740738"/>
    <x v="8"/>
    <x v="4"/>
    <s v="Item_3_FOOD"/>
    <n v="8"/>
    <n v="1"/>
    <x v="37"/>
    <x v="0"/>
    <x v="1"/>
    <d v="2022-04-19T00:00:00"/>
    <s v="Null"/>
  </r>
  <r>
    <s v="TXN_9587232"/>
    <x v="18"/>
    <x v="4"/>
    <s v="Item_12_FOOD"/>
    <n v="21.5"/>
    <n v="5"/>
    <x v="38"/>
    <x v="0"/>
    <x v="0"/>
    <d v="2023-02-28T00:00:00"/>
    <b v="1"/>
  </r>
  <r>
    <s v="TXN_6404316"/>
    <x v="14"/>
    <x v="7"/>
    <s v="Item_16_CEA"/>
    <n v="27.5"/>
    <n v="6"/>
    <x v="39"/>
    <x v="1"/>
    <x v="0"/>
    <d v="2022-04-06T00:00:00"/>
    <b v="0"/>
  </r>
  <r>
    <s v="TXN_9331642"/>
    <x v="19"/>
    <x v="0"/>
    <s v="Item_11_PAT"/>
    <n v="20"/>
    <n v="4"/>
    <x v="40"/>
    <x v="1"/>
    <x v="0"/>
    <d v="2022-07-06T00:00:00"/>
    <b v="1"/>
  </r>
  <r>
    <s v="TXN_9729422"/>
    <x v="15"/>
    <x v="2"/>
    <s v="Item_16_BUT"/>
    <n v="27.5"/>
    <n v="6"/>
    <x v="39"/>
    <x v="1"/>
    <x v="0"/>
    <d v="2024-12-31T00:00:00"/>
    <b v="1"/>
  </r>
  <r>
    <s v="TXN_8425168"/>
    <x v="8"/>
    <x v="1"/>
    <s v="Item_16_MILK"/>
    <n v="27.5"/>
    <n v="7"/>
    <x v="41"/>
    <x v="2"/>
    <x v="1"/>
    <d v="2022-03-12T00:00:00"/>
    <s v="Null"/>
  </r>
  <r>
    <s v="TXN_5379241"/>
    <x v="4"/>
    <x v="2"/>
    <s v="Item_20_BUT"/>
    <n v="33.5"/>
    <n v="10"/>
    <x v="42"/>
    <x v="1"/>
    <x v="1"/>
    <d v="2023-04-12T00:00:00"/>
    <b v="0"/>
  </r>
  <r>
    <s v="TXN_8413369"/>
    <x v="7"/>
    <x v="7"/>
    <s v="Item_5_CEA"/>
    <n v="11"/>
    <n v="6"/>
    <x v="43"/>
    <x v="1"/>
    <x v="0"/>
    <d v="2024-03-09T00:00:00"/>
    <b v="1"/>
  </r>
  <r>
    <s v="TXN_4836321"/>
    <x v="6"/>
    <x v="4"/>
    <s v="Item_12_FOOD"/>
    <n v="21.5"/>
    <n v="10"/>
    <x v="44"/>
    <x v="0"/>
    <x v="1"/>
    <d v="2023-01-14T00:00:00"/>
    <b v="0"/>
  </r>
  <r>
    <s v="TXN_9451794"/>
    <x v="23"/>
    <x v="1"/>
    <s v="Item_19_MILK"/>
    <n v="32"/>
    <n v="3"/>
    <x v="45"/>
    <x v="1"/>
    <x v="0"/>
    <d v="2024-01-28T00:00:00"/>
    <s v="Null"/>
  </r>
  <r>
    <s v="TXN_8218431"/>
    <x v="12"/>
    <x v="5"/>
    <s v="Item_23_FUR"/>
    <n v="38"/>
    <n v="5"/>
    <x v="33"/>
    <x v="0"/>
    <x v="0"/>
    <d v="2023-04-29T00:00:00"/>
    <b v="0"/>
  </r>
  <r>
    <s v="TXN_2383377"/>
    <x v="10"/>
    <x v="5"/>
    <s v="Item_7_FUR"/>
    <n v="14"/>
    <n v="3"/>
    <x v="46"/>
    <x v="0"/>
    <x v="1"/>
    <d v="2023-04-02T00:00:00"/>
    <s v="Null"/>
  </r>
  <r>
    <s v="TXN_7909783"/>
    <x v="19"/>
    <x v="7"/>
    <s v="Item_5_CEA"/>
    <n v="11"/>
    <n v="1"/>
    <x v="47"/>
    <x v="1"/>
    <x v="0"/>
    <d v="2023-12-17T00:00:00"/>
    <b v="1"/>
  </r>
  <r>
    <s v="TXN_5046007"/>
    <x v="5"/>
    <x v="7"/>
    <s v="Item_15_CEA"/>
    <n v="26"/>
    <n v="9"/>
    <x v="48"/>
    <x v="2"/>
    <x v="0"/>
    <d v="2024-07-22T00:00:00"/>
    <b v="1"/>
  </r>
  <r>
    <s v="TXN_6966182"/>
    <x v="2"/>
    <x v="5"/>
    <s v="Item_16_FUR"/>
    <n v="27.5"/>
    <n v="9"/>
    <x v="3"/>
    <x v="2"/>
    <x v="0"/>
    <d v="2024-09-06T00:00:00"/>
    <s v="Null"/>
  </r>
  <r>
    <s v="TXN_3424571"/>
    <x v="0"/>
    <x v="1"/>
    <s v="Item_6_MILK"/>
    <n v="12.5"/>
    <n v="7"/>
    <x v="4"/>
    <x v="1"/>
    <x v="0"/>
    <d v="2023-01-13T00:00:00"/>
    <b v="0"/>
  </r>
  <r>
    <s v="TXN_6820452"/>
    <x v="13"/>
    <x v="7"/>
    <s v="Item_24_CEA"/>
    <n v="39.5"/>
    <n v="8"/>
    <x v="49"/>
    <x v="1"/>
    <x v="1"/>
    <d v="2023-04-18T00:00:00"/>
    <b v="0"/>
  </r>
  <r>
    <s v="TXN_1998771"/>
    <x v="8"/>
    <x v="1"/>
    <s v="Item_16_MILK"/>
    <n v="27.5"/>
    <n v="3"/>
    <x v="50"/>
    <x v="0"/>
    <x v="0"/>
    <d v="2024-11-07T00:00:00"/>
    <b v="1"/>
  </r>
  <r>
    <s v="TXN_1132097"/>
    <x v="23"/>
    <x v="0"/>
    <s v="Item_11_PAT"/>
    <n v="20"/>
    <n v="9"/>
    <x v="51"/>
    <x v="1"/>
    <x v="1"/>
    <d v="2023-05-18T00:00:00"/>
    <b v="1"/>
  </r>
  <r>
    <s v="TXN_5418871"/>
    <x v="14"/>
    <x v="7"/>
    <s v="Item_22_CEA"/>
    <n v="36.5"/>
    <n v="7"/>
    <x v="34"/>
    <x v="2"/>
    <x v="1"/>
    <d v="2022-03-16T00:00:00"/>
    <b v="0"/>
  </r>
  <r>
    <s v="TXN_6952276"/>
    <x v="12"/>
    <x v="4"/>
    <s v="Item_22_FOOD"/>
    <n v="36.5"/>
    <n v="10"/>
    <x v="52"/>
    <x v="1"/>
    <x v="0"/>
    <d v="2024-08-02T00:00:00"/>
    <b v="1"/>
  </r>
  <r>
    <s v="TXN_6340470"/>
    <x v="11"/>
    <x v="2"/>
    <s v="Item_2_BUT"/>
    <n v="6.5"/>
    <n v="6"/>
    <x v="53"/>
    <x v="1"/>
    <x v="1"/>
    <d v="2022-10-12T00:00:00"/>
    <s v="Null"/>
  </r>
  <r>
    <s v="TXN_5885894"/>
    <x v="12"/>
    <x v="0"/>
    <s v="Item_14_PAT"/>
    <n v="24.5"/>
    <n v="10"/>
    <x v="25"/>
    <x v="1"/>
    <x v="1"/>
    <d v="2022-02-09T00:00:00"/>
    <b v="0"/>
  </r>
  <r>
    <s v="TXN_3671271"/>
    <x v="16"/>
    <x v="0"/>
    <s v="Item_12_PAT"/>
    <n v="21.5"/>
    <n v="8"/>
    <x v="54"/>
    <x v="2"/>
    <x v="1"/>
    <d v="2023-11-27T00:00:00"/>
    <b v="0"/>
  </r>
  <r>
    <s v="TXN_2719047"/>
    <x v="24"/>
    <x v="2"/>
    <s v="Item_20_BUT"/>
    <n v="33.5"/>
    <n v="4"/>
    <x v="23"/>
    <x v="1"/>
    <x v="0"/>
    <d v="2023-11-21T00:00:00"/>
    <s v="Null"/>
  </r>
  <r>
    <s v="TXN_9908330"/>
    <x v="21"/>
    <x v="4"/>
    <s v="Item_18_FOOD"/>
    <n v="30.5"/>
    <n v="4"/>
    <x v="55"/>
    <x v="1"/>
    <x v="0"/>
    <d v="2022-09-29T00:00:00"/>
    <b v="1"/>
  </r>
  <r>
    <s v="TXN_2016332"/>
    <x v="11"/>
    <x v="0"/>
    <s v="Item_1_PAT"/>
    <n v="5"/>
    <n v="6"/>
    <x v="56"/>
    <x v="0"/>
    <x v="0"/>
    <d v="2022-12-17T00:00:00"/>
    <b v="1"/>
  </r>
  <r>
    <s v="TXN_7363165"/>
    <x v="8"/>
    <x v="3"/>
    <s v="Item_4_BEV"/>
    <n v="9.5"/>
    <n v="7"/>
    <x v="20"/>
    <x v="0"/>
    <x v="1"/>
    <d v="2023-03-25T00:00:00"/>
    <s v="Null"/>
  </r>
  <r>
    <s v="TXN_1260450"/>
    <x v="8"/>
    <x v="5"/>
    <s v="Item_22_FUR"/>
    <n v="36.5"/>
    <n v="10"/>
    <x v="52"/>
    <x v="0"/>
    <x v="1"/>
    <d v="2023-12-24T00:00:00"/>
    <b v="1"/>
  </r>
  <r>
    <s v="TXN_6315447"/>
    <x v="6"/>
    <x v="0"/>
    <s v="Item_7_PAT"/>
    <n v="14"/>
    <n v="9"/>
    <x v="18"/>
    <x v="0"/>
    <x v="1"/>
    <d v="2025-01-12T00:00:00"/>
    <b v="0"/>
  </r>
  <r>
    <s v="TXN_5973228"/>
    <x v="19"/>
    <x v="3"/>
    <s v="Item_7_BEV"/>
    <n v="14"/>
    <n v="6"/>
    <x v="57"/>
    <x v="0"/>
    <x v="0"/>
    <d v="2023-12-25T00:00:00"/>
    <b v="1"/>
  </r>
  <r>
    <s v="TXN_2780662"/>
    <x v="2"/>
    <x v="1"/>
    <s v="Item_19_MILK"/>
    <n v="32"/>
    <n v="10"/>
    <x v="58"/>
    <x v="0"/>
    <x v="1"/>
    <d v="2023-01-19T00:00:00"/>
    <s v="Null"/>
  </r>
  <r>
    <s v="TXN_1142481"/>
    <x v="2"/>
    <x v="3"/>
    <s v="Item_22_BEV"/>
    <n v="36.5"/>
    <n v="6"/>
    <x v="59"/>
    <x v="2"/>
    <x v="1"/>
    <d v="2023-02-07T00:00:00"/>
    <b v="1"/>
  </r>
  <r>
    <s v="TXN_3933685"/>
    <x v="0"/>
    <x v="7"/>
    <s v="Item_20_CEA"/>
    <n v="33.5"/>
    <n v="10"/>
    <x v="42"/>
    <x v="1"/>
    <x v="0"/>
    <d v="2022-04-15T00:00:00"/>
    <s v="Null"/>
  </r>
  <r>
    <s v="TXN_8955685"/>
    <x v="23"/>
    <x v="4"/>
    <s v="Item_20_FOOD"/>
    <n v="33.5"/>
    <n v="2"/>
    <x v="60"/>
    <x v="0"/>
    <x v="0"/>
    <d v="2023-04-24T00:00:00"/>
    <s v="Null"/>
  </r>
  <r>
    <s v="TXN_1061030"/>
    <x v="18"/>
    <x v="7"/>
    <s v="Item_22_CEA"/>
    <n v="36.5"/>
    <n v="4"/>
    <x v="61"/>
    <x v="0"/>
    <x v="0"/>
    <d v="2024-07-14T00:00:00"/>
    <b v="1"/>
  </r>
  <r>
    <s v="TXN_7821493"/>
    <x v="5"/>
    <x v="0"/>
    <s v="Item_17_PAT"/>
    <n v="29"/>
    <n v="10"/>
    <x v="62"/>
    <x v="1"/>
    <x v="1"/>
    <d v="2024-12-17T00:00:00"/>
    <s v="Null"/>
  </r>
  <r>
    <s v="TXN_8114453"/>
    <x v="13"/>
    <x v="6"/>
    <s v="Item_21_EHE"/>
    <n v="35"/>
    <n v="2"/>
    <x v="63"/>
    <x v="0"/>
    <x v="1"/>
    <d v="2023-05-09T00:00:00"/>
    <b v="0"/>
  </r>
  <r>
    <s v="TXN_8024803"/>
    <x v="0"/>
    <x v="5"/>
    <s v="Item_11_FUR"/>
    <n v="20"/>
    <n v="8"/>
    <x v="64"/>
    <x v="0"/>
    <x v="1"/>
    <d v="2024-08-22T00:00:00"/>
    <b v="0"/>
  </r>
  <r>
    <s v="TXN_4532214"/>
    <x v="8"/>
    <x v="0"/>
    <s v="Null"/>
    <n v="15.5"/>
    <s v="Null"/>
    <x v="7"/>
    <x v="1"/>
    <x v="1"/>
    <d v="2024-03-25T00:00:00"/>
    <b v="0"/>
  </r>
  <r>
    <s v="TXN_5062634"/>
    <x v="14"/>
    <x v="0"/>
    <s v="Item_25_PAT"/>
    <n v="41"/>
    <n v="2"/>
    <x v="65"/>
    <x v="1"/>
    <x v="0"/>
    <d v="2023-07-06T00:00:00"/>
    <b v="1"/>
  </r>
  <r>
    <s v="TXN_8244728"/>
    <x v="17"/>
    <x v="4"/>
    <s v="Item_7_FOOD"/>
    <n v="14"/>
    <n v="1"/>
    <x v="66"/>
    <x v="1"/>
    <x v="1"/>
    <d v="2024-04-27T00:00:00"/>
    <s v="Null"/>
  </r>
  <r>
    <s v="TXN_3858145"/>
    <x v="11"/>
    <x v="5"/>
    <s v="Item_21_FUR"/>
    <n v="35"/>
    <n v="3"/>
    <x v="19"/>
    <x v="0"/>
    <x v="0"/>
    <d v="2023-04-01T00:00:00"/>
    <s v="Null"/>
  </r>
  <r>
    <s v="TXN_2646301"/>
    <x v="16"/>
    <x v="5"/>
    <s v="Item_24_FUR"/>
    <n v="39.5"/>
    <n v="9"/>
    <x v="67"/>
    <x v="1"/>
    <x v="1"/>
    <d v="2022-12-07T00:00:00"/>
    <b v="0"/>
  </r>
  <r>
    <s v="TXN_2414530"/>
    <x v="23"/>
    <x v="1"/>
    <s v="Item_8_MILK"/>
    <n v="15.5"/>
    <n v="8"/>
    <x v="68"/>
    <x v="2"/>
    <x v="0"/>
    <d v="2024-06-20T00:00:00"/>
    <s v="Null"/>
  </r>
  <r>
    <s v="TXN_8322008"/>
    <x v="1"/>
    <x v="4"/>
    <s v="Item_4_FOOD"/>
    <n v="9.5"/>
    <n v="3"/>
    <x v="69"/>
    <x v="2"/>
    <x v="1"/>
    <d v="2024-08-20T00:00:00"/>
    <b v="0"/>
  </r>
  <r>
    <s v="TXN_3035546"/>
    <x v="21"/>
    <x v="3"/>
    <s v="Item_14_BEV"/>
    <n v="24.5"/>
    <n v="2"/>
    <x v="22"/>
    <x v="1"/>
    <x v="1"/>
    <d v="2023-07-12T00:00:00"/>
    <b v="1"/>
  </r>
  <r>
    <s v="TXN_7296720"/>
    <x v="16"/>
    <x v="0"/>
    <s v="Item_4_PAT"/>
    <n v="9.5"/>
    <n v="5"/>
    <x v="70"/>
    <x v="2"/>
    <x v="0"/>
    <d v="2024-09-12T00:00:00"/>
    <s v="Null"/>
  </r>
  <r>
    <s v="TXN_8414071"/>
    <x v="18"/>
    <x v="0"/>
    <s v="Item_12_PAT"/>
    <n v="21.5"/>
    <n v="9"/>
    <x v="71"/>
    <x v="2"/>
    <x v="1"/>
    <d v="2023-05-02T00:00:00"/>
    <b v="1"/>
  </r>
  <r>
    <s v="TXN_5705131"/>
    <x v="21"/>
    <x v="1"/>
    <s v="Item_4_MILK"/>
    <n v="9.5"/>
    <n v="4"/>
    <x v="72"/>
    <x v="0"/>
    <x v="0"/>
    <d v="2024-03-27T00:00:00"/>
    <b v="1"/>
  </r>
  <r>
    <s v="TXN_5938028"/>
    <x v="16"/>
    <x v="7"/>
    <s v="Item_7_CEA"/>
    <n v="14"/>
    <n v="1"/>
    <x v="66"/>
    <x v="0"/>
    <x v="0"/>
    <d v="2023-02-20T00:00:00"/>
    <b v="1"/>
  </r>
  <r>
    <s v="TXN_1958345"/>
    <x v="17"/>
    <x v="6"/>
    <s v="Item_4_EHE"/>
    <n v="9.5"/>
    <n v="8"/>
    <x v="31"/>
    <x v="2"/>
    <x v="1"/>
    <d v="2024-06-28T00:00:00"/>
    <s v="Null"/>
  </r>
  <r>
    <s v="TXN_1528585"/>
    <x v="10"/>
    <x v="6"/>
    <s v="Item_6_EHE"/>
    <n v="12.5"/>
    <n v="1"/>
    <x v="73"/>
    <x v="1"/>
    <x v="1"/>
    <d v="2024-09-17T00:00:00"/>
    <s v="Null"/>
  </r>
  <r>
    <s v="TXN_9619859"/>
    <x v="12"/>
    <x v="2"/>
    <s v="Item_21_BUT"/>
    <n v="35"/>
    <n v="4"/>
    <x v="74"/>
    <x v="2"/>
    <x v="1"/>
    <d v="2024-04-05T00:00:00"/>
    <b v="0"/>
  </r>
  <r>
    <s v="TXN_6158929"/>
    <x v="6"/>
    <x v="4"/>
    <s v="Item_11_FOOD"/>
    <n v="20"/>
    <n v="6"/>
    <x v="75"/>
    <x v="2"/>
    <x v="0"/>
    <d v="2022-01-29T00:00:00"/>
    <b v="1"/>
  </r>
  <r>
    <s v="TXN_7209607"/>
    <x v="8"/>
    <x v="4"/>
    <s v="Item_18_FOOD"/>
    <n v="30.5"/>
    <n v="6"/>
    <x v="76"/>
    <x v="1"/>
    <x v="1"/>
    <d v="2023-08-25T00:00:00"/>
    <s v="Null"/>
  </r>
  <r>
    <s v="TXN_5328604"/>
    <x v="5"/>
    <x v="4"/>
    <s v="Item_20_FOOD"/>
    <n v="33.5"/>
    <n v="10"/>
    <x v="42"/>
    <x v="2"/>
    <x v="0"/>
    <d v="2024-07-08T00:00:00"/>
    <b v="0"/>
  </r>
  <r>
    <s v="TXN_4324641"/>
    <x v="12"/>
    <x v="0"/>
    <s v="Item_16_PAT"/>
    <n v="27.5"/>
    <n v="6"/>
    <x v="39"/>
    <x v="2"/>
    <x v="1"/>
    <d v="2023-11-07T00:00:00"/>
    <b v="0"/>
  </r>
  <r>
    <s v="TXN_9464391"/>
    <x v="14"/>
    <x v="4"/>
    <s v="Item_18_FOOD"/>
    <n v="30.5"/>
    <n v="10"/>
    <x v="77"/>
    <x v="2"/>
    <x v="0"/>
    <d v="2023-11-17T00:00:00"/>
    <s v="Null"/>
  </r>
  <r>
    <s v="TXN_2940500"/>
    <x v="3"/>
    <x v="7"/>
    <s v="Item_25_CEA"/>
    <n v="41"/>
    <n v="1"/>
    <x v="78"/>
    <x v="2"/>
    <x v="1"/>
    <d v="2024-11-05T00:00:00"/>
    <b v="0"/>
  </r>
  <r>
    <s v="TXN_1945960"/>
    <x v="0"/>
    <x v="2"/>
    <s v="Item_8_BUT"/>
    <n v="15.5"/>
    <n v="10"/>
    <x v="79"/>
    <x v="0"/>
    <x v="1"/>
    <d v="2023-04-06T00:00:00"/>
    <b v="0"/>
  </r>
  <r>
    <s v="TXN_8219228"/>
    <x v="11"/>
    <x v="7"/>
    <s v="Item_10_CEA"/>
    <n v="18.5"/>
    <n v="5"/>
    <x v="32"/>
    <x v="2"/>
    <x v="0"/>
    <d v="2022-05-27T00:00:00"/>
    <b v="0"/>
  </r>
  <r>
    <s v="TXN_5471094"/>
    <x v="9"/>
    <x v="2"/>
    <s v="Item_2_BUT"/>
    <n v="6.5"/>
    <n v="3"/>
    <x v="80"/>
    <x v="0"/>
    <x v="1"/>
    <d v="2022-08-24T00:00:00"/>
    <b v="0"/>
  </r>
  <r>
    <s v="TXN_9255329"/>
    <x v="12"/>
    <x v="5"/>
    <s v="Item_25_FUR"/>
    <n v="41"/>
    <n v="7"/>
    <x v="30"/>
    <x v="0"/>
    <x v="1"/>
    <d v="2022-03-02T00:00:00"/>
    <b v="0"/>
  </r>
  <r>
    <s v="TXN_9279462"/>
    <x v="8"/>
    <x v="5"/>
    <s v="Item_5_FUR"/>
    <n v="11"/>
    <n v="3"/>
    <x v="81"/>
    <x v="1"/>
    <x v="1"/>
    <d v="2022-02-05T00:00:00"/>
    <b v="0"/>
  </r>
  <r>
    <s v="TXN_7956502"/>
    <x v="3"/>
    <x v="2"/>
    <s v="Item_8_BUT"/>
    <n v="15.5"/>
    <n v="7"/>
    <x v="82"/>
    <x v="1"/>
    <x v="1"/>
    <d v="2024-04-30T00:00:00"/>
    <s v="Null"/>
  </r>
  <r>
    <s v="TXN_1352831"/>
    <x v="14"/>
    <x v="4"/>
    <s v="Item_22_FOOD"/>
    <n v="36.5"/>
    <n v="3"/>
    <x v="9"/>
    <x v="1"/>
    <x v="0"/>
    <d v="2023-10-31T00:00:00"/>
    <s v="Null"/>
  </r>
  <r>
    <s v="TXN_4372655"/>
    <x v="17"/>
    <x v="4"/>
    <s v="Item_9_FOOD"/>
    <n v="17"/>
    <n v="7"/>
    <x v="83"/>
    <x v="2"/>
    <x v="1"/>
    <d v="2024-11-03T00:00:00"/>
    <b v="0"/>
  </r>
  <r>
    <s v="TXN_5419965"/>
    <x v="7"/>
    <x v="7"/>
    <s v="Null"/>
    <n v="20"/>
    <s v="Null"/>
    <x v="7"/>
    <x v="0"/>
    <x v="0"/>
    <d v="2024-01-16T00:00:00"/>
    <b v="0"/>
  </r>
  <r>
    <s v="TXN_7655704"/>
    <x v="20"/>
    <x v="7"/>
    <s v="Item_21_CEA"/>
    <n v="35"/>
    <n v="8"/>
    <x v="84"/>
    <x v="0"/>
    <x v="0"/>
    <d v="2022-08-08T00:00:00"/>
    <b v="1"/>
  </r>
  <r>
    <s v="TXN_8210621"/>
    <x v="24"/>
    <x v="3"/>
    <s v="Null"/>
    <n v="39.5"/>
    <s v="Null"/>
    <x v="7"/>
    <x v="0"/>
    <x v="0"/>
    <d v="2024-01-03T00:00:00"/>
    <b v="0"/>
  </r>
  <r>
    <s v="TXN_6908058"/>
    <x v="8"/>
    <x v="7"/>
    <s v="Item_8_CEA"/>
    <n v="15.5"/>
    <n v="10"/>
    <x v="79"/>
    <x v="2"/>
    <x v="1"/>
    <d v="2023-07-22T00:00:00"/>
    <b v="0"/>
  </r>
  <r>
    <s v="TXN_9204828"/>
    <x v="5"/>
    <x v="7"/>
    <s v="Item_25_CEA"/>
    <n v="41"/>
    <n v="7"/>
    <x v="30"/>
    <x v="2"/>
    <x v="0"/>
    <d v="2022-03-05T00:00:00"/>
    <s v="Null"/>
  </r>
  <r>
    <s v="TXN_3208232"/>
    <x v="8"/>
    <x v="6"/>
    <s v="Item_8_EHE"/>
    <n v="15.5"/>
    <n v="4"/>
    <x v="85"/>
    <x v="0"/>
    <x v="1"/>
    <d v="2024-01-13T00:00:00"/>
    <b v="0"/>
  </r>
  <r>
    <s v="TXN_8586300"/>
    <x v="20"/>
    <x v="7"/>
    <s v="Null"/>
    <n v="27.5"/>
    <s v="Null"/>
    <x v="7"/>
    <x v="1"/>
    <x v="0"/>
    <d v="2022-02-08T00:00:00"/>
    <b v="0"/>
  </r>
  <r>
    <s v="TXN_2212643"/>
    <x v="0"/>
    <x v="4"/>
    <s v="Item_3_FOOD"/>
    <n v="8"/>
    <n v="4"/>
    <x v="86"/>
    <x v="1"/>
    <x v="1"/>
    <d v="2022-12-29T00:00:00"/>
    <b v="0"/>
  </r>
  <r>
    <s v="TXN_8215469"/>
    <x v="11"/>
    <x v="1"/>
    <s v="Item_23_MILK"/>
    <n v="38"/>
    <n v="10"/>
    <x v="87"/>
    <x v="0"/>
    <x v="1"/>
    <d v="2024-03-16T00:00:00"/>
    <s v="Null"/>
  </r>
  <r>
    <s v="TXN_3403695"/>
    <x v="8"/>
    <x v="3"/>
    <s v="Item_23_BEV"/>
    <n v="38"/>
    <n v="8"/>
    <x v="88"/>
    <x v="2"/>
    <x v="0"/>
    <d v="2024-09-27T00:00:00"/>
    <b v="1"/>
  </r>
  <r>
    <s v="TXN_2878134"/>
    <x v="16"/>
    <x v="2"/>
    <s v="Item_8_BUT"/>
    <n v="15.5"/>
    <n v="9"/>
    <x v="89"/>
    <x v="1"/>
    <x v="1"/>
    <d v="2024-05-10T00:00:00"/>
    <s v="Null"/>
  </r>
  <r>
    <s v="TXN_3123571"/>
    <x v="10"/>
    <x v="5"/>
    <s v="Item_23_FUR"/>
    <n v="38"/>
    <n v="3"/>
    <x v="90"/>
    <x v="0"/>
    <x v="0"/>
    <d v="2022-08-07T00:00:00"/>
    <s v="Null"/>
  </r>
  <r>
    <s v="TXN_9940030"/>
    <x v="8"/>
    <x v="3"/>
    <s v="Item_19_BEV"/>
    <n v="32"/>
    <n v="6"/>
    <x v="91"/>
    <x v="1"/>
    <x v="1"/>
    <d v="2022-01-19T00:00:00"/>
    <b v="1"/>
  </r>
  <r>
    <s v="TXN_6195024"/>
    <x v="15"/>
    <x v="3"/>
    <s v="Item_20_BEV"/>
    <n v="33.5"/>
    <n v="5"/>
    <x v="92"/>
    <x v="2"/>
    <x v="0"/>
    <d v="2024-08-09T00:00:00"/>
    <b v="0"/>
  </r>
  <r>
    <s v="TXN_5243520"/>
    <x v="15"/>
    <x v="0"/>
    <s v="Item_10_PAT"/>
    <n v="18.5"/>
    <n v="5"/>
    <x v="32"/>
    <x v="2"/>
    <x v="1"/>
    <d v="2024-05-16T00:00:00"/>
    <b v="0"/>
  </r>
  <r>
    <s v="TXN_4608122"/>
    <x v="6"/>
    <x v="2"/>
    <s v="Null"/>
    <s v="Null"/>
    <n v="10"/>
    <x v="16"/>
    <x v="0"/>
    <x v="0"/>
    <d v="2022-10-01T00:00:00"/>
    <b v="0"/>
  </r>
  <r>
    <s v="TXN_6923419"/>
    <x v="11"/>
    <x v="5"/>
    <s v="Item_5_FUR"/>
    <n v="11"/>
    <n v="8"/>
    <x v="93"/>
    <x v="0"/>
    <x v="0"/>
    <d v="2022-06-28T00:00:00"/>
    <b v="0"/>
  </r>
  <r>
    <s v="TXN_1112365"/>
    <x v="21"/>
    <x v="4"/>
    <s v="Item_24_FOOD"/>
    <n v="39.5"/>
    <n v="10"/>
    <x v="94"/>
    <x v="2"/>
    <x v="0"/>
    <d v="2023-09-24T00:00:00"/>
    <s v="Null"/>
  </r>
  <r>
    <s v="TXN_6989569"/>
    <x v="20"/>
    <x v="1"/>
    <s v="Item_21_MILK"/>
    <n v="35"/>
    <n v="2"/>
    <x v="63"/>
    <x v="1"/>
    <x v="1"/>
    <d v="2022-01-17T00:00:00"/>
    <b v="0"/>
  </r>
  <r>
    <s v="TXN_5647023"/>
    <x v="19"/>
    <x v="5"/>
    <s v="Item_24_FUR"/>
    <n v="39.5"/>
    <n v="4"/>
    <x v="95"/>
    <x v="0"/>
    <x v="1"/>
    <d v="2022-04-14T00:00:00"/>
    <b v="1"/>
  </r>
  <r>
    <s v="TXN_8049831"/>
    <x v="16"/>
    <x v="3"/>
    <s v="Item_6_BEV"/>
    <n v="12.5"/>
    <n v="2"/>
    <x v="96"/>
    <x v="2"/>
    <x v="1"/>
    <d v="2023-01-05T00:00:00"/>
    <b v="0"/>
  </r>
  <r>
    <s v="TXN_2953434"/>
    <x v="8"/>
    <x v="5"/>
    <s v="Item_25_FUR"/>
    <n v="41"/>
    <n v="10"/>
    <x v="24"/>
    <x v="1"/>
    <x v="1"/>
    <d v="2023-08-10T00:00:00"/>
    <s v="Null"/>
  </r>
  <r>
    <s v="TXN_3831408"/>
    <x v="16"/>
    <x v="1"/>
    <s v="Item_1_MILK"/>
    <n v="5"/>
    <n v="10"/>
    <x v="97"/>
    <x v="0"/>
    <x v="0"/>
    <d v="2022-02-11T00:00:00"/>
    <b v="1"/>
  </r>
  <r>
    <s v="TXN_1249742"/>
    <x v="4"/>
    <x v="1"/>
    <s v="Item_24_MILK"/>
    <n v="39.5"/>
    <n v="10"/>
    <x v="94"/>
    <x v="0"/>
    <x v="0"/>
    <d v="2024-03-21T00:00:00"/>
    <s v="Null"/>
  </r>
  <r>
    <s v="TXN_4633046"/>
    <x v="15"/>
    <x v="7"/>
    <s v="Item_2_CEA"/>
    <n v="6.5"/>
    <n v="5"/>
    <x v="98"/>
    <x v="0"/>
    <x v="0"/>
    <d v="2023-08-25T00:00:00"/>
    <s v="Null"/>
  </r>
  <r>
    <s v="TXN_3519817"/>
    <x v="1"/>
    <x v="2"/>
    <s v="Item_18_BUT"/>
    <n v="30.5"/>
    <n v="4"/>
    <x v="55"/>
    <x v="0"/>
    <x v="0"/>
    <d v="2022-06-14T00:00:00"/>
    <b v="1"/>
  </r>
  <r>
    <s v="TXN_1154680"/>
    <x v="8"/>
    <x v="5"/>
    <s v="Null"/>
    <n v="35"/>
    <s v="Null"/>
    <x v="7"/>
    <x v="1"/>
    <x v="0"/>
    <d v="2022-12-18T00:00:00"/>
    <b v="0"/>
  </r>
  <r>
    <s v="TXN_9177662"/>
    <x v="10"/>
    <x v="5"/>
    <s v="Null"/>
    <n v="24.5"/>
    <s v="Null"/>
    <x v="7"/>
    <x v="2"/>
    <x v="1"/>
    <d v="2024-09-30T00:00:00"/>
    <b v="1"/>
  </r>
  <r>
    <s v="TXN_4801202"/>
    <x v="22"/>
    <x v="5"/>
    <s v="Item_1_FUR"/>
    <n v="5"/>
    <n v="3"/>
    <x v="99"/>
    <x v="0"/>
    <x v="0"/>
    <d v="2024-05-31T00:00:00"/>
    <b v="0"/>
  </r>
  <r>
    <s v="TXN_6149882"/>
    <x v="0"/>
    <x v="3"/>
    <s v="Item_20_BEV"/>
    <n v="33.5"/>
    <n v="1"/>
    <x v="100"/>
    <x v="1"/>
    <x v="0"/>
    <d v="2023-01-22T00:00:00"/>
    <s v="Null"/>
  </r>
  <r>
    <s v="TXN_8809000"/>
    <x v="7"/>
    <x v="1"/>
    <s v="Item_3_MILK"/>
    <n v="8"/>
    <n v="3"/>
    <x v="101"/>
    <x v="2"/>
    <x v="1"/>
    <d v="2023-01-10T00:00:00"/>
    <s v="Null"/>
  </r>
  <r>
    <s v="TXN_5008001"/>
    <x v="24"/>
    <x v="6"/>
    <s v="Item_10_EHE"/>
    <n v="18.5"/>
    <n v="6"/>
    <x v="102"/>
    <x v="1"/>
    <x v="0"/>
    <d v="2024-11-04T00:00:00"/>
    <s v="Null"/>
  </r>
  <r>
    <s v="TXN_5111184"/>
    <x v="21"/>
    <x v="1"/>
    <s v="Item_11_MILK"/>
    <n v="20"/>
    <n v="6"/>
    <x v="75"/>
    <x v="1"/>
    <x v="0"/>
    <d v="2024-07-18T00:00:00"/>
    <b v="1"/>
  </r>
  <r>
    <s v="TXN_1499774"/>
    <x v="5"/>
    <x v="2"/>
    <s v="Item_3_BUT"/>
    <n v="8"/>
    <n v="5"/>
    <x v="6"/>
    <x v="1"/>
    <x v="1"/>
    <d v="2022-12-15T00:00:00"/>
    <b v="1"/>
  </r>
  <r>
    <s v="TXN_2565828"/>
    <x v="6"/>
    <x v="4"/>
    <s v="Item_24_FOOD"/>
    <n v="39.5"/>
    <n v="10"/>
    <x v="94"/>
    <x v="1"/>
    <x v="0"/>
    <d v="2022-02-18T00:00:00"/>
    <b v="0"/>
  </r>
  <r>
    <s v="TXN_6312937"/>
    <x v="9"/>
    <x v="7"/>
    <s v="Item_13_CEA"/>
    <n v="23"/>
    <n v="2"/>
    <x v="103"/>
    <x v="0"/>
    <x v="1"/>
    <d v="2024-02-09T00:00:00"/>
    <b v="0"/>
  </r>
  <r>
    <s v="TXN_8775503"/>
    <x v="17"/>
    <x v="7"/>
    <s v="Item_6_CEA"/>
    <n v="12.5"/>
    <n v="2"/>
    <x v="96"/>
    <x v="0"/>
    <x v="1"/>
    <d v="2024-10-11T00:00:00"/>
    <b v="0"/>
  </r>
  <r>
    <s v="TXN_3541663"/>
    <x v="8"/>
    <x v="5"/>
    <s v="Item_2_FUR"/>
    <n v="6.5"/>
    <n v="5"/>
    <x v="98"/>
    <x v="0"/>
    <x v="1"/>
    <d v="2023-07-19T00:00:00"/>
    <s v="Null"/>
  </r>
  <r>
    <s v="TXN_4947386"/>
    <x v="15"/>
    <x v="4"/>
    <s v="Item_18_FOOD"/>
    <n v="30.5"/>
    <n v="10"/>
    <x v="77"/>
    <x v="2"/>
    <x v="0"/>
    <d v="2024-11-12T00:00:00"/>
    <b v="0"/>
  </r>
  <r>
    <s v="TXN_4276451"/>
    <x v="11"/>
    <x v="3"/>
    <s v="Item_22_BEV"/>
    <n v="36.5"/>
    <n v="1"/>
    <x v="104"/>
    <x v="1"/>
    <x v="0"/>
    <d v="2024-05-27T00:00:00"/>
    <b v="0"/>
  </r>
  <r>
    <s v="TXN_3380295"/>
    <x v="17"/>
    <x v="3"/>
    <s v="Item_6_BEV"/>
    <n v="12.5"/>
    <n v="5"/>
    <x v="105"/>
    <x v="2"/>
    <x v="0"/>
    <d v="2023-02-08T00:00:00"/>
    <b v="0"/>
  </r>
  <r>
    <s v="TXN_1390866"/>
    <x v="0"/>
    <x v="0"/>
    <s v="Item_6_PAT"/>
    <n v="12.5"/>
    <n v="2"/>
    <x v="96"/>
    <x v="0"/>
    <x v="1"/>
    <d v="2024-03-30T00:00:00"/>
    <s v="Null"/>
  </r>
  <r>
    <s v="TXN_8616546"/>
    <x v="0"/>
    <x v="3"/>
    <s v="Item_21_BEV"/>
    <n v="35"/>
    <n v="8"/>
    <x v="84"/>
    <x v="1"/>
    <x v="0"/>
    <d v="2023-04-01T00:00:00"/>
    <b v="1"/>
  </r>
  <r>
    <s v="TXN_1804192"/>
    <x v="18"/>
    <x v="5"/>
    <s v="Item_8_FUR"/>
    <n v="15.5"/>
    <n v="9"/>
    <x v="89"/>
    <x v="2"/>
    <x v="0"/>
    <d v="2024-06-07T00:00:00"/>
    <s v="Null"/>
  </r>
  <r>
    <s v="TXN_5046818"/>
    <x v="2"/>
    <x v="2"/>
    <s v="Item_22_BUT"/>
    <n v="36.5"/>
    <n v="6"/>
    <x v="59"/>
    <x v="0"/>
    <x v="1"/>
    <d v="2024-07-03T00:00:00"/>
    <b v="0"/>
  </r>
  <r>
    <s v="TXN_4626993"/>
    <x v="23"/>
    <x v="2"/>
    <s v="Item_13_BUT"/>
    <n v="23"/>
    <n v="7"/>
    <x v="106"/>
    <x v="1"/>
    <x v="0"/>
    <d v="2023-08-23T00:00:00"/>
    <b v="0"/>
  </r>
  <r>
    <s v="TXN_5256349"/>
    <x v="8"/>
    <x v="3"/>
    <s v="Item_2_BEV"/>
    <n v="6.5"/>
    <n v="4"/>
    <x v="107"/>
    <x v="0"/>
    <x v="0"/>
    <d v="2022-09-27T00:00:00"/>
    <b v="0"/>
  </r>
  <r>
    <s v="TXN_3822751"/>
    <x v="6"/>
    <x v="2"/>
    <s v="Null"/>
    <s v="Null"/>
    <n v="9"/>
    <x v="18"/>
    <x v="0"/>
    <x v="1"/>
    <d v="2024-03-04T00:00:00"/>
    <b v="0"/>
  </r>
  <r>
    <s v="TXN_1882210"/>
    <x v="15"/>
    <x v="4"/>
    <s v="Item_14_FOOD"/>
    <n v="24.5"/>
    <n v="4"/>
    <x v="108"/>
    <x v="0"/>
    <x v="1"/>
    <d v="2022-03-02T00:00:00"/>
    <s v="Null"/>
  </r>
  <r>
    <s v="TXN_9209383"/>
    <x v="19"/>
    <x v="6"/>
    <s v="Item_7_EHE"/>
    <n v="14"/>
    <n v="9"/>
    <x v="18"/>
    <x v="1"/>
    <x v="1"/>
    <d v="2024-09-16T00:00:00"/>
    <b v="0"/>
  </r>
  <r>
    <s v="TXN_2196324"/>
    <x v="20"/>
    <x v="2"/>
    <s v="Item_21_BUT"/>
    <n v="35"/>
    <n v="9"/>
    <x v="29"/>
    <x v="2"/>
    <x v="1"/>
    <d v="2024-02-08T00:00:00"/>
    <b v="1"/>
  </r>
  <r>
    <s v="TXN_7020797"/>
    <x v="1"/>
    <x v="4"/>
    <s v="Item_9_FOOD"/>
    <n v="17"/>
    <n v="5"/>
    <x v="109"/>
    <x v="0"/>
    <x v="1"/>
    <d v="2024-04-20T00:00:00"/>
    <b v="0"/>
  </r>
  <r>
    <s v="TXN_7594834"/>
    <x v="1"/>
    <x v="5"/>
    <s v="Item_25_FUR"/>
    <n v="41"/>
    <n v="1"/>
    <x v="78"/>
    <x v="1"/>
    <x v="1"/>
    <d v="2024-03-16T00:00:00"/>
    <b v="0"/>
  </r>
  <r>
    <s v="TXN_3229559"/>
    <x v="2"/>
    <x v="3"/>
    <s v="Item_7_BEV"/>
    <n v="14"/>
    <n v="9"/>
    <x v="18"/>
    <x v="0"/>
    <x v="0"/>
    <d v="2022-12-02T00:00:00"/>
    <b v="1"/>
  </r>
  <r>
    <s v="TXN_1336269"/>
    <x v="21"/>
    <x v="3"/>
    <s v="Item_7_BEV"/>
    <n v="14"/>
    <n v="6"/>
    <x v="57"/>
    <x v="0"/>
    <x v="0"/>
    <d v="2024-12-25T00:00:00"/>
    <s v="Null"/>
  </r>
  <r>
    <s v="TXN_2479337"/>
    <x v="13"/>
    <x v="0"/>
    <s v="Item_25_PAT"/>
    <n v="41"/>
    <n v="7"/>
    <x v="30"/>
    <x v="1"/>
    <x v="1"/>
    <d v="2023-08-05T00:00:00"/>
    <s v="Null"/>
  </r>
  <r>
    <s v="TXN_8784273"/>
    <x v="8"/>
    <x v="7"/>
    <s v="Item_14_CEA"/>
    <n v="24.5"/>
    <n v="4"/>
    <x v="108"/>
    <x v="2"/>
    <x v="1"/>
    <d v="2022-05-02T00:00:00"/>
    <s v="Null"/>
  </r>
  <r>
    <s v="TXN_7771182"/>
    <x v="13"/>
    <x v="6"/>
    <s v="Item_19_EHE"/>
    <n v="32"/>
    <n v="6"/>
    <x v="91"/>
    <x v="1"/>
    <x v="1"/>
    <d v="2022-01-20T00:00:00"/>
    <s v="Null"/>
  </r>
  <r>
    <s v="TXN_1132339"/>
    <x v="12"/>
    <x v="3"/>
    <s v="Item_11_BEV"/>
    <n v="20"/>
    <n v="4"/>
    <x v="40"/>
    <x v="1"/>
    <x v="0"/>
    <d v="2023-07-12T00:00:00"/>
    <s v="Null"/>
  </r>
  <r>
    <s v="TXN_8283332"/>
    <x v="22"/>
    <x v="3"/>
    <s v="Item_23_BEV"/>
    <n v="38"/>
    <n v="6"/>
    <x v="110"/>
    <x v="2"/>
    <x v="0"/>
    <d v="2023-11-13T00:00:00"/>
    <b v="0"/>
  </r>
  <r>
    <s v="TXN_9496190"/>
    <x v="16"/>
    <x v="7"/>
    <s v="Item_18_CEA"/>
    <n v="30.5"/>
    <n v="3"/>
    <x v="111"/>
    <x v="2"/>
    <x v="0"/>
    <d v="2024-02-24T00:00:00"/>
    <s v="Null"/>
  </r>
  <r>
    <s v="TXN_5205620"/>
    <x v="11"/>
    <x v="0"/>
    <s v="Item_11_PAT"/>
    <n v="20"/>
    <n v="7"/>
    <x v="74"/>
    <x v="2"/>
    <x v="1"/>
    <d v="2023-06-26T00:00:00"/>
    <b v="1"/>
  </r>
  <r>
    <s v="TXN_4448047"/>
    <x v="24"/>
    <x v="1"/>
    <s v="Item_8_MILK"/>
    <n v="15.5"/>
    <n v="6"/>
    <x v="112"/>
    <x v="1"/>
    <x v="0"/>
    <d v="2022-06-15T00:00:00"/>
    <b v="0"/>
  </r>
  <r>
    <s v="TXN_2163190"/>
    <x v="18"/>
    <x v="0"/>
    <s v="Item_16_PAT"/>
    <n v="27.5"/>
    <n v="2"/>
    <x v="14"/>
    <x v="0"/>
    <x v="0"/>
    <d v="2022-05-30T00:00:00"/>
    <b v="1"/>
  </r>
  <r>
    <s v="TXN_3338914"/>
    <x v="22"/>
    <x v="4"/>
    <s v="Item_20_FOOD"/>
    <n v="33.5"/>
    <n v="10"/>
    <x v="42"/>
    <x v="0"/>
    <x v="0"/>
    <d v="2024-05-29T00:00:00"/>
    <b v="0"/>
  </r>
  <r>
    <s v="TXN_8959624"/>
    <x v="0"/>
    <x v="1"/>
    <s v="Item_1_MILK"/>
    <n v="5"/>
    <n v="7"/>
    <x v="113"/>
    <x v="0"/>
    <x v="0"/>
    <d v="2024-12-18T00:00:00"/>
    <b v="0"/>
  </r>
  <r>
    <s v="TXN_1821423"/>
    <x v="1"/>
    <x v="5"/>
    <s v="Item_25_FUR"/>
    <n v="41"/>
    <n v="2"/>
    <x v="65"/>
    <x v="1"/>
    <x v="0"/>
    <d v="2022-01-13T00:00:00"/>
    <s v="Null"/>
  </r>
  <r>
    <s v="TXN_1175914"/>
    <x v="15"/>
    <x v="2"/>
    <s v="Null"/>
    <n v="23"/>
    <s v="Null"/>
    <x v="7"/>
    <x v="2"/>
    <x v="1"/>
    <d v="2023-05-19T00:00:00"/>
    <b v="0"/>
  </r>
  <r>
    <s v="TXN_9760482"/>
    <x v="5"/>
    <x v="7"/>
    <s v="Item_11_CEA"/>
    <n v="20"/>
    <n v="9"/>
    <x v="51"/>
    <x v="0"/>
    <x v="1"/>
    <d v="2023-01-06T00:00:00"/>
    <b v="1"/>
  </r>
  <r>
    <s v="TXN_8460432"/>
    <x v="10"/>
    <x v="5"/>
    <s v="Item_5_FUR"/>
    <n v="11"/>
    <n v="8"/>
    <x v="93"/>
    <x v="0"/>
    <x v="0"/>
    <d v="2022-02-05T00:00:00"/>
    <s v="Null"/>
  </r>
  <r>
    <s v="TXN_9610555"/>
    <x v="10"/>
    <x v="3"/>
    <s v="Null"/>
    <n v="6.5"/>
    <s v="Null"/>
    <x v="7"/>
    <x v="2"/>
    <x v="1"/>
    <d v="2022-11-15T00:00:00"/>
    <b v="0"/>
  </r>
  <r>
    <s v="TXN_8136588"/>
    <x v="5"/>
    <x v="1"/>
    <s v="Item_16_MILK"/>
    <n v="27.5"/>
    <n v="7"/>
    <x v="41"/>
    <x v="0"/>
    <x v="1"/>
    <d v="2022-10-24T00:00:00"/>
    <b v="0"/>
  </r>
  <r>
    <s v="TXN_6630594"/>
    <x v="5"/>
    <x v="1"/>
    <s v="Item_3_MILK"/>
    <n v="8"/>
    <n v="5"/>
    <x v="6"/>
    <x v="2"/>
    <x v="1"/>
    <d v="2023-12-03T00:00:00"/>
    <s v="Null"/>
  </r>
  <r>
    <s v="TXN_4844684"/>
    <x v="18"/>
    <x v="2"/>
    <s v="Item_20_BUT"/>
    <n v="33.5"/>
    <n v="5"/>
    <x v="92"/>
    <x v="0"/>
    <x v="0"/>
    <d v="2022-07-23T00:00:00"/>
    <b v="0"/>
  </r>
  <r>
    <s v="TXN_9882772"/>
    <x v="0"/>
    <x v="5"/>
    <s v="Item_17_FUR"/>
    <n v="29"/>
    <n v="9"/>
    <x v="1"/>
    <x v="2"/>
    <x v="0"/>
    <d v="2023-08-07T00:00:00"/>
    <b v="1"/>
  </r>
  <r>
    <s v="TXN_2611065"/>
    <x v="14"/>
    <x v="1"/>
    <s v="Item_15_MILK"/>
    <n v="26"/>
    <n v="8"/>
    <x v="114"/>
    <x v="2"/>
    <x v="1"/>
    <d v="2023-02-05T00:00:00"/>
    <s v="Null"/>
  </r>
  <r>
    <s v="TXN_9896056"/>
    <x v="13"/>
    <x v="6"/>
    <s v="Item_20_EHE"/>
    <n v="33.5"/>
    <n v="3"/>
    <x v="115"/>
    <x v="0"/>
    <x v="0"/>
    <d v="2022-12-29T00:00:00"/>
    <b v="1"/>
  </r>
  <r>
    <s v="TXN_2749184"/>
    <x v="23"/>
    <x v="4"/>
    <s v="Item_20_FOOD"/>
    <n v="33.5"/>
    <n v="5"/>
    <x v="92"/>
    <x v="1"/>
    <x v="0"/>
    <d v="2023-04-18T00:00:00"/>
    <s v="Null"/>
  </r>
  <r>
    <s v="TXN_3135312"/>
    <x v="20"/>
    <x v="6"/>
    <s v="Item_16_EHE"/>
    <n v="27.5"/>
    <n v="10"/>
    <x v="16"/>
    <x v="2"/>
    <x v="0"/>
    <d v="2022-09-27T00:00:00"/>
    <b v="1"/>
  </r>
  <r>
    <s v="TXN_4879766"/>
    <x v="15"/>
    <x v="7"/>
    <s v="Item_20_CEA"/>
    <n v="33.5"/>
    <n v="4"/>
    <x v="23"/>
    <x v="0"/>
    <x v="0"/>
    <d v="2023-06-03T00:00:00"/>
    <b v="0"/>
  </r>
  <r>
    <s v="TXN_5822350"/>
    <x v="22"/>
    <x v="6"/>
    <s v="Item_23_EHE"/>
    <n v="38"/>
    <n v="1"/>
    <x v="72"/>
    <x v="2"/>
    <x v="1"/>
    <d v="2022-03-21T00:00:00"/>
    <b v="1"/>
  </r>
  <r>
    <s v="TXN_2755139"/>
    <x v="6"/>
    <x v="1"/>
    <s v="Item_4_MILK"/>
    <n v="9.5"/>
    <n v="1"/>
    <x v="116"/>
    <x v="0"/>
    <x v="0"/>
    <d v="2023-12-19T00:00:00"/>
    <b v="0"/>
  </r>
  <r>
    <s v="TXN_1484334"/>
    <x v="12"/>
    <x v="2"/>
    <s v="Item_7_BUT"/>
    <n v="14"/>
    <n v="3"/>
    <x v="46"/>
    <x v="2"/>
    <x v="0"/>
    <d v="2023-03-19T00:00:00"/>
    <s v="Null"/>
  </r>
  <r>
    <s v="TXN_3557526"/>
    <x v="6"/>
    <x v="7"/>
    <s v="Item_16_CEA"/>
    <n v="27.5"/>
    <n v="9"/>
    <x v="3"/>
    <x v="0"/>
    <x v="1"/>
    <d v="2023-12-25T00:00:00"/>
    <s v="Null"/>
  </r>
  <r>
    <s v="TXN_8960682"/>
    <x v="8"/>
    <x v="6"/>
    <s v="Item_1_EHE"/>
    <n v="5"/>
    <n v="2"/>
    <x v="117"/>
    <x v="2"/>
    <x v="0"/>
    <d v="2023-06-10T00:00:00"/>
    <b v="0"/>
  </r>
  <r>
    <s v="TXN_8973416"/>
    <x v="15"/>
    <x v="2"/>
    <s v="Item_13_BUT"/>
    <n v="23"/>
    <n v="6"/>
    <x v="118"/>
    <x v="2"/>
    <x v="1"/>
    <d v="2022-09-10T00:00:00"/>
    <b v="1"/>
  </r>
  <r>
    <s v="TXN_5487046"/>
    <x v="1"/>
    <x v="7"/>
    <s v="Item_19_CEA"/>
    <n v="32"/>
    <n v="9"/>
    <x v="119"/>
    <x v="2"/>
    <x v="0"/>
    <d v="2022-06-06T00:00:00"/>
    <b v="0"/>
  </r>
  <r>
    <s v="TXN_5945222"/>
    <x v="14"/>
    <x v="2"/>
    <s v="Item_20_BUT"/>
    <n v="33.5"/>
    <n v="5"/>
    <x v="92"/>
    <x v="0"/>
    <x v="1"/>
    <d v="2024-08-11T00:00:00"/>
    <b v="0"/>
  </r>
  <r>
    <s v="TXN_1334483"/>
    <x v="11"/>
    <x v="7"/>
    <s v="Item_11_CEA"/>
    <n v="20"/>
    <n v="3"/>
    <x v="120"/>
    <x v="2"/>
    <x v="0"/>
    <d v="2023-07-17T00:00:00"/>
    <b v="0"/>
  </r>
  <r>
    <s v="TXN_8777313"/>
    <x v="18"/>
    <x v="4"/>
    <s v="Item_25_FOOD"/>
    <n v="41"/>
    <n v="3"/>
    <x v="121"/>
    <x v="0"/>
    <x v="1"/>
    <d v="2023-04-20T00:00:00"/>
    <b v="0"/>
  </r>
  <r>
    <s v="TXN_2690179"/>
    <x v="19"/>
    <x v="6"/>
    <s v="Item_12_EHE"/>
    <n v="21.5"/>
    <n v="2"/>
    <x v="2"/>
    <x v="0"/>
    <x v="1"/>
    <d v="2023-09-09T00:00:00"/>
    <b v="1"/>
  </r>
  <r>
    <s v="TXN_2795990"/>
    <x v="24"/>
    <x v="6"/>
    <s v="Item_22_EHE"/>
    <n v="36.5"/>
    <n v="2"/>
    <x v="122"/>
    <x v="0"/>
    <x v="1"/>
    <d v="2024-07-15T00:00:00"/>
    <b v="0"/>
  </r>
  <r>
    <s v="TXN_1402493"/>
    <x v="23"/>
    <x v="5"/>
    <s v="Item_24_FUR"/>
    <n v="39.5"/>
    <n v="5"/>
    <x v="123"/>
    <x v="1"/>
    <x v="1"/>
    <d v="2024-11-27T00:00:00"/>
    <s v="Null"/>
  </r>
  <r>
    <s v="TXN_2438514"/>
    <x v="10"/>
    <x v="0"/>
    <s v="Item_13_PAT"/>
    <n v="23"/>
    <n v="3"/>
    <x v="124"/>
    <x v="0"/>
    <x v="0"/>
    <d v="2024-02-13T00:00:00"/>
    <b v="1"/>
  </r>
  <r>
    <s v="TXN_6229786"/>
    <x v="14"/>
    <x v="4"/>
    <s v="Item_18_FOOD"/>
    <n v="30.5"/>
    <n v="2"/>
    <x v="125"/>
    <x v="2"/>
    <x v="1"/>
    <d v="2022-01-20T00:00:00"/>
    <b v="0"/>
  </r>
  <r>
    <s v="TXN_6490151"/>
    <x v="17"/>
    <x v="7"/>
    <s v="Item_21_CEA"/>
    <n v="35"/>
    <n v="4"/>
    <x v="74"/>
    <x v="0"/>
    <x v="1"/>
    <d v="2024-10-17T00:00:00"/>
    <b v="0"/>
  </r>
  <r>
    <s v="TXN_9331694"/>
    <x v="15"/>
    <x v="7"/>
    <s v="Item_2_CEA"/>
    <n v="6.5"/>
    <n v="8"/>
    <x v="11"/>
    <x v="1"/>
    <x v="0"/>
    <d v="2023-12-09T00:00:00"/>
    <b v="0"/>
  </r>
  <r>
    <s v="TXN_8547389"/>
    <x v="20"/>
    <x v="6"/>
    <s v="Item_17_EHE"/>
    <n v="29"/>
    <n v="4"/>
    <x v="126"/>
    <x v="2"/>
    <x v="0"/>
    <d v="2022-05-26T00:00:00"/>
    <b v="0"/>
  </r>
  <r>
    <s v="TXN_7324151"/>
    <x v="22"/>
    <x v="7"/>
    <s v="Item_21_CEA"/>
    <n v="35"/>
    <n v="2"/>
    <x v="63"/>
    <x v="1"/>
    <x v="1"/>
    <d v="2024-08-30T00:00:00"/>
    <b v="0"/>
  </r>
  <r>
    <s v="TXN_1588276"/>
    <x v="18"/>
    <x v="2"/>
    <s v="Item_8_BUT"/>
    <n v="15.5"/>
    <n v="3"/>
    <x v="36"/>
    <x v="0"/>
    <x v="1"/>
    <d v="2022-10-08T00:00:00"/>
    <s v="Null"/>
  </r>
  <r>
    <s v="TXN_6590263"/>
    <x v="9"/>
    <x v="0"/>
    <s v="Item_1_PAT"/>
    <n v="5"/>
    <n v="7"/>
    <x v="113"/>
    <x v="0"/>
    <x v="0"/>
    <d v="2024-12-11T00:00:00"/>
    <b v="0"/>
  </r>
  <r>
    <s v="TXN_2251132"/>
    <x v="18"/>
    <x v="4"/>
    <s v="Item_6_FOOD"/>
    <n v="12.5"/>
    <n v="4"/>
    <x v="97"/>
    <x v="2"/>
    <x v="0"/>
    <d v="2024-07-15T00:00:00"/>
    <b v="0"/>
  </r>
  <r>
    <s v="TXN_1048755"/>
    <x v="4"/>
    <x v="2"/>
    <s v="Item_25_BUT"/>
    <n v="41"/>
    <n v="3"/>
    <x v="121"/>
    <x v="1"/>
    <x v="0"/>
    <d v="2024-10-06T00:00:00"/>
    <b v="1"/>
  </r>
  <r>
    <s v="TXN_2530704"/>
    <x v="8"/>
    <x v="2"/>
    <s v="Item_23_BUT"/>
    <n v="38"/>
    <n v="2"/>
    <x v="31"/>
    <x v="0"/>
    <x v="1"/>
    <d v="2024-01-04T00:00:00"/>
    <b v="0"/>
  </r>
  <r>
    <s v="TXN_7804271"/>
    <x v="1"/>
    <x v="0"/>
    <s v="Null"/>
    <s v="Null"/>
    <n v="8"/>
    <x v="6"/>
    <x v="2"/>
    <x v="0"/>
    <d v="2023-02-10T00:00:00"/>
    <s v="Null"/>
  </r>
  <r>
    <s v="TXN_6926974"/>
    <x v="1"/>
    <x v="7"/>
    <s v="Item_4_CEA"/>
    <n v="9.5"/>
    <n v="5"/>
    <x v="70"/>
    <x v="1"/>
    <x v="0"/>
    <d v="2024-10-16T00:00:00"/>
    <s v="Null"/>
  </r>
  <r>
    <s v="TXN_1722933"/>
    <x v="18"/>
    <x v="7"/>
    <s v="Item_21_CEA"/>
    <n v="35"/>
    <n v="7"/>
    <x v="25"/>
    <x v="2"/>
    <x v="0"/>
    <d v="2023-08-12T00:00:00"/>
    <b v="0"/>
  </r>
  <r>
    <s v="TXN_5846723"/>
    <x v="4"/>
    <x v="0"/>
    <s v="Item_10_PAT"/>
    <n v="18.5"/>
    <n v="3"/>
    <x v="127"/>
    <x v="2"/>
    <x v="1"/>
    <d v="2024-01-28T00:00:00"/>
    <b v="0"/>
  </r>
  <r>
    <s v="TXN_8759839"/>
    <x v="13"/>
    <x v="1"/>
    <s v="Item_2_MILK"/>
    <n v="6.5"/>
    <n v="1"/>
    <x v="128"/>
    <x v="0"/>
    <x v="0"/>
    <d v="2024-06-03T00:00:00"/>
    <b v="0"/>
  </r>
  <r>
    <s v="TXN_1747548"/>
    <x v="14"/>
    <x v="3"/>
    <s v="Item_25_BEV"/>
    <n v="41"/>
    <n v="2"/>
    <x v="65"/>
    <x v="0"/>
    <x v="0"/>
    <d v="2024-11-06T00:00:00"/>
    <s v="Null"/>
  </r>
  <r>
    <s v="TXN_2202698"/>
    <x v="22"/>
    <x v="1"/>
    <s v="Item_8_MILK"/>
    <n v="15.5"/>
    <n v="6"/>
    <x v="112"/>
    <x v="0"/>
    <x v="1"/>
    <d v="2022-08-18T00:00:00"/>
    <b v="0"/>
  </r>
  <r>
    <s v="TXN_7296074"/>
    <x v="7"/>
    <x v="7"/>
    <s v="Item_18_CEA"/>
    <n v="30.5"/>
    <n v="5"/>
    <x v="129"/>
    <x v="1"/>
    <x v="0"/>
    <d v="2022-10-09T00:00:00"/>
    <b v="1"/>
  </r>
  <r>
    <s v="TXN_8786633"/>
    <x v="22"/>
    <x v="0"/>
    <s v="Item_24_PAT"/>
    <n v="39.5"/>
    <n v="3"/>
    <x v="130"/>
    <x v="1"/>
    <x v="0"/>
    <d v="2022-09-14T00:00:00"/>
    <s v="Null"/>
  </r>
  <r>
    <s v="TXN_4174281"/>
    <x v="21"/>
    <x v="2"/>
    <s v="Item_1_BUT"/>
    <n v="5"/>
    <n v="7"/>
    <x v="113"/>
    <x v="0"/>
    <x v="1"/>
    <d v="2023-04-18T00:00:00"/>
    <s v="Null"/>
  </r>
  <r>
    <s v="TXN_3866783"/>
    <x v="19"/>
    <x v="4"/>
    <s v="Item_25_FOOD"/>
    <n v="41"/>
    <n v="3"/>
    <x v="121"/>
    <x v="1"/>
    <x v="1"/>
    <d v="2022-03-27T00:00:00"/>
    <b v="0"/>
  </r>
  <r>
    <s v="TXN_9048177"/>
    <x v="17"/>
    <x v="0"/>
    <s v="Item_6_PAT"/>
    <n v="12.5"/>
    <n v="2"/>
    <x v="96"/>
    <x v="0"/>
    <x v="1"/>
    <d v="2023-11-03T00:00:00"/>
    <b v="0"/>
  </r>
  <r>
    <s v="TXN_8842339"/>
    <x v="1"/>
    <x v="3"/>
    <s v="Item_12_BEV"/>
    <n v="21.5"/>
    <n v="8"/>
    <x v="54"/>
    <x v="0"/>
    <x v="1"/>
    <d v="2023-05-14T00:00:00"/>
    <b v="0"/>
  </r>
  <r>
    <s v="TXN_6288602"/>
    <x v="19"/>
    <x v="2"/>
    <s v="Item_21_BUT"/>
    <n v="35"/>
    <n v="8"/>
    <x v="84"/>
    <x v="1"/>
    <x v="1"/>
    <d v="2023-11-28T00:00:00"/>
    <b v="1"/>
  </r>
  <r>
    <s v="TXN_3805794"/>
    <x v="4"/>
    <x v="2"/>
    <s v="Item_23_BUT"/>
    <n v="38"/>
    <n v="5"/>
    <x v="33"/>
    <x v="1"/>
    <x v="0"/>
    <d v="2024-08-29T00:00:00"/>
    <s v="Null"/>
  </r>
  <r>
    <s v="TXN_5488509"/>
    <x v="6"/>
    <x v="2"/>
    <s v="Item_16_BUT"/>
    <n v="27.5"/>
    <n v="7"/>
    <x v="41"/>
    <x v="0"/>
    <x v="0"/>
    <d v="2022-02-12T00:00:00"/>
    <b v="0"/>
  </r>
  <r>
    <s v="TXN_1811555"/>
    <x v="10"/>
    <x v="4"/>
    <s v="Null"/>
    <n v="30.5"/>
    <s v="Null"/>
    <x v="7"/>
    <x v="2"/>
    <x v="0"/>
    <d v="2023-07-31T00:00:00"/>
    <s v="Null"/>
  </r>
  <r>
    <s v="TXN_4878744"/>
    <x v="2"/>
    <x v="6"/>
    <s v="Item_10_EHE"/>
    <n v="18.5"/>
    <n v="4"/>
    <x v="131"/>
    <x v="0"/>
    <x v="0"/>
    <d v="2022-06-26T00:00:00"/>
    <s v="Null"/>
  </r>
  <r>
    <s v="TXN_9246169"/>
    <x v="9"/>
    <x v="6"/>
    <s v="Null"/>
    <n v="38"/>
    <s v="Null"/>
    <x v="7"/>
    <x v="2"/>
    <x v="0"/>
    <d v="2023-08-16T00:00:00"/>
    <b v="0"/>
  </r>
  <r>
    <s v="TXN_3303186"/>
    <x v="3"/>
    <x v="4"/>
    <s v="Item_5_FOOD"/>
    <n v="11"/>
    <n v="6"/>
    <x v="43"/>
    <x v="1"/>
    <x v="1"/>
    <d v="2022-06-10T00:00:00"/>
    <s v="Null"/>
  </r>
  <r>
    <s v="TXN_8503614"/>
    <x v="19"/>
    <x v="6"/>
    <s v="Item_21_EHE"/>
    <n v="35"/>
    <n v="3"/>
    <x v="19"/>
    <x v="1"/>
    <x v="0"/>
    <d v="2022-12-14T00:00:00"/>
    <b v="1"/>
  </r>
  <r>
    <s v="TXN_7214951"/>
    <x v="14"/>
    <x v="3"/>
    <s v="Item_25_BEV"/>
    <n v="41"/>
    <n v="5"/>
    <x v="132"/>
    <x v="2"/>
    <x v="1"/>
    <d v="2023-10-12T00:00:00"/>
    <s v="Null"/>
  </r>
  <r>
    <s v="TXN_7423171"/>
    <x v="6"/>
    <x v="4"/>
    <s v="Item_12_FOOD"/>
    <n v="21.5"/>
    <n v="7"/>
    <x v="133"/>
    <x v="0"/>
    <x v="1"/>
    <d v="2024-09-13T00:00:00"/>
    <b v="0"/>
  </r>
  <r>
    <s v="TXN_1583510"/>
    <x v="20"/>
    <x v="7"/>
    <s v="Item_5_CEA"/>
    <n v="11"/>
    <n v="10"/>
    <x v="134"/>
    <x v="2"/>
    <x v="0"/>
    <d v="2024-01-29T00:00:00"/>
    <s v="Null"/>
  </r>
  <r>
    <s v="TXN_7443511"/>
    <x v="17"/>
    <x v="1"/>
    <s v="Item_1_MILK"/>
    <n v="5"/>
    <n v="2"/>
    <x v="117"/>
    <x v="0"/>
    <x v="0"/>
    <d v="2023-05-07T00:00:00"/>
    <b v="1"/>
  </r>
  <r>
    <s v="TXN_4394615"/>
    <x v="18"/>
    <x v="1"/>
    <s v="Item_4_MILK"/>
    <n v="9.5"/>
    <n v="2"/>
    <x v="135"/>
    <x v="1"/>
    <x v="1"/>
    <d v="2024-10-20T00:00:00"/>
    <b v="0"/>
  </r>
  <r>
    <s v="TXN_3755291"/>
    <x v="0"/>
    <x v="1"/>
    <s v="Item_2_MILK"/>
    <n v="6.5"/>
    <n v="1"/>
    <x v="128"/>
    <x v="2"/>
    <x v="0"/>
    <d v="2022-11-15T00:00:00"/>
    <s v="Null"/>
  </r>
  <r>
    <s v="TXN_3557501"/>
    <x v="17"/>
    <x v="4"/>
    <s v="Item_3_FOOD"/>
    <n v="8"/>
    <n v="6"/>
    <x v="136"/>
    <x v="1"/>
    <x v="1"/>
    <d v="2024-01-10T00:00:00"/>
    <b v="0"/>
  </r>
  <r>
    <s v="TXN_9827245"/>
    <x v="2"/>
    <x v="6"/>
    <s v="Item_21_EHE"/>
    <n v="35"/>
    <n v="5"/>
    <x v="137"/>
    <x v="0"/>
    <x v="0"/>
    <d v="2022-04-12T00:00:00"/>
    <b v="0"/>
  </r>
  <r>
    <s v="TXN_3187729"/>
    <x v="16"/>
    <x v="6"/>
    <s v="Item_25_EHE"/>
    <n v="41"/>
    <n v="9"/>
    <x v="138"/>
    <x v="0"/>
    <x v="1"/>
    <d v="2024-06-25T00:00:00"/>
    <s v="Null"/>
  </r>
  <r>
    <s v="TXN_9667841"/>
    <x v="20"/>
    <x v="0"/>
    <s v="Item_22_PAT"/>
    <n v="36.5"/>
    <n v="7"/>
    <x v="34"/>
    <x v="0"/>
    <x v="0"/>
    <d v="2024-06-05T00:00:00"/>
    <s v="Null"/>
  </r>
  <r>
    <s v="TXN_3433195"/>
    <x v="23"/>
    <x v="6"/>
    <s v="Null"/>
    <s v="Null"/>
    <n v="7"/>
    <x v="133"/>
    <x v="2"/>
    <x v="0"/>
    <d v="2023-03-30T00:00:00"/>
    <s v="Null"/>
  </r>
  <r>
    <s v="TXN_4731761"/>
    <x v="11"/>
    <x v="3"/>
    <s v="Item_6_BEV"/>
    <n v="12.5"/>
    <n v="3"/>
    <x v="139"/>
    <x v="1"/>
    <x v="1"/>
    <d v="2024-08-19T00:00:00"/>
    <b v="0"/>
  </r>
  <r>
    <s v="TXN_6339738"/>
    <x v="8"/>
    <x v="2"/>
    <s v="Item_12_BUT"/>
    <n v="21.5"/>
    <n v="7"/>
    <x v="133"/>
    <x v="1"/>
    <x v="1"/>
    <d v="2022-04-01T00:00:00"/>
    <s v="Null"/>
  </r>
  <r>
    <s v="TXN_8912717"/>
    <x v="4"/>
    <x v="1"/>
    <s v="Item_2_MILK"/>
    <n v="6.5"/>
    <n v="10"/>
    <x v="140"/>
    <x v="1"/>
    <x v="1"/>
    <d v="2022-07-28T00:00:00"/>
    <s v="Null"/>
  </r>
  <r>
    <s v="TXN_9840878"/>
    <x v="5"/>
    <x v="7"/>
    <s v="Item_9_CEA"/>
    <n v="17"/>
    <n v="10"/>
    <x v="141"/>
    <x v="0"/>
    <x v="1"/>
    <d v="2023-10-17T00:00:00"/>
    <s v="Null"/>
  </r>
  <r>
    <s v="TXN_8186195"/>
    <x v="18"/>
    <x v="3"/>
    <s v="Item_8_BEV"/>
    <n v="15.5"/>
    <n v="5"/>
    <x v="142"/>
    <x v="0"/>
    <x v="0"/>
    <d v="2023-02-19T00:00:00"/>
    <b v="1"/>
  </r>
  <r>
    <s v="TXN_9410785"/>
    <x v="23"/>
    <x v="5"/>
    <s v="Null"/>
    <n v="12.5"/>
    <s v="Null"/>
    <x v="7"/>
    <x v="0"/>
    <x v="0"/>
    <d v="2024-01-14T00:00:00"/>
    <b v="0"/>
  </r>
  <r>
    <s v="TXN_1536301"/>
    <x v="9"/>
    <x v="4"/>
    <s v="Item_10_FOOD"/>
    <n v="18.5"/>
    <n v="7"/>
    <x v="143"/>
    <x v="2"/>
    <x v="1"/>
    <d v="2023-06-12T00:00:00"/>
    <b v="0"/>
  </r>
  <r>
    <s v="TXN_6001621"/>
    <x v="10"/>
    <x v="5"/>
    <s v="Item_8_FUR"/>
    <n v="15.5"/>
    <n v="1"/>
    <x v="144"/>
    <x v="1"/>
    <x v="1"/>
    <d v="2022-10-09T00:00:00"/>
    <s v="Null"/>
  </r>
  <r>
    <s v="TXN_2077907"/>
    <x v="22"/>
    <x v="5"/>
    <s v="Item_14_FUR"/>
    <n v="24.5"/>
    <n v="1"/>
    <x v="145"/>
    <x v="0"/>
    <x v="1"/>
    <d v="2022-06-20T00:00:00"/>
    <s v="Null"/>
  </r>
  <r>
    <s v="TXN_6429566"/>
    <x v="12"/>
    <x v="1"/>
    <s v="Item_24_MILK"/>
    <n v="39.5"/>
    <n v="3"/>
    <x v="130"/>
    <x v="2"/>
    <x v="0"/>
    <d v="2023-03-08T00:00:00"/>
    <s v="Null"/>
  </r>
  <r>
    <s v="TXN_4476611"/>
    <x v="15"/>
    <x v="4"/>
    <s v="Item_14_FOOD"/>
    <n v="24.5"/>
    <n v="6"/>
    <x v="146"/>
    <x v="1"/>
    <x v="0"/>
    <d v="2023-03-01T00:00:00"/>
    <b v="1"/>
  </r>
  <r>
    <s v="TXN_9130896"/>
    <x v="24"/>
    <x v="4"/>
    <s v="Null"/>
    <n v="20"/>
    <s v="Null"/>
    <x v="7"/>
    <x v="0"/>
    <x v="1"/>
    <d v="2022-05-17T00:00:00"/>
    <s v="Null"/>
  </r>
  <r>
    <s v="TXN_4547031"/>
    <x v="16"/>
    <x v="0"/>
    <s v="Item_6_PAT"/>
    <n v="12.5"/>
    <n v="3"/>
    <x v="139"/>
    <x v="2"/>
    <x v="1"/>
    <d v="2024-03-27T00:00:00"/>
    <b v="0"/>
  </r>
  <r>
    <s v="TXN_6923046"/>
    <x v="20"/>
    <x v="2"/>
    <s v="Item_12_BUT"/>
    <n v="21.5"/>
    <n v="1"/>
    <x v="147"/>
    <x v="1"/>
    <x v="0"/>
    <d v="2023-08-22T00:00:00"/>
    <b v="0"/>
  </r>
  <r>
    <s v="TXN_5461118"/>
    <x v="24"/>
    <x v="2"/>
    <s v="Item_8_BUT"/>
    <n v="15.5"/>
    <n v="3"/>
    <x v="36"/>
    <x v="1"/>
    <x v="1"/>
    <d v="2024-08-20T00:00:00"/>
    <b v="1"/>
  </r>
  <r>
    <s v="TXN_8574406"/>
    <x v="22"/>
    <x v="5"/>
    <s v="Item_8_FUR"/>
    <n v="15.5"/>
    <n v="5"/>
    <x v="142"/>
    <x v="1"/>
    <x v="1"/>
    <d v="2024-05-23T00:00:00"/>
    <b v="1"/>
  </r>
  <r>
    <s v="TXN_4459526"/>
    <x v="20"/>
    <x v="1"/>
    <s v="Item_3_MILK"/>
    <n v="8"/>
    <n v="9"/>
    <x v="10"/>
    <x v="2"/>
    <x v="1"/>
    <d v="2022-01-03T00:00:00"/>
    <b v="0"/>
  </r>
  <r>
    <s v="TXN_9538956"/>
    <x v="13"/>
    <x v="7"/>
    <s v="Item_5_CEA"/>
    <n v="11"/>
    <n v="5"/>
    <x v="14"/>
    <x v="2"/>
    <x v="1"/>
    <d v="2022-02-22T00:00:00"/>
    <s v="Null"/>
  </r>
  <r>
    <s v="TXN_7160998"/>
    <x v="15"/>
    <x v="7"/>
    <s v="Item_1_CEA"/>
    <n v="5"/>
    <n v="7"/>
    <x v="113"/>
    <x v="1"/>
    <x v="0"/>
    <d v="2022-02-08T00:00:00"/>
    <b v="1"/>
  </r>
  <r>
    <s v="TXN_6906173"/>
    <x v="2"/>
    <x v="0"/>
    <s v="Item_7_PAT"/>
    <n v="14"/>
    <n v="7"/>
    <x v="108"/>
    <x v="2"/>
    <x v="0"/>
    <d v="2024-11-04T00:00:00"/>
    <s v="Null"/>
  </r>
  <r>
    <s v="TXN_3317964"/>
    <x v="8"/>
    <x v="1"/>
    <s v="Item_8_MILK"/>
    <n v="15.5"/>
    <n v="2"/>
    <x v="148"/>
    <x v="0"/>
    <x v="1"/>
    <d v="2024-07-01T00:00:00"/>
    <s v="Null"/>
  </r>
  <r>
    <s v="TXN_4654673"/>
    <x v="18"/>
    <x v="2"/>
    <s v="Item_23_BUT"/>
    <n v="38"/>
    <n v="1"/>
    <x v="72"/>
    <x v="2"/>
    <x v="1"/>
    <d v="2024-09-14T00:00:00"/>
    <s v="Null"/>
  </r>
  <r>
    <s v="TXN_9684703"/>
    <x v="10"/>
    <x v="7"/>
    <s v="Item_6_CEA"/>
    <n v="12.5"/>
    <n v="1"/>
    <x v="73"/>
    <x v="0"/>
    <x v="1"/>
    <d v="2024-02-05T00:00:00"/>
    <b v="0"/>
  </r>
  <r>
    <s v="TXN_7571093"/>
    <x v="11"/>
    <x v="1"/>
    <s v="Null"/>
    <s v="Null"/>
    <n v="9"/>
    <x v="149"/>
    <x v="0"/>
    <x v="1"/>
    <d v="2022-11-18T00:00:00"/>
    <s v="Null"/>
  </r>
  <r>
    <s v="TXN_1130823"/>
    <x v="15"/>
    <x v="7"/>
    <s v="Item_9_CEA"/>
    <n v="17"/>
    <n v="10"/>
    <x v="141"/>
    <x v="1"/>
    <x v="1"/>
    <d v="2024-11-02T00:00:00"/>
    <s v="Null"/>
  </r>
  <r>
    <s v="TXN_2655759"/>
    <x v="7"/>
    <x v="5"/>
    <s v="Item_25_FUR"/>
    <n v="41"/>
    <n v="3"/>
    <x v="121"/>
    <x v="2"/>
    <x v="1"/>
    <d v="2024-09-18T00:00:00"/>
    <s v="Null"/>
  </r>
  <r>
    <s v="TXN_8878269"/>
    <x v="4"/>
    <x v="7"/>
    <s v="Item_19_CEA"/>
    <n v="32"/>
    <n v="4"/>
    <x v="150"/>
    <x v="2"/>
    <x v="1"/>
    <d v="2024-12-08T00:00:00"/>
    <b v="0"/>
  </r>
  <r>
    <s v="TXN_5481124"/>
    <x v="24"/>
    <x v="5"/>
    <s v="Item_15_FUR"/>
    <n v="26"/>
    <n v="9"/>
    <x v="48"/>
    <x v="2"/>
    <x v="1"/>
    <d v="2022-01-14T00:00:00"/>
    <b v="0"/>
  </r>
  <r>
    <s v="TXN_3191741"/>
    <x v="12"/>
    <x v="0"/>
    <s v="Item_15_PAT"/>
    <n v="26"/>
    <n v="9"/>
    <x v="48"/>
    <x v="0"/>
    <x v="1"/>
    <d v="2024-11-17T00:00:00"/>
    <b v="0"/>
  </r>
  <r>
    <s v="TXN_3096445"/>
    <x v="11"/>
    <x v="7"/>
    <s v="Null"/>
    <n v="32"/>
    <s v="Null"/>
    <x v="7"/>
    <x v="0"/>
    <x v="1"/>
    <d v="2024-06-25T00:00:00"/>
    <s v="Null"/>
  </r>
  <r>
    <s v="TXN_8404227"/>
    <x v="24"/>
    <x v="3"/>
    <s v="Item_2_BEV"/>
    <n v="6.5"/>
    <n v="9"/>
    <x v="151"/>
    <x v="0"/>
    <x v="0"/>
    <d v="2023-12-29T00:00:00"/>
    <s v="Null"/>
  </r>
  <r>
    <s v="TXN_2374689"/>
    <x v="21"/>
    <x v="3"/>
    <s v="Item_2_BEV"/>
    <n v="6.5"/>
    <n v="1"/>
    <x v="128"/>
    <x v="2"/>
    <x v="1"/>
    <d v="2024-05-21T00:00:00"/>
    <s v="Null"/>
  </r>
  <r>
    <s v="TXN_9469962"/>
    <x v="17"/>
    <x v="3"/>
    <s v="Null"/>
    <s v="Null"/>
    <n v="6"/>
    <x v="136"/>
    <x v="2"/>
    <x v="0"/>
    <d v="2024-02-26T00:00:00"/>
    <b v="0"/>
  </r>
  <r>
    <s v="TXN_5072173"/>
    <x v="7"/>
    <x v="7"/>
    <s v="Item_10_CEA"/>
    <n v="18.5"/>
    <n v="7"/>
    <x v="143"/>
    <x v="0"/>
    <x v="0"/>
    <d v="2024-09-21T00:00:00"/>
    <b v="1"/>
  </r>
  <r>
    <s v="TXN_4944574"/>
    <x v="21"/>
    <x v="0"/>
    <s v="Item_24_PAT"/>
    <n v="39.5"/>
    <n v="6"/>
    <x v="13"/>
    <x v="0"/>
    <x v="0"/>
    <d v="2024-04-11T00:00:00"/>
    <s v="Null"/>
  </r>
  <r>
    <s v="TXN_5293933"/>
    <x v="18"/>
    <x v="7"/>
    <s v="Item_5_CEA"/>
    <n v="11"/>
    <n v="5"/>
    <x v="14"/>
    <x v="2"/>
    <x v="1"/>
    <d v="2022-12-06T00:00:00"/>
    <b v="0"/>
  </r>
  <r>
    <s v="TXN_7801513"/>
    <x v="12"/>
    <x v="6"/>
    <s v="Item_5_EHE"/>
    <n v="11"/>
    <n v="6"/>
    <x v="43"/>
    <x v="0"/>
    <x v="1"/>
    <d v="2022-09-21T00:00:00"/>
    <b v="1"/>
  </r>
  <r>
    <s v="TXN_8685820"/>
    <x v="4"/>
    <x v="3"/>
    <s v="Item_1_BEV"/>
    <n v="5"/>
    <n v="10"/>
    <x v="97"/>
    <x v="0"/>
    <x v="0"/>
    <d v="2023-03-23T00:00:00"/>
    <s v="Null"/>
  </r>
  <r>
    <s v="TXN_1729525"/>
    <x v="17"/>
    <x v="3"/>
    <s v="Item_23_BEV"/>
    <n v="38"/>
    <n v="7"/>
    <x v="152"/>
    <x v="0"/>
    <x v="1"/>
    <d v="2022-11-10T00:00:00"/>
    <b v="0"/>
  </r>
  <r>
    <s v="TXN_2593560"/>
    <x v="5"/>
    <x v="2"/>
    <s v="Item_13_BUT"/>
    <n v="23"/>
    <n v="6"/>
    <x v="118"/>
    <x v="2"/>
    <x v="1"/>
    <d v="2023-07-07T00:00:00"/>
    <b v="1"/>
  </r>
  <r>
    <s v="TXN_6961502"/>
    <x v="15"/>
    <x v="2"/>
    <s v="Item_17_BUT"/>
    <n v="29"/>
    <n v="1"/>
    <x v="153"/>
    <x v="0"/>
    <x v="1"/>
    <d v="2022-11-09T00:00:00"/>
    <b v="0"/>
  </r>
  <r>
    <s v="TXN_8817119"/>
    <x v="1"/>
    <x v="2"/>
    <s v="Item_20_BUT"/>
    <n v="33.5"/>
    <n v="5"/>
    <x v="92"/>
    <x v="1"/>
    <x v="0"/>
    <d v="2024-04-27T00:00:00"/>
    <b v="1"/>
  </r>
  <r>
    <s v="TXN_4160315"/>
    <x v="4"/>
    <x v="1"/>
    <s v="Item_19_MILK"/>
    <n v="32"/>
    <n v="9"/>
    <x v="119"/>
    <x v="0"/>
    <x v="0"/>
    <d v="2022-08-20T00:00:00"/>
    <s v="Null"/>
  </r>
  <r>
    <s v="TXN_5438923"/>
    <x v="24"/>
    <x v="1"/>
    <s v="Item_24_MILK"/>
    <n v="39.5"/>
    <n v="4"/>
    <x v="95"/>
    <x v="1"/>
    <x v="0"/>
    <d v="2023-07-21T00:00:00"/>
    <b v="0"/>
  </r>
  <r>
    <s v="TXN_8838958"/>
    <x v="12"/>
    <x v="7"/>
    <s v="Null"/>
    <n v="15.5"/>
    <s v="Null"/>
    <x v="7"/>
    <x v="2"/>
    <x v="1"/>
    <d v="2024-11-08T00:00:00"/>
    <s v="Null"/>
  </r>
  <r>
    <s v="TXN_5911306"/>
    <x v="6"/>
    <x v="1"/>
    <s v="Null"/>
    <s v="Null"/>
    <n v="8"/>
    <x v="154"/>
    <x v="0"/>
    <x v="0"/>
    <d v="2022-10-10T00:00:00"/>
    <b v="1"/>
  </r>
  <r>
    <s v="TXN_8714034"/>
    <x v="0"/>
    <x v="6"/>
    <s v="Item_6_EHE"/>
    <n v="12.5"/>
    <n v="4"/>
    <x v="97"/>
    <x v="0"/>
    <x v="1"/>
    <d v="2023-01-07T00:00:00"/>
    <b v="1"/>
  </r>
  <r>
    <s v="TXN_5960646"/>
    <x v="6"/>
    <x v="3"/>
    <s v="Item_3_BEV"/>
    <n v="8"/>
    <n v="8"/>
    <x v="155"/>
    <x v="0"/>
    <x v="0"/>
    <d v="2024-03-18T00:00:00"/>
    <b v="1"/>
  </r>
  <r>
    <s v="TXN_1839621"/>
    <x v="12"/>
    <x v="2"/>
    <s v="Item_8_BUT"/>
    <n v="15.5"/>
    <n v="1"/>
    <x v="144"/>
    <x v="0"/>
    <x v="0"/>
    <d v="2024-04-07T00:00:00"/>
    <b v="1"/>
  </r>
  <r>
    <s v="TXN_5944361"/>
    <x v="12"/>
    <x v="1"/>
    <s v="Item_19_MILK"/>
    <n v="32"/>
    <n v="4"/>
    <x v="150"/>
    <x v="1"/>
    <x v="1"/>
    <d v="2022-10-10T00:00:00"/>
    <b v="0"/>
  </r>
  <r>
    <s v="TXN_7159417"/>
    <x v="20"/>
    <x v="4"/>
    <s v="Item_13_FOOD"/>
    <n v="23"/>
    <n v="5"/>
    <x v="156"/>
    <x v="2"/>
    <x v="1"/>
    <d v="2024-03-14T00:00:00"/>
    <b v="0"/>
  </r>
  <r>
    <s v="TXN_3759367"/>
    <x v="16"/>
    <x v="3"/>
    <s v="Item_19_BEV"/>
    <n v="32"/>
    <n v="1"/>
    <x v="86"/>
    <x v="0"/>
    <x v="1"/>
    <d v="2023-05-07T00:00:00"/>
    <b v="1"/>
  </r>
  <r>
    <s v="TXN_1676564"/>
    <x v="19"/>
    <x v="5"/>
    <s v="Item_2_FUR"/>
    <n v="6.5"/>
    <n v="6"/>
    <x v="53"/>
    <x v="0"/>
    <x v="0"/>
    <d v="2024-06-18T00:00:00"/>
    <b v="1"/>
  </r>
  <r>
    <s v="TXN_7493896"/>
    <x v="20"/>
    <x v="6"/>
    <s v="Item_11_EHE"/>
    <n v="20"/>
    <n v="4"/>
    <x v="40"/>
    <x v="2"/>
    <x v="1"/>
    <d v="2024-12-07T00:00:00"/>
    <b v="1"/>
  </r>
  <r>
    <s v="TXN_9279646"/>
    <x v="17"/>
    <x v="1"/>
    <s v="Item_9_MILK"/>
    <n v="17"/>
    <n v="7"/>
    <x v="83"/>
    <x v="1"/>
    <x v="0"/>
    <d v="2022-10-11T00:00:00"/>
    <s v="Null"/>
  </r>
  <r>
    <s v="TXN_2080115"/>
    <x v="16"/>
    <x v="2"/>
    <s v="Item_24_BUT"/>
    <n v="39.5"/>
    <n v="7"/>
    <x v="35"/>
    <x v="2"/>
    <x v="0"/>
    <d v="2024-01-05T00:00:00"/>
    <b v="1"/>
  </r>
  <r>
    <s v="TXN_2634868"/>
    <x v="15"/>
    <x v="0"/>
    <s v="Item_11_PAT"/>
    <n v="20"/>
    <n v="4"/>
    <x v="40"/>
    <x v="2"/>
    <x v="1"/>
    <d v="2024-06-26T00:00:00"/>
    <b v="0"/>
  </r>
  <r>
    <s v="TXN_9937190"/>
    <x v="7"/>
    <x v="4"/>
    <s v="Item_13_FOOD"/>
    <n v="23"/>
    <n v="3"/>
    <x v="124"/>
    <x v="0"/>
    <x v="1"/>
    <d v="2023-07-14T00:00:00"/>
    <b v="0"/>
  </r>
  <r>
    <s v="TXN_9222292"/>
    <x v="10"/>
    <x v="5"/>
    <s v="Item_24_FUR"/>
    <n v="39.5"/>
    <n v="9"/>
    <x v="67"/>
    <x v="0"/>
    <x v="1"/>
    <d v="2024-12-25T00:00:00"/>
    <b v="0"/>
  </r>
  <r>
    <s v="TXN_3841425"/>
    <x v="23"/>
    <x v="1"/>
    <s v="Item_8_MILK"/>
    <n v="15.5"/>
    <n v="6"/>
    <x v="112"/>
    <x v="1"/>
    <x v="1"/>
    <d v="2024-10-01T00:00:00"/>
    <s v="Null"/>
  </r>
  <r>
    <s v="TXN_3427896"/>
    <x v="10"/>
    <x v="0"/>
    <s v="Item_12_PAT"/>
    <n v="21.5"/>
    <n v="3"/>
    <x v="157"/>
    <x v="2"/>
    <x v="1"/>
    <d v="2024-12-26T00:00:00"/>
    <s v="Null"/>
  </r>
  <r>
    <s v="TXN_7315614"/>
    <x v="1"/>
    <x v="5"/>
    <s v="Item_15_FUR"/>
    <n v="26"/>
    <n v="10"/>
    <x v="158"/>
    <x v="0"/>
    <x v="1"/>
    <d v="2024-02-10T00:00:00"/>
    <s v="Null"/>
  </r>
  <r>
    <s v="TXN_5441868"/>
    <x v="4"/>
    <x v="5"/>
    <s v="Item_5_FUR"/>
    <n v="11"/>
    <n v="5"/>
    <x v="14"/>
    <x v="0"/>
    <x v="0"/>
    <d v="2022-03-07T00:00:00"/>
    <s v="Null"/>
  </r>
  <r>
    <s v="TXN_5275517"/>
    <x v="13"/>
    <x v="4"/>
    <s v="Item_17_FOOD"/>
    <n v="29"/>
    <n v="8"/>
    <x v="15"/>
    <x v="2"/>
    <x v="0"/>
    <d v="2024-11-29T00:00:00"/>
    <b v="1"/>
  </r>
  <r>
    <s v="TXN_6260961"/>
    <x v="22"/>
    <x v="6"/>
    <s v="Item_25_EHE"/>
    <n v="41"/>
    <n v="1"/>
    <x v="78"/>
    <x v="2"/>
    <x v="1"/>
    <d v="2024-10-25T00:00:00"/>
    <s v="Null"/>
  </r>
  <r>
    <s v="TXN_2139409"/>
    <x v="7"/>
    <x v="4"/>
    <s v="Item_13_FOOD"/>
    <n v="23"/>
    <n v="9"/>
    <x v="159"/>
    <x v="0"/>
    <x v="0"/>
    <d v="2022-05-21T00:00:00"/>
    <s v="Null"/>
  </r>
  <r>
    <s v="TXN_5343433"/>
    <x v="18"/>
    <x v="7"/>
    <s v="Item_19_CEA"/>
    <n v="32"/>
    <n v="7"/>
    <x v="160"/>
    <x v="1"/>
    <x v="0"/>
    <d v="2022-12-11T00:00:00"/>
    <b v="1"/>
  </r>
  <r>
    <s v="TXN_7425133"/>
    <x v="24"/>
    <x v="0"/>
    <s v="Item_20_PAT"/>
    <n v="33.5"/>
    <n v="10"/>
    <x v="42"/>
    <x v="2"/>
    <x v="1"/>
    <d v="2024-05-21T00:00:00"/>
    <b v="0"/>
  </r>
  <r>
    <s v="TXN_8793391"/>
    <x v="22"/>
    <x v="3"/>
    <s v="Item_2_BEV"/>
    <n v="6.5"/>
    <n v="8"/>
    <x v="11"/>
    <x v="1"/>
    <x v="0"/>
    <d v="2024-04-14T00:00:00"/>
    <b v="1"/>
  </r>
  <r>
    <s v="TXN_5940844"/>
    <x v="7"/>
    <x v="3"/>
    <s v="Item_19_BEV"/>
    <n v="32"/>
    <n v="2"/>
    <x v="155"/>
    <x v="1"/>
    <x v="1"/>
    <d v="2023-09-12T00:00:00"/>
    <s v="Null"/>
  </r>
  <r>
    <s v="TXN_3357122"/>
    <x v="4"/>
    <x v="2"/>
    <s v="Item_22_BUT"/>
    <n v="36.5"/>
    <n v="2"/>
    <x v="122"/>
    <x v="1"/>
    <x v="0"/>
    <d v="2024-02-19T00:00:00"/>
    <b v="0"/>
  </r>
  <r>
    <s v="TXN_8846811"/>
    <x v="6"/>
    <x v="2"/>
    <s v="Item_21_BUT"/>
    <n v="35"/>
    <n v="1"/>
    <x v="113"/>
    <x v="0"/>
    <x v="0"/>
    <d v="2022-09-06T00:00:00"/>
    <b v="0"/>
  </r>
  <r>
    <s v="TXN_6576457"/>
    <x v="21"/>
    <x v="0"/>
    <s v="Item_9_PAT"/>
    <n v="17"/>
    <n v="10"/>
    <x v="141"/>
    <x v="1"/>
    <x v="1"/>
    <d v="2022-03-17T00:00:00"/>
    <b v="1"/>
  </r>
  <r>
    <s v="TXN_4581475"/>
    <x v="11"/>
    <x v="7"/>
    <s v="Item_11_CEA"/>
    <n v="20"/>
    <n v="6"/>
    <x v="75"/>
    <x v="1"/>
    <x v="1"/>
    <d v="2023-06-16T00:00:00"/>
    <b v="1"/>
  </r>
  <r>
    <s v="TXN_6582130"/>
    <x v="24"/>
    <x v="6"/>
    <s v="Item_13_EHE"/>
    <n v="23"/>
    <n v="9"/>
    <x v="159"/>
    <x v="0"/>
    <x v="0"/>
    <d v="2024-12-25T00:00:00"/>
    <b v="0"/>
  </r>
  <r>
    <s v="TXN_2910621"/>
    <x v="2"/>
    <x v="3"/>
    <s v="Item_10_BEV"/>
    <n v="18.5"/>
    <n v="10"/>
    <x v="0"/>
    <x v="0"/>
    <x v="1"/>
    <d v="2023-03-05T00:00:00"/>
    <b v="0"/>
  </r>
  <r>
    <s v="TXN_9627402"/>
    <x v="14"/>
    <x v="2"/>
    <s v="Item_3_BUT"/>
    <n v="8"/>
    <n v="10"/>
    <x v="40"/>
    <x v="2"/>
    <x v="0"/>
    <d v="2022-02-23T00:00:00"/>
    <b v="0"/>
  </r>
  <r>
    <s v="TXN_6676210"/>
    <x v="2"/>
    <x v="7"/>
    <s v="Item_17_CEA"/>
    <n v="29"/>
    <n v="8"/>
    <x v="15"/>
    <x v="0"/>
    <x v="0"/>
    <d v="2023-11-27T00:00:00"/>
    <s v="Null"/>
  </r>
  <r>
    <s v="TXN_5351535"/>
    <x v="7"/>
    <x v="0"/>
    <s v="Item_25_PAT"/>
    <n v="41"/>
    <n v="8"/>
    <x v="161"/>
    <x v="2"/>
    <x v="1"/>
    <d v="2024-10-15T00:00:00"/>
    <b v="1"/>
  </r>
  <r>
    <s v="TXN_4435938"/>
    <x v="4"/>
    <x v="6"/>
    <s v="Item_13_EHE"/>
    <n v="23"/>
    <n v="4"/>
    <x v="162"/>
    <x v="1"/>
    <x v="1"/>
    <d v="2023-08-06T00:00:00"/>
    <b v="0"/>
  </r>
  <r>
    <s v="TXN_4181012"/>
    <x v="6"/>
    <x v="0"/>
    <s v="Item_8_PAT"/>
    <n v="15.5"/>
    <n v="6"/>
    <x v="112"/>
    <x v="2"/>
    <x v="0"/>
    <d v="2024-06-24T00:00:00"/>
    <s v="Null"/>
  </r>
  <r>
    <s v="TXN_1475212"/>
    <x v="20"/>
    <x v="3"/>
    <s v="Item_11_BEV"/>
    <n v="20"/>
    <n v="6"/>
    <x v="75"/>
    <x v="2"/>
    <x v="0"/>
    <d v="2023-10-14T00:00:00"/>
    <s v="Null"/>
  </r>
  <r>
    <s v="TXN_9755626"/>
    <x v="8"/>
    <x v="0"/>
    <s v="Item_11_PAT"/>
    <n v="20"/>
    <n v="3"/>
    <x v="120"/>
    <x v="0"/>
    <x v="0"/>
    <d v="2023-01-31T00:00:00"/>
    <b v="0"/>
  </r>
  <r>
    <s v="TXN_3842430"/>
    <x v="21"/>
    <x v="4"/>
    <s v="Item_18_FOOD"/>
    <n v="30.5"/>
    <n v="8"/>
    <x v="163"/>
    <x v="1"/>
    <x v="1"/>
    <d v="2023-03-04T00:00:00"/>
    <b v="1"/>
  </r>
  <r>
    <s v="TXN_1102128"/>
    <x v="1"/>
    <x v="5"/>
    <s v="Item_5_FUR"/>
    <n v="11"/>
    <n v="3"/>
    <x v="81"/>
    <x v="1"/>
    <x v="1"/>
    <d v="2024-05-01T00:00:00"/>
    <b v="0"/>
  </r>
  <r>
    <s v="TXN_4351153"/>
    <x v="6"/>
    <x v="4"/>
    <s v="Null"/>
    <n v="17"/>
    <s v="Null"/>
    <x v="7"/>
    <x v="2"/>
    <x v="1"/>
    <d v="2024-12-07T00:00:00"/>
    <b v="0"/>
  </r>
  <r>
    <s v="TXN_5823559"/>
    <x v="9"/>
    <x v="5"/>
    <s v="Item_24_FUR"/>
    <n v="39.5"/>
    <n v="1"/>
    <x v="164"/>
    <x v="0"/>
    <x v="1"/>
    <d v="2024-01-17T00:00:00"/>
    <b v="0"/>
  </r>
  <r>
    <s v="TXN_6830801"/>
    <x v="9"/>
    <x v="1"/>
    <s v="Item_6_MILK"/>
    <n v="12.5"/>
    <n v="3"/>
    <x v="139"/>
    <x v="1"/>
    <x v="1"/>
    <d v="2022-05-20T00:00:00"/>
    <b v="0"/>
  </r>
  <r>
    <s v="TXN_7480229"/>
    <x v="3"/>
    <x v="5"/>
    <s v="Item_24_FUR"/>
    <n v="39.5"/>
    <n v="6"/>
    <x v="13"/>
    <x v="1"/>
    <x v="1"/>
    <d v="2022-01-22T00:00:00"/>
    <b v="1"/>
  </r>
  <r>
    <s v="TXN_9970141"/>
    <x v="13"/>
    <x v="6"/>
    <s v="Item_1_EHE"/>
    <n v="5"/>
    <n v="3"/>
    <x v="99"/>
    <x v="2"/>
    <x v="1"/>
    <d v="2023-07-03T00:00:00"/>
    <b v="0"/>
  </r>
  <r>
    <s v="TXN_1841098"/>
    <x v="20"/>
    <x v="4"/>
    <s v="Item_20_FOOD"/>
    <n v="33.5"/>
    <n v="2"/>
    <x v="60"/>
    <x v="2"/>
    <x v="1"/>
    <d v="2023-10-22T00:00:00"/>
    <b v="0"/>
  </r>
  <r>
    <s v="TXN_4374445"/>
    <x v="19"/>
    <x v="4"/>
    <s v="Item_25_FOOD"/>
    <n v="41"/>
    <n v="10"/>
    <x v="24"/>
    <x v="0"/>
    <x v="0"/>
    <d v="2024-10-17T00:00:00"/>
    <s v="Null"/>
  </r>
  <r>
    <s v="TXN_2496138"/>
    <x v="1"/>
    <x v="4"/>
    <s v="Null"/>
    <n v="11"/>
    <s v="Null"/>
    <x v="7"/>
    <x v="2"/>
    <x v="0"/>
    <d v="2023-10-04T00:00:00"/>
    <s v="Null"/>
  </r>
  <r>
    <s v="TXN_9041908"/>
    <x v="1"/>
    <x v="6"/>
    <s v="Item_25_EHE"/>
    <n v="41"/>
    <n v="8"/>
    <x v="161"/>
    <x v="2"/>
    <x v="0"/>
    <d v="2022-06-22T00:00:00"/>
    <s v="Null"/>
  </r>
  <r>
    <s v="TXN_6035994"/>
    <x v="10"/>
    <x v="3"/>
    <s v="Item_6_BEV"/>
    <n v="12.5"/>
    <n v="8"/>
    <x v="27"/>
    <x v="1"/>
    <x v="1"/>
    <d v="2024-10-30T00:00:00"/>
    <s v="Null"/>
  </r>
  <r>
    <s v="TXN_3834320"/>
    <x v="16"/>
    <x v="3"/>
    <s v="Null"/>
    <n v="24.5"/>
    <s v="Null"/>
    <x v="7"/>
    <x v="2"/>
    <x v="1"/>
    <d v="2022-11-08T00:00:00"/>
    <b v="1"/>
  </r>
  <r>
    <s v="TXN_3456177"/>
    <x v="12"/>
    <x v="2"/>
    <s v="Item_13_BUT"/>
    <n v="23"/>
    <n v="3"/>
    <x v="124"/>
    <x v="1"/>
    <x v="0"/>
    <d v="2023-06-23T00:00:00"/>
    <b v="1"/>
  </r>
  <r>
    <s v="TXN_6615809"/>
    <x v="18"/>
    <x v="7"/>
    <s v="Null"/>
    <n v="15.5"/>
    <s v="Null"/>
    <x v="7"/>
    <x v="1"/>
    <x v="1"/>
    <d v="2023-06-22T00:00:00"/>
    <b v="1"/>
  </r>
  <r>
    <s v="TXN_9583800"/>
    <x v="11"/>
    <x v="6"/>
    <s v="Item_12_EHE"/>
    <n v="21.5"/>
    <n v="2"/>
    <x v="2"/>
    <x v="2"/>
    <x v="0"/>
    <d v="2023-09-18T00:00:00"/>
    <s v="Null"/>
  </r>
  <r>
    <s v="TXN_8870473"/>
    <x v="11"/>
    <x v="1"/>
    <s v="Item_13_MILK"/>
    <n v="23"/>
    <n v="1"/>
    <x v="17"/>
    <x v="1"/>
    <x v="1"/>
    <d v="2023-05-29T00:00:00"/>
    <b v="0"/>
  </r>
  <r>
    <s v="TXN_9933625"/>
    <x v="8"/>
    <x v="0"/>
    <s v="Item_20_PAT"/>
    <n v="33.5"/>
    <n v="8"/>
    <x v="154"/>
    <x v="2"/>
    <x v="0"/>
    <d v="2022-11-02T00:00:00"/>
    <b v="1"/>
  </r>
  <r>
    <s v="TXN_3668440"/>
    <x v="6"/>
    <x v="2"/>
    <s v="Item_3_BUT"/>
    <n v="8"/>
    <n v="2"/>
    <x v="165"/>
    <x v="2"/>
    <x v="1"/>
    <d v="2022-01-18T00:00:00"/>
    <b v="1"/>
  </r>
  <r>
    <s v="TXN_4255841"/>
    <x v="6"/>
    <x v="7"/>
    <s v="Item_22_CEA"/>
    <n v="36.5"/>
    <n v="9"/>
    <x v="166"/>
    <x v="1"/>
    <x v="0"/>
    <d v="2023-08-12T00:00:00"/>
    <b v="0"/>
  </r>
  <r>
    <s v="TXN_1795154"/>
    <x v="7"/>
    <x v="7"/>
    <s v="Item_10_CEA"/>
    <n v="18.5"/>
    <n v="7"/>
    <x v="143"/>
    <x v="0"/>
    <x v="1"/>
    <d v="2023-06-14T00:00:00"/>
    <b v="1"/>
  </r>
  <r>
    <s v="TXN_3717384"/>
    <x v="12"/>
    <x v="4"/>
    <s v="Item_14_FOOD"/>
    <n v="24.5"/>
    <n v="6"/>
    <x v="146"/>
    <x v="2"/>
    <x v="1"/>
    <d v="2023-05-11T00:00:00"/>
    <b v="0"/>
  </r>
  <r>
    <s v="TXN_9616213"/>
    <x v="7"/>
    <x v="5"/>
    <s v="Item_24_FUR"/>
    <n v="39.5"/>
    <n v="3"/>
    <x v="130"/>
    <x v="1"/>
    <x v="0"/>
    <d v="2023-03-11T00:00:00"/>
    <b v="1"/>
  </r>
  <r>
    <s v="TXN_7043807"/>
    <x v="23"/>
    <x v="5"/>
    <s v="Null"/>
    <s v="Null"/>
    <n v="7"/>
    <x v="167"/>
    <x v="0"/>
    <x v="1"/>
    <d v="2022-02-07T00:00:00"/>
    <s v="Null"/>
  </r>
  <r>
    <s v="TXN_6728454"/>
    <x v="17"/>
    <x v="1"/>
    <s v="Item_24_MILK"/>
    <n v="39.5"/>
    <n v="3"/>
    <x v="130"/>
    <x v="1"/>
    <x v="0"/>
    <d v="2023-10-17T00:00:00"/>
    <b v="1"/>
  </r>
  <r>
    <s v="TXN_4322217"/>
    <x v="6"/>
    <x v="7"/>
    <s v="Item_18_CEA"/>
    <n v="30.5"/>
    <n v="2"/>
    <x v="125"/>
    <x v="0"/>
    <x v="1"/>
    <d v="2024-11-23T00:00:00"/>
    <b v="1"/>
  </r>
  <r>
    <s v="TXN_2151215"/>
    <x v="2"/>
    <x v="2"/>
    <s v="Item_5_BUT"/>
    <n v="11"/>
    <n v="4"/>
    <x v="168"/>
    <x v="2"/>
    <x v="1"/>
    <d v="2023-11-24T00:00:00"/>
    <b v="0"/>
  </r>
  <r>
    <s v="TXN_9987791"/>
    <x v="17"/>
    <x v="1"/>
    <s v="Item_22_MILK"/>
    <n v="36.5"/>
    <n v="2"/>
    <x v="122"/>
    <x v="0"/>
    <x v="1"/>
    <d v="2022-10-07T00:00:00"/>
    <b v="1"/>
  </r>
  <r>
    <s v="TXN_2540564"/>
    <x v="23"/>
    <x v="7"/>
    <s v="Item_5_CEA"/>
    <n v="11"/>
    <n v="1"/>
    <x v="47"/>
    <x v="2"/>
    <x v="0"/>
    <d v="2023-08-18T00:00:00"/>
    <s v="Null"/>
  </r>
  <r>
    <s v="TXN_9659532"/>
    <x v="6"/>
    <x v="5"/>
    <s v="Item_4_FUR"/>
    <n v="9.5"/>
    <n v="8"/>
    <x v="31"/>
    <x v="2"/>
    <x v="1"/>
    <d v="2023-01-08T00:00:00"/>
    <b v="1"/>
  </r>
  <r>
    <s v="TXN_1783309"/>
    <x v="17"/>
    <x v="0"/>
    <s v="Item_15_PAT"/>
    <n v="26"/>
    <n v="9"/>
    <x v="48"/>
    <x v="1"/>
    <x v="0"/>
    <d v="2023-01-17T00:00:00"/>
    <s v="Null"/>
  </r>
  <r>
    <s v="TXN_6908704"/>
    <x v="22"/>
    <x v="6"/>
    <s v="Null"/>
    <n v="26"/>
    <s v="Null"/>
    <x v="7"/>
    <x v="0"/>
    <x v="1"/>
    <d v="2024-02-04T00:00:00"/>
    <b v="1"/>
  </r>
  <r>
    <s v="TXN_6596970"/>
    <x v="8"/>
    <x v="4"/>
    <s v="Item_12_FOOD"/>
    <n v="21.5"/>
    <n v="6"/>
    <x v="169"/>
    <x v="1"/>
    <x v="1"/>
    <d v="2023-10-29T00:00:00"/>
    <b v="1"/>
  </r>
  <r>
    <s v="TXN_1742336"/>
    <x v="17"/>
    <x v="0"/>
    <s v="Item_13_PAT"/>
    <n v="23"/>
    <n v="4"/>
    <x v="162"/>
    <x v="1"/>
    <x v="0"/>
    <d v="2022-03-08T00:00:00"/>
    <b v="0"/>
  </r>
  <r>
    <s v="TXN_7738273"/>
    <x v="3"/>
    <x v="3"/>
    <s v="Item_3_BEV"/>
    <n v="8"/>
    <n v="9"/>
    <x v="10"/>
    <x v="2"/>
    <x v="0"/>
    <d v="2024-03-23T00:00:00"/>
    <s v="Null"/>
  </r>
  <r>
    <s v="TXN_2232768"/>
    <x v="2"/>
    <x v="4"/>
    <s v="Item_20_FOOD"/>
    <n v="33.5"/>
    <n v="9"/>
    <x v="170"/>
    <x v="0"/>
    <x v="1"/>
    <d v="2024-09-29T00:00:00"/>
    <b v="0"/>
  </r>
  <r>
    <s v="TXN_4863238"/>
    <x v="15"/>
    <x v="4"/>
    <s v="Item_11_FOOD"/>
    <n v="20"/>
    <n v="4"/>
    <x v="40"/>
    <x v="1"/>
    <x v="1"/>
    <d v="2022-11-16T00:00:00"/>
    <b v="1"/>
  </r>
  <r>
    <s v="TXN_9409545"/>
    <x v="4"/>
    <x v="6"/>
    <s v="Item_22_EHE"/>
    <n v="36.5"/>
    <n v="7"/>
    <x v="34"/>
    <x v="1"/>
    <x v="0"/>
    <d v="2022-02-24T00:00:00"/>
    <s v="Null"/>
  </r>
  <r>
    <s v="TXN_5426614"/>
    <x v="21"/>
    <x v="1"/>
    <s v="Item_15_MILK"/>
    <n v="26"/>
    <n v="7"/>
    <x v="167"/>
    <x v="0"/>
    <x v="0"/>
    <d v="2022-08-06T00:00:00"/>
    <s v="Null"/>
  </r>
  <r>
    <s v="TXN_1712455"/>
    <x v="8"/>
    <x v="2"/>
    <s v="Item_5_BUT"/>
    <n v="11"/>
    <n v="9"/>
    <x v="149"/>
    <x v="1"/>
    <x v="1"/>
    <d v="2024-03-11T00:00:00"/>
    <s v="Null"/>
  </r>
  <r>
    <s v="TXN_7017598"/>
    <x v="14"/>
    <x v="0"/>
    <s v="Item_4_PAT"/>
    <n v="9.5"/>
    <n v="6"/>
    <x v="171"/>
    <x v="1"/>
    <x v="0"/>
    <d v="2023-06-07T00:00:00"/>
    <s v="Null"/>
  </r>
  <r>
    <s v="TXN_7222601"/>
    <x v="16"/>
    <x v="6"/>
    <s v="Item_12_EHE"/>
    <n v="21.5"/>
    <n v="2"/>
    <x v="2"/>
    <x v="2"/>
    <x v="0"/>
    <d v="2022-09-10T00:00:00"/>
    <b v="0"/>
  </r>
  <r>
    <s v="TXN_7864933"/>
    <x v="23"/>
    <x v="3"/>
    <s v="Item_17_BEV"/>
    <n v="29"/>
    <n v="1"/>
    <x v="153"/>
    <x v="2"/>
    <x v="1"/>
    <d v="2022-11-29T00:00:00"/>
    <b v="1"/>
  </r>
  <r>
    <s v="TXN_7383288"/>
    <x v="13"/>
    <x v="1"/>
    <s v="Null"/>
    <n v="26"/>
    <s v="Null"/>
    <x v="7"/>
    <x v="0"/>
    <x v="1"/>
    <d v="2022-08-12T00:00:00"/>
    <s v="Null"/>
  </r>
  <r>
    <s v="TXN_8228155"/>
    <x v="11"/>
    <x v="2"/>
    <s v="Item_13_BUT"/>
    <n v="23"/>
    <n v="5"/>
    <x v="156"/>
    <x v="1"/>
    <x v="0"/>
    <d v="2022-08-19T00:00:00"/>
    <b v="1"/>
  </r>
  <r>
    <s v="TXN_9564689"/>
    <x v="16"/>
    <x v="0"/>
    <s v="Item_14_PAT"/>
    <n v="24.5"/>
    <n v="4"/>
    <x v="108"/>
    <x v="2"/>
    <x v="0"/>
    <d v="2022-04-06T00:00:00"/>
    <s v="Null"/>
  </r>
  <r>
    <s v="TXN_8504691"/>
    <x v="17"/>
    <x v="1"/>
    <s v="Item_1_MILK"/>
    <n v="5"/>
    <n v="1"/>
    <x v="172"/>
    <x v="1"/>
    <x v="0"/>
    <d v="2023-12-21T00:00:00"/>
    <b v="1"/>
  </r>
  <r>
    <s v="TXN_7177109"/>
    <x v="4"/>
    <x v="5"/>
    <s v="Item_14_FUR"/>
    <n v="24.5"/>
    <n v="4"/>
    <x v="108"/>
    <x v="2"/>
    <x v="1"/>
    <d v="2023-06-12T00:00:00"/>
    <s v="Null"/>
  </r>
  <r>
    <s v="TXN_9440172"/>
    <x v="18"/>
    <x v="3"/>
    <s v="Item_25_BEV"/>
    <n v="41"/>
    <n v="9"/>
    <x v="138"/>
    <x v="1"/>
    <x v="1"/>
    <d v="2023-10-25T00:00:00"/>
    <b v="0"/>
  </r>
  <r>
    <s v="TXN_7436006"/>
    <x v="22"/>
    <x v="0"/>
    <s v="Item_8_PAT"/>
    <n v="15.5"/>
    <n v="7"/>
    <x v="82"/>
    <x v="2"/>
    <x v="1"/>
    <d v="2023-07-25T00:00:00"/>
    <b v="1"/>
  </r>
  <r>
    <s v="TXN_3673808"/>
    <x v="7"/>
    <x v="0"/>
    <s v="Item_19_PAT"/>
    <n v="32"/>
    <n v="10"/>
    <x v="58"/>
    <x v="0"/>
    <x v="1"/>
    <d v="2023-11-18T00:00:00"/>
    <s v="Null"/>
  </r>
  <r>
    <s v="TXN_1386646"/>
    <x v="23"/>
    <x v="0"/>
    <s v="Item_11_PAT"/>
    <n v="20"/>
    <n v="6"/>
    <x v="75"/>
    <x v="0"/>
    <x v="0"/>
    <d v="2022-12-07T00:00:00"/>
    <s v="Null"/>
  </r>
  <r>
    <s v="TXN_3840387"/>
    <x v="21"/>
    <x v="3"/>
    <s v="Item_7_BEV"/>
    <n v="14"/>
    <n v="5"/>
    <x v="63"/>
    <x v="2"/>
    <x v="1"/>
    <d v="2024-12-29T00:00:00"/>
    <s v="Null"/>
  </r>
  <r>
    <s v="TXN_5434897"/>
    <x v="8"/>
    <x v="2"/>
    <s v="Item_23_BUT"/>
    <n v="38"/>
    <n v="1"/>
    <x v="72"/>
    <x v="2"/>
    <x v="1"/>
    <d v="2023-03-21T00:00:00"/>
    <b v="0"/>
  </r>
  <r>
    <s v="TXN_2218629"/>
    <x v="13"/>
    <x v="7"/>
    <s v="Null"/>
    <s v="Null"/>
    <n v="3"/>
    <x v="45"/>
    <x v="1"/>
    <x v="0"/>
    <d v="2022-03-21T00:00:00"/>
    <b v="0"/>
  </r>
  <r>
    <s v="TXN_9352178"/>
    <x v="23"/>
    <x v="0"/>
    <s v="Item_2_PAT"/>
    <n v="6.5"/>
    <n v="8"/>
    <x v="11"/>
    <x v="0"/>
    <x v="1"/>
    <d v="2023-03-24T00:00:00"/>
    <s v="Null"/>
  </r>
  <r>
    <s v="TXN_9978418"/>
    <x v="13"/>
    <x v="2"/>
    <s v="Item_14_BUT"/>
    <n v="24.5"/>
    <n v="5"/>
    <x v="173"/>
    <x v="0"/>
    <x v="0"/>
    <d v="2024-02-24T00:00:00"/>
    <b v="0"/>
  </r>
  <r>
    <s v="TXN_6660687"/>
    <x v="2"/>
    <x v="5"/>
    <s v="Item_17_FUR"/>
    <n v="29"/>
    <n v="9"/>
    <x v="1"/>
    <x v="0"/>
    <x v="0"/>
    <d v="2024-12-27T00:00:00"/>
    <b v="0"/>
  </r>
  <r>
    <s v="TXN_8348586"/>
    <x v="24"/>
    <x v="6"/>
    <s v="Null"/>
    <s v="Null"/>
    <n v="8"/>
    <x v="174"/>
    <x v="1"/>
    <x v="0"/>
    <d v="2022-08-12T00:00:00"/>
    <s v="Null"/>
  </r>
  <r>
    <s v="TXN_7647224"/>
    <x v="15"/>
    <x v="1"/>
    <s v="Item_1_MILK"/>
    <n v="5"/>
    <n v="7"/>
    <x v="113"/>
    <x v="1"/>
    <x v="1"/>
    <d v="2022-03-19T00:00:00"/>
    <b v="1"/>
  </r>
  <r>
    <s v="TXN_2676761"/>
    <x v="10"/>
    <x v="6"/>
    <s v="Item_17_EHE"/>
    <n v="29"/>
    <n v="9"/>
    <x v="1"/>
    <x v="0"/>
    <x v="1"/>
    <d v="2024-04-03T00:00:00"/>
    <s v="Null"/>
  </r>
  <r>
    <s v="TXN_1409260"/>
    <x v="17"/>
    <x v="6"/>
    <s v="Item_8_EHE"/>
    <n v="15.5"/>
    <n v="1"/>
    <x v="144"/>
    <x v="1"/>
    <x v="1"/>
    <d v="2022-09-21T00:00:00"/>
    <s v="Null"/>
  </r>
  <r>
    <s v="TXN_9671345"/>
    <x v="6"/>
    <x v="5"/>
    <s v="Item_20_FUR"/>
    <n v="33.5"/>
    <n v="2"/>
    <x v="60"/>
    <x v="2"/>
    <x v="0"/>
    <d v="2022-09-13T00:00:00"/>
    <b v="0"/>
  </r>
  <r>
    <s v="TXN_6893703"/>
    <x v="15"/>
    <x v="0"/>
    <s v="Item_13_PAT"/>
    <n v="23"/>
    <n v="1"/>
    <x v="17"/>
    <x v="1"/>
    <x v="1"/>
    <d v="2023-09-03T00:00:00"/>
    <b v="1"/>
  </r>
  <r>
    <s v="TXN_5744111"/>
    <x v="15"/>
    <x v="3"/>
    <s v="Item_3_BEV"/>
    <n v="8"/>
    <n v="3"/>
    <x v="101"/>
    <x v="1"/>
    <x v="0"/>
    <d v="2024-08-21T00:00:00"/>
    <s v="Null"/>
  </r>
  <r>
    <s v="TXN_5224257"/>
    <x v="17"/>
    <x v="2"/>
    <s v="Item_6_BUT"/>
    <n v="12.5"/>
    <n v="9"/>
    <x v="175"/>
    <x v="2"/>
    <x v="0"/>
    <d v="2022-08-13T00:00:00"/>
    <b v="0"/>
  </r>
  <r>
    <s v="TXN_5319794"/>
    <x v="12"/>
    <x v="3"/>
    <s v="Item_16_BEV"/>
    <n v="27.5"/>
    <n v="10"/>
    <x v="16"/>
    <x v="1"/>
    <x v="0"/>
    <d v="2023-05-01T00:00:00"/>
    <s v="Null"/>
  </r>
  <r>
    <s v="TXN_7326092"/>
    <x v="12"/>
    <x v="2"/>
    <s v="Item_23_BUT"/>
    <n v="38"/>
    <n v="5"/>
    <x v="33"/>
    <x v="1"/>
    <x v="0"/>
    <d v="2023-09-19T00:00:00"/>
    <b v="0"/>
  </r>
  <r>
    <s v="TXN_3342497"/>
    <x v="16"/>
    <x v="0"/>
    <s v="Item_9_PAT"/>
    <n v="17"/>
    <n v="4"/>
    <x v="176"/>
    <x v="1"/>
    <x v="1"/>
    <d v="2023-07-03T00:00:00"/>
    <s v="Null"/>
  </r>
  <r>
    <s v="TXN_7235181"/>
    <x v="1"/>
    <x v="1"/>
    <s v="Item_3_MILK"/>
    <n v="8"/>
    <n v="8"/>
    <x v="155"/>
    <x v="0"/>
    <x v="0"/>
    <d v="2023-12-13T00:00:00"/>
    <s v="Null"/>
  </r>
  <r>
    <s v="TXN_4657560"/>
    <x v="3"/>
    <x v="0"/>
    <s v="Item_22_PAT"/>
    <n v="36.5"/>
    <n v="5"/>
    <x v="26"/>
    <x v="0"/>
    <x v="1"/>
    <d v="2022-10-18T00:00:00"/>
    <b v="1"/>
  </r>
  <r>
    <s v="TXN_4570770"/>
    <x v="19"/>
    <x v="6"/>
    <s v="Item_11_EHE"/>
    <n v="20"/>
    <n v="3"/>
    <x v="120"/>
    <x v="1"/>
    <x v="1"/>
    <d v="2023-04-29T00:00:00"/>
    <s v="Null"/>
  </r>
  <r>
    <s v="TXN_6810161"/>
    <x v="11"/>
    <x v="4"/>
    <s v="Item_11_FOOD"/>
    <n v="20"/>
    <n v="3"/>
    <x v="120"/>
    <x v="2"/>
    <x v="0"/>
    <d v="2024-05-05T00:00:00"/>
    <b v="0"/>
  </r>
  <r>
    <s v="TXN_1544024"/>
    <x v="18"/>
    <x v="0"/>
    <s v="Item_17_PAT"/>
    <n v="29"/>
    <n v="8"/>
    <x v="15"/>
    <x v="2"/>
    <x v="0"/>
    <d v="2024-11-16T00:00:00"/>
    <s v="Null"/>
  </r>
  <r>
    <s v="TXN_3107156"/>
    <x v="2"/>
    <x v="7"/>
    <s v="Item_24_CEA"/>
    <n v="39.5"/>
    <n v="8"/>
    <x v="49"/>
    <x v="2"/>
    <x v="0"/>
    <d v="2024-12-23T00:00:00"/>
    <b v="1"/>
  </r>
  <r>
    <s v="TXN_2540525"/>
    <x v="24"/>
    <x v="7"/>
    <s v="Item_22_CEA"/>
    <n v="36.5"/>
    <n v="2"/>
    <x v="122"/>
    <x v="2"/>
    <x v="1"/>
    <d v="2023-04-29T00:00:00"/>
    <b v="0"/>
  </r>
  <r>
    <s v="TXN_7595380"/>
    <x v="3"/>
    <x v="5"/>
    <s v="Item_9_FUR"/>
    <n v="17"/>
    <n v="4"/>
    <x v="176"/>
    <x v="2"/>
    <x v="1"/>
    <d v="2022-11-13T00:00:00"/>
    <b v="0"/>
  </r>
  <r>
    <s v="TXN_9778912"/>
    <x v="9"/>
    <x v="6"/>
    <s v="Item_21_EHE"/>
    <n v="35"/>
    <n v="8"/>
    <x v="84"/>
    <x v="1"/>
    <x v="0"/>
    <d v="2024-08-27T00:00:00"/>
    <b v="0"/>
  </r>
  <r>
    <s v="TXN_2771813"/>
    <x v="11"/>
    <x v="6"/>
    <s v="Null"/>
    <n v="41"/>
    <s v="Null"/>
    <x v="7"/>
    <x v="0"/>
    <x v="0"/>
    <d v="2022-06-10T00:00:00"/>
    <s v="Null"/>
  </r>
  <r>
    <s v="TXN_2461753"/>
    <x v="19"/>
    <x v="7"/>
    <s v="Item_19_CEA"/>
    <n v="32"/>
    <n v="10"/>
    <x v="58"/>
    <x v="2"/>
    <x v="0"/>
    <d v="2022-10-18T00:00:00"/>
    <s v="Null"/>
  </r>
  <r>
    <s v="TXN_9228328"/>
    <x v="4"/>
    <x v="5"/>
    <s v="Item_20_FUR"/>
    <n v="33.5"/>
    <n v="1"/>
    <x v="100"/>
    <x v="0"/>
    <x v="1"/>
    <d v="2022-09-29T00:00:00"/>
    <b v="0"/>
  </r>
  <r>
    <s v="TXN_8148435"/>
    <x v="23"/>
    <x v="6"/>
    <s v="Item_23_EHE"/>
    <n v="38"/>
    <n v="6"/>
    <x v="110"/>
    <x v="1"/>
    <x v="0"/>
    <d v="2024-01-20T00:00:00"/>
    <b v="1"/>
  </r>
  <r>
    <s v="TXN_9014066"/>
    <x v="12"/>
    <x v="2"/>
    <s v="Item_12_BUT"/>
    <n v="21.5"/>
    <n v="3"/>
    <x v="157"/>
    <x v="0"/>
    <x v="0"/>
    <d v="2022-11-20T00:00:00"/>
    <s v="Null"/>
  </r>
  <r>
    <s v="TXN_3864156"/>
    <x v="13"/>
    <x v="2"/>
    <s v="Item_12_BUT"/>
    <n v="21.5"/>
    <n v="8"/>
    <x v="54"/>
    <x v="1"/>
    <x v="1"/>
    <d v="2023-05-25T00:00:00"/>
    <s v="Null"/>
  </r>
  <r>
    <s v="TXN_1325795"/>
    <x v="13"/>
    <x v="7"/>
    <s v="Item_14_CEA"/>
    <n v="24.5"/>
    <n v="6"/>
    <x v="146"/>
    <x v="0"/>
    <x v="1"/>
    <d v="2022-04-29T00:00:00"/>
    <b v="0"/>
  </r>
  <r>
    <s v="TXN_9131959"/>
    <x v="12"/>
    <x v="1"/>
    <s v="Item_2_MILK"/>
    <n v="6.5"/>
    <n v="1"/>
    <x v="128"/>
    <x v="1"/>
    <x v="0"/>
    <d v="2022-01-11T00:00:00"/>
    <b v="0"/>
  </r>
  <r>
    <s v="TXN_2755690"/>
    <x v="17"/>
    <x v="7"/>
    <s v="Item_12_CEA"/>
    <n v="21.5"/>
    <n v="9"/>
    <x v="71"/>
    <x v="2"/>
    <x v="0"/>
    <d v="2024-11-04T00:00:00"/>
    <b v="0"/>
  </r>
  <r>
    <s v="TXN_5675339"/>
    <x v="18"/>
    <x v="6"/>
    <s v="Item_20_EHE"/>
    <n v="33.5"/>
    <n v="4"/>
    <x v="23"/>
    <x v="1"/>
    <x v="0"/>
    <d v="2024-01-12T00:00:00"/>
    <s v="Null"/>
  </r>
  <r>
    <s v="TXN_2687566"/>
    <x v="21"/>
    <x v="5"/>
    <s v="Null"/>
    <s v="Null"/>
    <n v="1"/>
    <x v="8"/>
    <x v="1"/>
    <x v="0"/>
    <d v="2022-03-21T00:00:00"/>
    <b v="0"/>
  </r>
  <r>
    <s v="TXN_6070296"/>
    <x v="21"/>
    <x v="6"/>
    <s v="Item_5_EHE"/>
    <n v="11"/>
    <n v="3"/>
    <x v="81"/>
    <x v="2"/>
    <x v="1"/>
    <d v="2024-01-31T00:00:00"/>
    <b v="0"/>
  </r>
  <r>
    <s v="TXN_7927802"/>
    <x v="18"/>
    <x v="2"/>
    <s v="Item_22_BUT"/>
    <n v="36.5"/>
    <n v="8"/>
    <x v="177"/>
    <x v="0"/>
    <x v="0"/>
    <d v="2023-06-30T00:00:00"/>
    <s v="Null"/>
  </r>
  <r>
    <s v="TXN_1607995"/>
    <x v="7"/>
    <x v="6"/>
    <s v="Item_19_EHE"/>
    <n v="32"/>
    <n v="6"/>
    <x v="91"/>
    <x v="1"/>
    <x v="1"/>
    <d v="2023-12-24T00:00:00"/>
    <s v="Null"/>
  </r>
  <r>
    <s v="TXN_1694461"/>
    <x v="11"/>
    <x v="2"/>
    <s v="Item_12_BUT"/>
    <n v="21.5"/>
    <n v="10"/>
    <x v="44"/>
    <x v="2"/>
    <x v="0"/>
    <d v="2022-07-13T00:00:00"/>
    <b v="1"/>
  </r>
  <r>
    <s v="TXN_4728272"/>
    <x v="6"/>
    <x v="7"/>
    <s v="Item_22_CEA"/>
    <n v="36.5"/>
    <n v="9"/>
    <x v="166"/>
    <x v="2"/>
    <x v="0"/>
    <d v="2023-02-27T00:00:00"/>
    <b v="0"/>
  </r>
  <r>
    <s v="TXN_1213835"/>
    <x v="2"/>
    <x v="3"/>
    <s v="Item_22_BEV"/>
    <n v="36.5"/>
    <n v="4"/>
    <x v="61"/>
    <x v="0"/>
    <x v="1"/>
    <d v="2022-07-06T00:00:00"/>
    <b v="0"/>
  </r>
  <r>
    <s v="TXN_7377480"/>
    <x v="7"/>
    <x v="4"/>
    <s v="Item_10_FOOD"/>
    <n v="18.5"/>
    <n v="6"/>
    <x v="102"/>
    <x v="2"/>
    <x v="0"/>
    <d v="2024-03-13T00:00:00"/>
    <s v="Null"/>
  </r>
  <r>
    <s v="TXN_3331644"/>
    <x v="18"/>
    <x v="1"/>
    <s v="Item_16_MILK"/>
    <n v="27.5"/>
    <n v="8"/>
    <x v="174"/>
    <x v="0"/>
    <x v="0"/>
    <d v="2024-04-27T00:00:00"/>
    <b v="1"/>
  </r>
  <r>
    <s v="TXN_2605227"/>
    <x v="19"/>
    <x v="2"/>
    <s v="Item_7_BUT"/>
    <n v="14"/>
    <n v="2"/>
    <x v="178"/>
    <x v="2"/>
    <x v="1"/>
    <d v="2024-02-03T00:00:00"/>
    <b v="0"/>
  </r>
  <r>
    <s v="TXN_5387201"/>
    <x v="9"/>
    <x v="5"/>
    <s v="Item_2_FUR"/>
    <n v="6.5"/>
    <n v="6"/>
    <x v="53"/>
    <x v="0"/>
    <x v="0"/>
    <d v="2024-11-06T00:00:00"/>
    <s v="Null"/>
  </r>
  <r>
    <s v="TXN_2782829"/>
    <x v="2"/>
    <x v="6"/>
    <s v="Item_12_EHE"/>
    <n v="21.5"/>
    <n v="7"/>
    <x v="133"/>
    <x v="2"/>
    <x v="1"/>
    <d v="2024-03-14T00:00:00"/>
    <b v="1"/>
  </r>
  <r>
    <s v="TXN_3253186"/>
    <x v="14"/>
    <x v="1"/>
    <s v="Item_23_MILK"/>
    <n v="38"/>
    <n v="9"/>
    <x v="179"/>
    <x v="2"/>
    <x v="0"/>
    <d v="2022-09-14T00:00:00"/>
    <b v="1"/>
  </r>
  <r>
    <s v="TXN_5905211"/>
    <x v="16"/>
    <x v="7"/>
    <s v="Item_5_CEA"/>
    <n v="11"/>
    <n v="3"/>
    <x v="81"/>
    <x v="0"/>
    <x v="0"/>
    <d v="2024-03-21T00:00:00"/>
    <b v="0"/>
  </r>
  <r>
    <s v="TXN_2937307"/>
    <x v="10"/>
    <x v="0"/>
    <s v="Item_14_PAT"/>
    <n v="24.5"/>
    <n v="6"/>
    <x v="146"/>
    <x v="2"/>
    <x v="1"/>
    <d v="2025-01-06T00:00:00"/>
    <b v="1"/>
  </r>
  <r>
    <s v="TXN_7739969"/>
    <x v="11"/>
    <x v="7"/>
    <s v="Item_12_CEA"/>
    <n v="21.5"/>
    <n v="3"/>
    <x v="157"/>
    <x v="2"/>
    <x v="0"/>
    <d v="2023-12-14T00:00:00"/>
    <s v="Null"/>
  </r>
  <r>
    <s v="TXN_2346263"/>
    <x v="6"/>
    <x v="6"/>
    <s v="Null"/>
    <n v="12.5"/>
    <s v="Null"/>
    <x v="7"/>
    <x v="1"/>
    <x v="1"/>
    <d v="2022-09-09T00:00:00"/>
    <b v="0"/>
  </r>
  <r>
    <s v="TXN_2610751"/>
    <x v="4"/>
    <x v="2"/>
    <s v="Item_25_BUT"/>
    <n v="41"/>
    <n v="5"/>
    <x v="132"/>
    <x v="2"/>
    <x v="0"/>
    <d v="2022-05-30T00:00:00"/>
    <s v="Null"/>
  </r>
  <r>
    <s v="TXN_2712285"/>
    <x v="1"/>
    <x v="5"/>
    <s v="Item_2_FUR"/>
    <n v="6.5"/>
    <n v="5"/>
    <x v="98"/>
    <x v="2"/>
    <x v="1"/>
    <d v="2022-06-25T00:00:00"/>
    <b v="0"/>
  </r>
  <r>
    <s v="TXN_5372618"/>
    <x v="17"/>
    <x v="6"/>
    <s v="Item_15_EHE"/>
    <n v="26"/>
    <n v="7"/>
    <x v="167"/>
    <x v="0"/>
    <x v="1"/>
    <d v="2022-05-18T00:00:00"/>
    <s v="Null"/>
  </r>
  <r>
    <s v="TXN_9725690"/>
    <x v="6"/>
    <x v="6"/>
    <s v="Item_8_EHE"/>
    <n v="15.5"/>
    <n v="6"/>
    <x v="112"/>
    <x v="1"/>
    <x v="0"/>
    <d v="2022-08-30T00:00:00"/>
    <s v="Null"/>
  </r>
  <r>
    <s v="TXN_1619388"/>
    <x v="12"/>
    <x v="7"/>
    <s v="Item_15_CEA"/>
    <n v="26"/>
    <n v="1"/>
    <x v="107"/>
    <x v="0"/>
    <x v="0"/>
    <d v="2024-05-23T00:00:00"/>
    <s v="Null"/>
  </r>
  <r>
    <s v="TXN_8846502"/>
    <x v="8"/>
    <x v="0"/>
    <s v="Item_9_PAT"/>
    <n v="17"/>
    <n v="6"/>
    <x v="180"/>
    <x v="2"/>
    <x v="1"/>
    <d v="2024-08-07T00:00:00"/>
    <s v="Null"/>
  </r>
  <r>
    <s v="TXN_2079721"/>
    <x v="19"/>
    <x v="2"/>
    <s v="Item_21_BUT"/>
    <n v="35"/>
    <n v="1"/>
    <x v="113"/>
    <x v="0"/>
    <x v="1"/>
    <d v="2023-12-14T00:00:00"/>
    <b v="1"/>
  </r>
  <r>
    <s v="TXN_5361643"/>
    <x v="21"/>
    <x v="4"/>
    <s v="Null"/>
    <s v="Null"/>
    <n v="2"/>
    <x v="103"/>
    <x v="0"/>
    <x v="0"/>
    <d v="2023-12-19T00:00:00"/>
    <s v="Null"/>
  </r>
  <r>
    <s v="TXN_5809744"/>
    <x v="16"/>
    <x v="4"/>
    <s v="Item_9_FOOD"/>
    <n v="17"/>
    <n v="4"/>
    <x v="176"/>
    <x v="2"/>
    <x v="1"/>
    <d v="2023-01-29T00:00:00"/>
    <b v="1"/>
  </r>
  <r>
    <s v="TXN_6567750"/>
    <x v="4"/>
    <x v="5"/>
    <s v="Item_14_FUR"/>
    <n v="24.5"/>
    <n v="4"/>
    <x v="108"/>
    <x v="1"/>
    <x v="1"/>
    <d v="2022-10-26T00:00:00"/>
    <b v="1"/>
  </r>
  <r>
    <s v="TXN_6837444"/>
    <x v="21"/>
    <x v="7"/>
    <s v="Item_16_CEA"/>
    <n v="27.5"/>
    <n v="9"/>
    <x v="3"/>
    <x v="2"/>
    <x v="0"/>
    <d v="2023-01-13T00:00:00"/>
    <b v="0"/>
  </r>
  <r>
    <s v="TXN_9307798"/>
    <x v="4"/>
    <x v="0"/>
    <s v="Item_4_PAT"/>
    <n v="9.5"/>
    <n v="2"/>
    <x v="135"/>
    <x v="0"/>
    <x v="1"/>
    <d v="2023-07-05T00:00:00"/>
    <b v="1"/>
  </r>
  <r>
    <s v="TXN_3791514"/>
    <x v="22"/>
    <x v="0"/>
    <s v="Item_4_PAT"/>
    <n v="9.5"/>
    <n v="2"/>
    <x v="135"/>
    <x v="0"/>
    <x v="0"/>
    <d v="2023-01-08T00:00:00"/>
    <s v="Null"/>
  </r>
  <r>
    <s v="TXN_8377166"/>
    <x v="3"/>
    <x v="2"/>
    <s v="Item_20_BUT"/>
    <n v="33.5"/>
    <n v="2"/>
    <x v="60"/>
    <x v="1"/>
    <x v="1"/>
    <d v="2024-03-27T00:00:00"/>
    <b v="0"/>
  </r>
  <r>
    <s v="TXN_9027643"/>
    <x v="12"/>
    <x v="0"/>
    <s v="Item_5_PAT"/>
    <n v="11"/>
    <n v="10"/>
    <x v="134"/>
    <x v="2"/>
    <x v="1"/>
    <d v="2024-10-25T00:00:00"/>
    <b v="1"/>
  </r>
  <r>
    <s v="TXN_3171192"/>
    <x v="15"/>
    <x v="4"/>
    <s v="Null"/>
    <n v="26"/>
    <s v="Null"/>
    <x v="7"/>
    <x v="2"/>
    <x v="0"/>
    <d v="2024-01-22T00:00:00"/>
    <b v="1"/>
  </r>
  <r>
    <s v="TXN_5547887"/>
    <x v="12"/>
    <x v="0"/>
    <s v="Item_17_PAT"/>
    <n v="29"/>
    <n v="10"/>
    <x v="62"/>
    <x v="0"/>
    <x v="0"/>
    <d v="2024-09-10T00:00:00"/>
    <b v="1"/>
  </r>
  <r>
    <s v="TXN_2009395"/>
    <x v="15"/>
    <x v="4"/>
    <s v="Item_11_FOOD"/>
    <n v="20"/>
    <n v="6"/>
    <x v="75"/>
    <x v="0"/>
    <x v="0"/>
    <d v="2024-08-12T00:00:00"/>
    <b v="0"/>
  </r>
  <r>
    <s v="TXN_1354667"/>
    <x v="17"/>
    <x v="3"/>
    <s v="Item_8_BEV"/>
    <n v="15.5"/>
    <n v="5"/>
    <x v="142"/>
    <x v="2"/>
    <x v="0"/>
    <d v="2022-04-04T00:00:00"/>
    <s v="Null"/>
  </r>
  <r>
    <s v="TXN_1597974"/>
    <x v="17"/>
    <x v="1"/>
    <s v="Item_18_MILK"/>
    <n v="30.5"/>
    <n v="2"/>
    <x v="125"/>
    <x v="2"/>
    <x v="0"/>
    <d v="2023-10-20T00:00:00"/>
    <s v="Null"/>
  </r>
  <r>
    <s v="TXN_3795673"/>
    <x v="9"/>
    <x v="2"/>
    <s v="Item_5_BUT"/>
    <n v="11"/>
    <n v="7"/>
    <x v="181"/>
    <x v="2"/>
    <x v="1"/>
    <d v="2024-02-02T00:00:00"/>
    <s v="Null"/>
  </r>
  <r>
    <s v="TXN_7725571"/>
    <x v="0"/>
    <x v="5"/>
    <s v="Item_25_FUR"/>
    <n v="41"/>
    <n v="3"/>
    <x v="121"/>
    <x v="1"/>
    <x v="0"/>
    <d v="2024-06-24T00:00:00"/>
    <b v="1"/>
  </r>
  <r>
    <s v="TXN_5827116"/>
    <x v="24"/>
    <x v="7"/>
    <s v="Item_11_CEA"/>
    <n v="20"/>
    <n v="7"/>
    <x v="74"/>
    <x v="2"/>
    <x v="1"/>
    <d v="2023-11-05T00:00:00"/>
    <b v="0"/>
  </r>
  <r>
    <s v="TXN_5314835"/>
    <x v="1"/>
    <x v="0"/>
    <s v="Item_1_PAT"/>
    <n v="5"/>
    <n v="7"/>
    <x v="113"/>
    <x v="0"/>
    <x v="0"/>
    <d v="2024-07-05T00:00:00"/>
    <b v="1"/>
  </r>
  <r>
    <s v="TXN_4897743"/>
    <x v="12"/>
    <x v="4"/>
    <s v="Null"/>
    <s v="Null"/>
    <n v="9"/>
    <x v="71"/>
    <x v="1"/>
    <x v="1"/>
    <d v="2024-03-18T00:00:00"/>
    <s v="Null"/>
  </r>
  <r>
    <s v="TXN_1565398"/>
    <x v="8"/>
    <x v="4"/>
    <s v="Null"/>
    <s v="Null"/>
    <n v="8"/>
    <x v="182"/>
    <x v="1"/>
    <x v="1"/>
    <d v="2022-06-15T00:00:00"/>
    <s v="Null"/>
  </r>
  <r>
    <s v="TXN_5579136"/>
    <x v="23"/>
    <x v="3"/>
    <s v="Item_14_BEV"/>
    <n v="24.5"/>
    <n v="8"/>
    <x v="28"/>
    <x v="0"/>
    <x v="1"/>
    <d v="2023-05-12T00:00:00"/>
    <s v="Null"/>
  </r>
  <r>
    <s v="TXN_9472812"/>
    <x v="14"/>
    <x v="4"/>
    <s v="Null"/>
    <n v="11"/>
    <s v="Null"/>
    <x v="7"/>
    <x v="0"/>
    <x v="0"/>
    <d v="2024-08-16T00:00:00"/>
    <s v="Null"/>
  </r>
  <r>
    <s v="TXN_9837294"/>
    <x v="7"/>
    <x v="3"/>
    <s v="Item_4_BEV"/>
    <n v="9.5"/>
    <n v="4"/>
    <x v="72"/>
    <x v="0"/>
    <x v="1"/>
    <d v="2024-06-15T00:00:00"/>
    <s v="Null"/>
  </r>
  <r>
    <s v="TXN_8172094"/>
    <x v="6"/>
    <x v="0"/>
    <s v="Item_6_PAT"/>
    <n v="12.5"/>
    <n v="8"/>
    <x v="27"/>
    <x v="0"/>
    <x v="1"/>
    <d v="2022-03-05T00:00:00"/>
    <b v="0"/>
  </r>
  <r>
    <s v="TXN_4882798"/>
    <x v="7"/>
    <x v="5"/>
    <s v="Item_6_FUR"/>
    <n v="12.5"/>
    <n v="10"/>
    <x v="183"/>
    <x v="1"/>
    <x v="1"/>
    <d v="2022-04-22T00:00:00"/>
    <b v="1"/>
  </r>
  <r>
    <s v="TXN_4283900"/>
    <x v="14"/>
    <x v="3"/>
    <s v="Item_24_BEV"/>
    <n v="39.5"/>
    <n v="6"/>
    <x v="13"/>
    <x v="1"/>
    <x v="0"/>
    <d v="2022-06-23T00:00:00"/>
    <b v="0"/>
  </r>
  <r>
    <s v="TXN_1224321"/>
    <x v="4"/>
    <x v="7"/>
    <s v="Item_6_CEA"/>
    <n v="12.5"/>
    <n v="1"/>
    <x v="73"/>
    <x v="0"/>
    <x v="0"/>
    <d v="2022-08-22T00:00:00"/>
    <b v="0"/>
  </r>
  <r>
    <s v="TXN_5240854"/>
    <x v="22"/>
    <x v="7"/>
    <s v="Item_21_CEA"/>
    <n v="35"/>
    <n v="6"/>
    <x v="184"/>
    <x v="2"/>
    <x v="0"/>
    <d v="2024-10-09T00:00:00"/>
    <s v="Null"/>
  </r>
  <r>
    <s v="TXN_4879732"/>
    <x v="6"/>
    <x v="1"/>
    <s v="Item_18_MILK"/>
    <n v="30.5"/>
    <n v="3"/>
    <x v="111"/>
    <x v="2"/>
    <x v="0"/>
    <d v="2022-02-27T00:00:00"/>
    <b v="1"/>
  </r>
  <r>
    <s v="TXN_1642953"/>
    <x v="16"/>
    <x v="6"/>
    <s v="Item_16_EHE"/>
    <n v="27.5"/>
    <n v="5"/>
    <x v="185"/>
    <x v="0"/>
    <x v="1"/>
    <d v="2022-10-30T00:00:00"/>
    <b v="1"/>
  </r>
  <r>
    <s v="TXN_9917843"/>
    <x v="20"/>
    <x v="1"/>
    <s v="Null"/>
    <s v="Null"/>
    <n v="10"/>
    <x v="186"/>
    <x v="0"/>
    <x v="0"/>
    <d v="2024-03-04T00:00:00"/>
    <b v="1"/>
  </r>
  <r>
    <s v="TXN_4602333"/>
    <x v="21"/>
    <x v="1"/>
    <s v="Item_14_MILK"/>
    <n v="24.5"/>
    <n v="10"/>
    <x v="25"/>
    <x v="1"/>
    <x v="0"/>
    <d v="2024-12-30T00:00:00"/>
    <b v="1"/>
  </r>
  <r>
    <s v="TXN_8101203"/>
    <x v="16"/>
    <x v="4"/>
    <s v="Item_5_FOOD"/>
    <n v="11"/>
    <n v="10"/>
    <x v="134"/>
    <x v="1"/>
    <x v="1"/>
    <d v="2022-04-14T00:00:00"/>
    <s v="Null"/>
  </r>
  <r>
    <s v="TXN_4766175"/>
    <x v="23"/>
    <x v="5"/>
    <s v="Item_11_FUR"/>
    <n v="20"/>
    <n v="3"/>
    <x v="120"/>
    <x v="0"/>
    <x v="0"/>
    <d v="2024-03-25T00:00:00"/>
    <b v="0"/>
  </r>
  <r>
    <s v="TXN_2331955"/>
    <x v="13"/>
    <x v="0"/>
    <s v="Item_20_PAT"/>
    <n v="33.5"/>
    <n v="4"/>
    <x v="23"/>
    <x v="2"/>
    <x v="0"/>
    <d v="2023-04-01T00:00:00"/>
    <b v="0"/>
  </r>
  <r>
    <s v="TXN_1373649"/>
    <x v="0"/>
    <x v="6"/>
    <s v="Item_22_EHE"/>
    <n v="36.5"/>
    <n v="6"/>
    <x v="59"/>
    <x v="2"/>
    <x v="1"/>
    <d v="2023-05-07T00:00:00"/>
    <b v="0"/>
  </r>
  <r>
    <s v="TXN_8660082"/>
    <x v="17"/>
    <x v="3"/>
    <s v="Item_20_BEV"/>
    <n v="33.5"/>
    <n v="1"/>
    <x v="100"/>
    <x v="1"/>
    <x v="1"/>
    <d v="2024-05-18T00:00:00"/>
    <b v="1"/>
  </r>
  <r>
    <s v="TXN_4244094"/>
    <x v="14"/>
    <x v="4"/>
    <s v="Item_6_FOOD"/>
    <n v="12.5"/>
    <n v="2"/>
    <x v="96"/>
    <x v="0"/>
    <x v="1"/>
    <d v="2022-09-06T00:00:00"/>
    <b v="0"/>
  </r>
  <r>
    <s v="TXN_3949704"/>
    <x v="1"/>
    <x v="6"/>
    <s v="Item_21_EHE"/>
    <n v="35"/>
    <n v="9"/>
    <x v="29"/>
    <x v="2"/>
    <x v="0"/>
    <d v="2022-06-12T00:00:00"/>
    <b v="0"/>
  </r>
  <r>
    <s v="TXN_1304201"/>
    <x v="0"/>
    <x v="5"/>
    <s v="Item_5_FUR"/>
    <n v="11"/>
    <n v="4"/>
    <x v="168"/>
    <x v="1"/>
    <x v="1"/>
    <d v="2024-03-14T00:00:00"/>
    <b v="1"/>
  </r>
  <r>
    <s v="TXN_1481263"/>
    <x v="15"/>
    <x v="0"/>
    <s v="Item_9_PAT"/>
    <n v="17"/>
    <n v="8"/>
    <x v="187"/>
    <x v="0"/>
    <x v="1"/>
    <d v="2022-12-04T00:00:00"/>
    <b v="0"/>
  </r>
  <r>
    <s v="TXN_1830813"/>
    <x v="10"/>
    <x v="1"/>
    <s v="Item_22_MILK"/>
    <n v="36.5"/>
    <n v="8"/>
    <x v="177"/>
    <x v="1"/>
    <x v="0"/>
    <d v="2023-11-05T00:00:00"/>
    <s v="Null"/>
  </r>
  <r>
    <s v="TXN_3256316"/>
    <x v="1"/>
    <x v="4"/>
    <s v="Item_17_FOOD"/>
    <n v="29"/>
    <n v="1"/>
    <x v="153"/>
    <x v="2"/>
    <x v="0"/>
    <d v="2024-07-10T00:00:00"/>
    <b v="0"/>
  </r>
  <r>
    <s v="TXN_4412300"/>
    <x v="4"/>
    <x v="6"/>
    <s v="Item_23_EHE"/>
    <n v="38"/>
    <n v="10"/>
    <x v="87"/>
    <x v="0"/>
    <x v="1"/>
    <d v="2022-08-18T00:00:00"/>
    <b v="0"/>
  </r>
  <r>
    <s v="TXN_8350639"/>
    <x v="6"/>
    <x v="5"/>
    <s v="Item_2_FUR"/>
    <n v="6.5"/>
    <n v="9"/>
    <x v="151"/>
    <x v="0"/>
    <x v="0"/>
    <d v="2023-07-12T00:00:00"/>
    <b v="0"/>
  </r>
  <r>
    <s v="TXN_6417585"/>
    <x v="4"/>
    <x v="6"/>
    <s v="Item_19_EHE"/>
    <n v="32"/>
    <n v="2"/>
    <x v="155"/>
    <x v="2"/>
    <x v="1"/>
    <d v="2023-02-08T00:00:00"/>
    <b v="1"/>
  </r>
  <r>
    <s v="TXN_8355393"/>
    <x v="13"/>
    <x v="1"/>
    <s v="Item_17_MILK"/>
    <n v="29"/>
    <n v="5"/>
    <x v="188"/>
    <x v="2"/>
    <x v="1"/>
    <d v="2022-01-24T00:00:00"/>
    <b v="0"/>
  </r>
  <r>
    <s v="TXN_5759876"/>
    <x v="24"/>
    <x v="4"/>
    <s v="Item_25_FOOD"/>
    <n v="41"/>
    <n v="3"/>
    <x v="121"/>
    <x v="2"/>
    <x v="0"/>
    <d v="2023-12-27T00:00:00"/>
    <b v="1"/>
  </r>
  <r>
    <s v="TXN_5786761"/>
    <x v="24"/>
    <x v="7"/>
    <s v="Item_6_CEA"/>
    <n v="12.5"/>
    <n v="5"/>
    <x v="105"/>
    <x v="1"/>
    <x v="0"/>
    <d v="2023-10-25T00:00:00"/>
    <b v="1"/>
  </r>
  <r>
    <s v="TXN_4126221"/>
    <x v="24"/>
    <x v="5"/>
    <s v="Item_2_FUR"/>
    <n v="6.5"/>
    <n v="1"/>
    <x v="128"/>
    <x v="2"/>
    <x v="0"/>
    <d v="2023-07-03T00:00:00"/>
    <s v="Null"/>
  </r>
  <r>
    <s v="TXN_3055303"/>
    <x v="7"/>
    <x v="4"/>
    <s v="Item_22_FOOD"/>
    <n v="36.5"/>
    <n v="1"/>
    <x v="104"/>
    <x v="2"/>
    <x v="0"/>
    <d v="2022-06-30T00:00:00"/>
    <b v="1"/>
  </r>
  <r>
    <s v="TXN_3948610"/>
    <x v="5"/>
    <x v="5"/>
    <s v="Null"/>
    <n v="33.5"/>
    <s v="Null"/>
    <x v="7"/>
    <x v="0"/>
    <x v="1"/>
    <d v="2023-02-24T00:00:00"/>
    <s v="Null"/>
  </r>
  <r>
    <s v="TXN_3042204"/>
    <x v="22"/>
    <x v="0"/>
    <s v="Item_12_PAT"/>
    <n v="21.5"/>
    <n v="5"/>
    <x v="38"/>
    <x v="0"/>
    <x v="0"/>
    <d v="2023-05-14T00:00:00"/>
    <b v="1"/>
  </r>
  <r>
    <s v="TXN_7810642"/>
    <x v="19"/>
    <x v="3"/>
    <s v="Item_6_BEV"/>
    <n v="12.5"/>
    <n v="8"/>
    <x v="27"/>
    <x v="1"/>
    <x v="0"/>
    <d v="2024-03-04T00:00:00"/>
    <b v="0"/>
  </r>
  <r>
    <s v="TXN_1386229"/>
    <x v="17"/>
    <x v="7"/>
    <s v="Item_11_CEA"/>
    <n v="20"/>
    <n v="4"/>
    <x v="40"/>
    <x v="1"/>
    <x v="0"/>
    <d v="2023-04-02T00:00:00"/>
    <b v="0"/>
  </r>
  <r>
    <s v="TXN_5372777"/>
    <x v="17"/>
    <x v="1"/>
    <s v="Item_1_MILK"/>
    <n v="5"/>
    <n v="6"/>
    <x v="56"/>
    <x v="1"/>
    <x v="0"/>
    <d v="2022-05-30T00:00:00"/>
    <b v="1"/>
  </r>
  <r>
    <s v="TXN_2082706"/>
    <x v="11"/>
    <x v="5"/>
    <s v="Item_12_FUR"/>
    <n v="21.5"/>
    <n v="8"/>
    <x v="54"/>
    <x v="2"/>
    <x v="0"/>
    <d v="2024-10-10T00:00:00"/>
    <b v="1"/>
  </r>
  <r>
    <s v="TXN_1808071"/>
    <x v="8"/>
    <x v="4"/>
    <s v="Item_13_FOOD"/>
    <n v="23"/>
    <n v="2"/>
    <x v="103"/>
    <x v="0"/>
    <x v="1"/>
    <d v="2022-10-14T00:00:00"/>
    <b v="0"/>
  </r>
  <r>
    <s v="TXN_2118429"/>
    <x v="6"/>
    <x v="2"/>
    <s v="Item_5_BUT"/>
    <n v="11"/>
    <n v="5"/>
    <x v="14"/>
    <x v="0"/>
    <x v="1"/>
    <d v="2022-10-17T00:00:00"/>
    <b v="1"/>
  </r>
  <r>
    <s v="TXN_4298975"/>
    <x v="1"/>
    <x v="1"/>
    <s v="Null"/>
    <s v="Null"/>
    <n v="2"/>
    <x v="125"/>
    <x v="0"/>
    <x v="0"/>
    <d v="2023-12-18T00:00:00"/>
    <b v="0"/>
  </r>
  <r>
    <s v="TXN_4597218"/>
    <x v="7"/>
    <x v="0"/>
    <s v="Item_2_PAT"/>
    <n v="6.5"/>
    <n v="10"/>
    <x v="140"/>
    <x v="1"/>
    <x v="0"/>
    <d v="2024-06-19T00:00:00"/>
    <s v="Null"/>
  </r>
  <r>
    <s v="TXN_4793201"/>
    <x v="19"/>
    <x v="3"/>
    <s v="Item_16_BEV"/>
    <n v="27.5"/>
    <n v="2"/>
    <x v="14"/>
    <x v="1"/>
    <x v="1"/>
    <d v="2023-09-01T00:00:00"/>
    <b v="1"/>
  </r>
  <r>
    <s v="TXN_1910565"/>
    <x v="16"/>
    <x v="5"/>
    <s v="Item_9_FUR"/>
    <n v="17"/>
    <n v="9"/>
    <x v="189"/>
    <x v="0"/>
    <x v="1"/>
    <d v="2024-03-26T00:00:00"/>
    <b v="0"/>
  </r>
  <r>
    <s v="TXN_5645530"/>
    <x v="9"/>
    <x v="3"/>
    <s v="Item_14_BEV"/>
    <n v="24.5"/>
    <n v="10"/>
    <x v="25"/>
    <x v="0"/>
    <x v="0"/>
    <d v="2024-06-06T00:00:00"/>
    <b v="0"/>
  </r>
  <r>
    <s v="TXN_7221565"/>
    <x v="23"/>
    <x v="5"/>
    <s v="Item_17_FUR"/>
    <n v="29"/>
    <n v="1"/>
    <x v="153"/>
    <x v="2"/>
    <x v="1"/>
    <d v="2022-02-13T00:00:00"/>
    <b v="1"/>
  </r>
  <r>
    <s v="TXN_2175503"/>
    <x v="18"/>
    <x v="6"/>
    <s v="Item_21_EHE"/>
    <n v="35"/>
    <n v="6"/>
    <x v="184"/>
    <x v="2"/>
    <x v="1"/>
    <d v="2024-01-02T00:00:00"/>
    <b v="0"/>
  </r>
  <r>
    <s v="TXN_3919101"/>
    <x v="16"/>
    <x v="1"/>
    <s v="Item_11_MILK"/>
    <n v="20"/>
    <n v="4"/>
    <x v="40"/>
    <x v="0"/>
    <x v="0"/>
    <d v="2022-05-22T00:00:00"/>
    <b v="0"/>
  </r>
  <r>
    <s v="TXN_7993933"/>
    <x v="15"/>
    <x v="1"/>
    <s v="Item_13_MILK"/>
    <n v="23"/>
    <n v="6"/>
    <x v="118"/>
    <x v="1"/>
    <x v="0"/>
    <d v="2022-09-12T00:00:00"/>
    <s v="Null"/>
  </r>
  <r>
    <s v="TXN_1987133"/>
    <x v="0"/>
    <x v="5"/>
    <s v="Item_11_FUR"/>
    <n v="20"/>
    <n v="3"/>
    <x v="120"/>
    <x v="1"/>
    <x v="0"/>
    <d v="2022-06-07T00:00:00"/>
    <b v="0"/>
  </r>
  <r>
    <s v="TXN_9150129"/>
    <x v="3"/>
    <x v="6"/>
    <s v="Item_4_EHE"/>
    <n v="9.5"/>
    <n v="10"/>
    <x v="186"/>
    <x v="2"/>
    <x v="1"/>
    <d v="2024-06-27T00:00:00"/>
    <b v="1"/>
  </r>
  <r>
    <s v="TXN_1011892"/>
    <x v="17"/>
    <x v="5"/>
    <s v="Item_24_FUR"/>
    <n v="39.5"/>
    <n v="2"/>
    <x v="190"/>
    <x v="1"/>
    <x v="0"/>
    <d v="2023-08-27T00:00:00"/>
    <b v="0"/>
  </r>
  <r>
    <s v="TXN_5476321"/>
    <x v="2"/>
    <x v="7"/>
    <s v="Item_15_CEA"/>
    <n v="26"/>
    <n v="3"/>
    <x v="191"/>
    <x v="1"/>
    <x v="0"/>
    <d v="2023-04-24T00:00:00"/>
    <b v="1"/>
  </r>
  <r>
    <s v="TXN_3525189"/>
    <x v="14"/>
    <x v="5"/>
    <s v="Item_4_FUR"/>
    <n v="9.5"/>
    <n v="4"/>
    <x v="72"/>
    <x v="2"/>
    <x v="0"/>
    <d v="2024-01-25T00:00:00"/>
    <b v="1"/>
  </r>
  <r>
    <s v="TXN_5861199"/>
    <x v="21"/>
    <x v="3"/>
    <s v="Item_18_BEV"/>
    <n v="30.5"/>
    <n v="10"/>
    <x v="77"/>
    <x v="2"/>
    <x v="0"/>
    <d v="2022-12-30T00:00:00"/>
    <b v="0"/>
  </r>
  <r>
    <s v="TXN_6454565"/>
    <x v="23"/>
    <x v="5"/>
    <s v="Item_6_FUR"/>
    <n v="12.5"/>
    <n v="3"/>
    <x v="139"/>
    <x v="1"/>
    <x v="0"/>
    <d v="2022-05-07T00:00:00"/>
    <s v="Null"/>
  </r>
  <r>
    <s v="TXN_4827758"/>
    <x v="3"/>
    <x v="1"/>
    <s v="Item_9_MILK"/>
    <n v="17"/>
    <n v="3"/>
    <x v="192"/>
    <x v="2"/>
    <x v="1"/>
    <d v="2023-11-16T00:00:00"/>
    <s v="Null"/>
  </r>
  <r>
    <s v="TXN_6215665"/>
    <x v="1"/>
    <x v="3"/>
    <s v="Item_23_BEV"/>
    <n v="38"/>
    <n v="1"/>
    <x v="72"/>
    <x v="0"/>
    <x v="0"/>
    <d v="2023-06-13T00:00:00"/>
    <b v="0"/>
  </r>
  <r>
    <s v="TXN_7710775"/>
    <x v="4"/>
    <x v="5"/>
    <s v="Item_23_FUR"/>
    <n v="38"/>
    <n v="5"/>
    <x v="33"/>
    <x v="0"/>
    <x v="1"/>
    <d v="2023-02-22T00:00:00"/>
    <b v="0"/>
  </r>
  <r>
    <s v="TXN_4701071"/>
    <x v="15"/>
    <x v="5"/>
    <s v="Item_1_FUR"/>
    <n v="5"/>
    <n v="6"/>
    <x v="56"/>
    <x v="0"/>
    <x v="0"/>
    <d v="2023-04-11T00:00:00"/>
    <b v="1"/>
  </r>
  <r>
    <s v="TXN_1593038"/>
    <x v="13"/>
    <x v="0"/>
    <s v="Item_11_PAT"/>
    <n v="20"/>
    <n v="8"/>
    <x v="64"/>
    <x v="0"/>
    <x v="0"/>
    <d v="2023-02-27T00:00:00"/>
    <b v="1"/>
  </r>
  <r>
    <s v="TXN_7002371"/>
    <x v="8"/>
    <x v="2"/>
    <s v="Item_1_BUT"/>
    <n v="5"/>
    <n v="3"/>
    <x v="99"/>
    <x v="2"/>
    <x v="1"/>
    <d v="2022-01-15T00:00:00"/>
    <s v="Null"/>
  </r>
  <r>
    <s v="TXN_5423342"/>
    <x v="21"/>
    <x v="7"/>
    <s v="Item_8_CEA"/>
    <n v="15.5"/>
    <n v="3"/>
    <x v="36"/>
    <x v="0"/>
    <x v="1"/>
    <d v="2023-10-21T00:00:00"/>
    <b v="0"/>
  </r>
  <r>
    <s v="TXN_2010040"/>
    <x v="13"/>
    <x v="3"/>
    <s v="Item_19_BEV"/>
    <n v="32"/>
    <n v="8"/>
    <x v="193"/>
    <x v="2"/>
    <x v="0"/>
    <d v="2024-02-01T00:00:00"/>
    <b v="0"/>
  </r>
  <r>
    <s v="TXN_3087080"/>
    <x v="7"/>
    <x v="7"/>
    <s v="Item_19_CEA"/>
    <n v="32"/>
    <n v="7"/>
    <x v="160"/>
    <x v="0"/>
    <x v="1"/>
    <d v="2022-04-23T00:00:00"/>
    <s v="Null"/>
  </r>
  <r>
    <s v="TXN_1285469"/>
    <x v="18"/>
    <x v="6"/>
    <s v="Null"/>
    <s v="Null"/>
    <n v="7"/>
    <x v="82"/>
    <x v="0"/>
    <x v="0"/>
    <d v="2022-06-17T00:00:00"/>
    <b v="0"/>
  </r>
  <r>
    <s v="TXN_2221021"/>
    <x v="20"/>
    <x v="3"/>
    <s v="Item_22_BEV"/>
    <n v="36.5"/>
    <n v="5"/>
    <x v="26"/>
    <x v="0"/>
    <x v="1"/>
    <d v="2022-01-09T00:00:00"/>
    <s v="Null"/>
  </r>
  <r>
    <s v="TXN_7308742"/>
    <x v="9"/>
    <x v="5"/>
    <s v="Item_8_FUR"/>
    <n v="15.5"/>
    <n v="2"/>
    <x v="148"/>
    <x v="1"/>
    <x v="1"/>
    <d v="2023-07-19T00:00:00"/>
    <b v="0"/>
  </r>
  <r>
    <s v="TXN_4979615"/>
    <x v="21"/>
    <x v="4"/>
    <s v="Item_12_FOOD"/>
    <n v="21.5"/>
    <n v="10"/>
    <x v="44"/>
    <x v="2"/>
    <x v="1"/>
    <d v="2024-05-10T00:00:00"/>
    <b v="0"/>
  </r>
  <r>
    <s v="TXN_2947270"/>
    <x v="19"/>
    <x v="5"/>
    <s v="Item_5_FUR"/>
    <n v="11"/>
    <n v="3"/>
    <x v="81"/>
    <x v="0"/>
    <x v="1"/>
    <d v="2022-12-12T00:00:00"/>
    <s v="Null"/>
  </r>
  <r>
    <s v="TXN_5115102"/>
    <x v="9"/>
    <x v="7"/>
    <s v="Item_23_CEA"/>
    <n v="38"/>
    <n v="4"/>
    <x v="194"/>
    <x v="1"/>
    <x v="0"/>
    <d v="2025-01-12T00:00:00"/>
    <b v="1"/>
  </r>
  <r>
    <s v="TXN_7169040"/>
    <x v="6"/>
    <x v="5"/>
    <s v="Item_1_FUR"/>
    <n v="5"/>
    <n v="10"/>
    <x v="97"/>
    <x v="0"/>
    <x v="1"/>
    <d v="2022-04-07T00:00:00"/>
    <s v="Null"/>
  </r>
  <r>
    <s v="TXN_4408493"/>
    <x v="18"/>
    <x v="2"/>
    <s v="Item_13_BUT"/>
    <n v="23"/>
    <n v="10"/>
    <x v="195"/>
    <x v="0"/>
    <x v="1"/>
    <d v="2023-01-10T00:00:00"/>
    <b v="1"/>
  </r>
  <r>
    <s v="TXN_9951872"/>
    <x v="22"/>
    <x v="6"/>
    <s v="Item_24_EHE"/>
    <n v="39.5"/>
    <n v="7"/>
    <x v="35"/>
    <x v="2"/>
    <x v="0"/>
    <d v="2024-11-10T00:00:00"/>
    <s v="Null"/>
  </r>
  <r>
    <s v="TXN_2263002"/>
    <x v="0"/>
    <x v="0"/>
    <s v="Item_16_PAT"/>
    <n v="27.5"/>
    <n v="9"/>
    <x v="3"/>
    <x v="0"/>
    <x v="0"/>
    <d v="2022-06-10T00:00:00"/>
    <b v="0"/>
  </r>
  <r>
    <s v="TXN_5671217"/>
    <x v="11"/>
    <x v="7"/>
    <s v="Item_12_CEA"/>
    <n v="21.5"/>
    <n v="9"/>
    <x v="71"/>
    <x v="0"/>
    <x v="0"/>
    <d v="2023-01-06T00:00:00"/>
    <b v="1"/>
  </r>
  <r>
    <s v="TXN_6586324"/>
    <x v="10"/>
    <x v="2"/>
    <s v="Null"/>
    <s v="Null"/>
    <n v="6"/>
    <x v="76"/>
    <x v="0"/>
    <x v="1"/>
    <d v="2024-05-08T00:00:00"/>
    <s v="Null"/>
  </r>
  <r>
    <s v="TXN_9763067"/>
    <x v="16"/>
    <x v="5"/>
    <s v="Item_16_FUR"/>
    <n v="27.5"/>
    <n v="10"/>
    <x v="16"/>
    <x v="2"/>
    <x v="1"/>
    <d v="2024-08-04T00:00:00"/>
    <b v="0"/>
  </r>
  <r>
    <s v="TXN_3490623"/>
    <x v="0"/>
    <x v="0"/>
    <s v="Item_8_PAT"/>
    <n v="15.5"/>
    <n v="2"/>
    <x v="148"/>
    <x v="1"/>
    <x v="0"/>
    <d v="2022-03-02T00:00:00"/>
    <s v="Null"/>
  </r>
  <r>
    <s v="TXN_6440999"/>
    <x v="14"/>
    <x v="1"/>
    <s v="Item_8_MILK"/>
    <n v="15.5"/>
    <n v="2"/>
    <x v="148"/>
    <x v="0"/>
    <x v="0"/>
    <d v="2022-06-28T00:00:00"/>
    <s v="Null"/>
  </r>
  <r>
    <s v="TXN_4189415"/>
    <x v="24"/>
    <x v="4"/>
    <s v="Item_2_FOOD"/>
    <n v="6.5"/>
    <n v="4"/>
    <x v="107"/>
    <x v="1"/>
    <x v="1"/>
    <d v="2024-03-08T00:00:00"/>
    <s v="Null"/>
  </r>
  <r>
    <s v="TXN_8177929"/>
    <x v="19"/>
    <x v="5"/>
    <s v="Null"/>
    <s v="Null"/>
    <n v="2"/>
    <x v="31"/>
    <x v="1"/>
    <x v="0"/>
    <d v="2022-06-12T00:00:00"/>
    <b v="1"/>
  </r>
  <r>
    <s v="TXN_8955882"/>
    <x v="0"/>
    <x v="1"/>
    <s v="Item_13_MILK"/>
    <n v="23"/>
    <n v="10"/>
    <x v="195"/>
    <x v="0"/>
    <x v="0"/>
    <d v="2023-12-03T00:00:00"/>
    <s v="Null"/>
  </r>
  <r>
    <s v="TXN_1826446"/>
    <x v="6"/>
    <x v="2"/>
    <s v="Item_18_BUT"/>
    <n v="30.5"/>
    <n v="9"/>
    <x v="196"/>
    <x v="1"/>
    <x v="1"/>
    <d v="2022-06-13T00:00:00"/>
    <b v="0"/>
  </r>
  <r>
    <s v="TXN_5430099"/>
    <x v="17"/>
    <x v="0"/>
    <s v="Item_8_PAT"/>
    <n v="15.5"/>
    <n v="6"/>
    <x v="112"/>
    <x v="1"/>
    <x v="0"/>
    <d v="2023-08-10T00:00:00"/>
    <s v="Null"/>
  </r>
  <r>
    <s v="TXN_6053212"/>
    <x v="17"/>
    <x v="6"/>
    <s v="Item_2_EHE"/>
    <n v="6.5"/>
    <n v="10"/>
    <x v="140"/>
    <x v="1"/>
    <x v="1"/>
    <d v="2023-11-02T00:00:00"/>
    <s v="Null"/>
  </r>
  <r>
    <s v="TXN_2275327"/>
    <x v="17"/>
    <x v="0"/>
    <s v="Item_13_PAT"/>
    <n v="23"/>
    <n v="3"/>
    <x v="124"/>
    <x v="2"/>
    <x v="1"/>
    <d v="2022-08-13T00:00:00"/>
    <b v="0"/>
  </r>
  <r>
    <s v="TXN_3543865"/>
    <x v="0"/>
    <x v="7"/>
    <s v="Item_12_CEA"/>
    <n v="21.5"/>
    <n v="1"/>
    <x v="147"/>
    <x v="2"/>
    <x v="1"/>
    <d v="2023-11-20T00:00:00"/>
    <s v="Null"/>
  </r>
  <r>
    <s v="TXN_3876653"/>
    <x v="7"/>
    <x v="7"/>
    <s v="Item_7_CEA"/>
    <n v="14"/>
    <n v="7"/>
    <x v="108"/>
    <x v="2"/>
    <x v="1"/>
    <d v="2024-07-06T00:00:00"/>
    <b v="0"/>
  </r>
  <r>
    <s v="TXN_8090678"/>
    <x v="17"/>
    <x v="6"/>
    <s v="Item_8_EHE"/>
    <n v="15.5"/>
    <n v="5"/>
    <x v="142"/>
    <x v="0"/>
    <x v="0"/>
    <d v="2024-05-01T00:00:00"/>
    <b v="0"/>
  </r>
  <r>
    <s v="TXN_1865764"/>
    <x v="17"/>
    <x v="7"/>
    <s v="Item_21_CEA"/>
    <n v="35"/>
    <n v="8"/>
    <x v="84"/>
    <x v="1"/>
    <x v="0"/>
    <d v="2024-12-10T00:00:00"/>
    <s v="Null"/>
  </r>
  <r>
    <s v="TXN_7555309"/>
    <x v="19"/>
    <x v="3"/>
    <s v="Null"/>
    <s v="Null"/>
    <n v="5"/>
    <x v="38"/>
    <x v="1"/>
    <x v="0"/>
    <d v="2022-07-15T00:00:00"/>
    <b v="1"/>
  </r>
  <r>
    <s v="TXN_7232230"/>
    <x v="11"/>
    <x v="7"/>
    <s v="Item_5_CEA"/>
    <n v="11"/>
    <n v="5"/>
    <x v="14"/>
    <x v="1"/>
    <x v="0"/>
    <d v="2023-06-14T00:00:00"/>
    <b v="0"/>
  </r>
  <r>
    <s v="TXN_4354993"/>
    <x v="10"/>
    <x v="1"/>
    <s v="Item_21_MILK"/>
    <n v="35"/>
    <n v="7"/>
    <x v="25"/>
    <x v="2"/>
    <x v="1"/>
    <d v="2023-10-09T00:00:00"/>
    <s v="Null"/>
  </r>
  <r>
    <s v="TXN_1099045"/>
    <x v="6"/>
    <x v="0"/>
    <s v="Item_10_PAT"/>
    <n v="18.5"/>
    <n v="6"/>
    <x v="102"/>
    <x v="0"/>
    <x v="0"/>
    <d v="2022-09-12T00:00:00"/>
    <s v="Null"/>
  </r>
  <r>
    <s v="TXN_4797019"/>
    <x v="21"/>
    <x v="1"/>
    <s v="Item_13_MILK"/>
    <n v="23"/>
    <n v="6"/>
    <x v="118"/>
    <x v="2"/>
    <x v="0"/>
    <d v="2023-06-30T00:00:00"/>
    <b v="0"/>
  </r>
  <r>
    <s v="TXN_6375385"/>
    <x v="23"/>
    <x v="5"/>
    <s v="Item_11_FUR"/>
    <n v="20"/>
    <n v="8"/>
    <x v="64"/>
    <x v="0"/>
    <x v="0"/>
    <d v="2023-06-07T00:00:00"/>
    <b v="0"/>
  </r>
  <r>
    <s v="TXN_1243810"/>
    <x v="10"/>
    <x v="5"/>
    <s v="Item_11_FUR"/>
    <n v="20"/>
    <n v="8"/>
    <x v="64"/>
    <x v="2"/>
    <x v="0"/>
    <d v="2023-12-28T00:00:00"/>
    <b v="1"/>
  </r>
  <r>
    <s v="TXN_9398224"/>
    <x v="16"/>
    <x v="6"/>
    <s v="Item_8_EHE"/>
    <n v="15.5"/>
    <n v="5"/>
    <x v="142"/>
    <x v="0"/>
    <x v="1"/>
    <d v="2024-02-16T00:00:00"/>
    <b v="1"/>
  </r>
  <r>
    <s v="TXN_9044784"/>
    <x v="6"/>
    <x v="6"/>
    <s v="Item_25_EHE"/>
    <n v="41"/>
    <n v="5"/>
    <x v="132"/>
    <x v="0"/>
    <x v="0"/>
    <d v="2024-03-22T00:00:00"/>
    <b v="1"/>
  </r>
  <r>
    <s v="TXN_5720404"/>
    <x v="1"/>
    <x v="3"/>
    <s v="Item_22_BEV"/>
    <n v="36.5"/>
    <n v="7"/>
    <x v="34"/>
    <x v="2"/>
    <x v="1"/>
    <d v="2022-03-22T00:00:00"/>
    <b v="1"/>
  </r>
  <r>
    <s v="TXN_2533200"/>
    <x v="4"/>
    <x v="0"/>
    <s v="Item_1_PAT"/>
    <n v="5"/>
    <n v="8"/>
    <x v="6"/>
    <x v="1"/>
    <x v="0"/>
    <d v="2022-10-28T00:00:00"/>
    <b v="0"/>
  </r>
  <r>
    <s v="TXN_4464985"/>
    <x v="9"/>
    <x v="2"/>
    <s v="Item_13_BUT"/>
    <n v="23"/>
    <n v="8"/>
    <x v="197"/>
    <x v="0"/>
    <x v="0"/>
    <d v="2022-12-02T00:00:00"/>
    <s v="Null"/>
  </r>
  <r>
    <s v="TXN_6117973"/>
    <x v="13"/>
    <x v="6"/>
    <s v="Item_15_EHE"/>
    <n v="26"/>
    <n v="7"/>
    <x v="167"/>
    <x v="2"/>
    <x v="0"/>
    <d v="2022-05-15T00:00:00"/>
    <s v="Null"/>
  </r>
  <r>
    <s v="TXN_9340286"/>
    <x v="21"/>
    <x v="1"/>
    <s v="Item_6_MILK"/>
    <n v="12.5"/>
    <n v="2"/>
    <x v="96"/>
    <x v="2"/>
    <x v="1"/>
    <d v="2024-08-13T00:00:00"/>
    <b v="0"/>
  </r>
  <r>
    <s v="TXN_3242349"/>
    <x v="24"/>
    <x v="5"/>
    <s v="Item_14_FUR"/>
    <n v="24.5"/>
    <n v="7"/>
    <x v="198"/>
    <x v="2"/>
    <x v="0"/>
    <d v="2022-12-26T00:00:00"/>
    <b v="1"/>
  </r>
  <r>
    <s v="TXN_9299802"/>
    <x v="24"/>
    <x v="0"/>
    <s v="Item_17_PAT"/>
    <n v="29"/>
    <n v="1"/>
    <x v="153"/>
    <x v="2"/>
    <x v="0"/>
    <d v="2023-03-25T00:00:00"/>
    <b v="0"/>
  </r>
  <r>
    <s v="TXN_5371741"/>
    <x v="19"/>
    <x v="6"/>
    <s v="Item_17_EHE"/>
    <n v="29"/>
    <n v="4"/>
    <x v="126"/>
    <x v="0"/>
    <x v="1"/>
    <d v="2022-08-21T00:00:00"/>
    <b v="1"/>
  </r>
  <r>
    <s v="TXN_7101302"/>
    <x v="22"/>
    <x v="3"/>
    <s v="Null"/>
    <s v="Null"/>
    <n v="1"/>
    <x v="100"/>
    <x v="2"/>
    <x v="1"/>
    <d v="2024-10-24T00:00:00"/>
    <b v="1"/>
  </r>
  <r>
    <s v="TXN_7903686"/>
    <x v="13"/>
    <x v="3"/>
    <s v="Item_17_BEV"/>
    <n v="29"/>
    <n v="1"/>
    <x v="153"/>
    <x v="0"/>
    <x v="0"/>
    <d v="2022-03-13T00:00:00"/>
    <b v="1"/>
  </r>
  <r>
    <s v="TXN_3761426"/>
    <x v="20"/>
    <x v="5"/>
    <s v="Item_11_FUR"/>
    <n v="20"/>
    <n v="1"/>
    <x v="199"/>
    <x v="1"/>
    <x v="1"/>
    <d v="2024-12-16T00:00:00"/>
    <s v="Null"/>
  </r>
  <r>
    <s v="TXN_5381188"/>
    <x v="11"/>
    <x v="5"/>
    <s v="Item_1_FUR"/>
    <n v="5"/>
    <n v="5"/>
    <x v="96"/>
    <x v="1"/>
    <x v="0"/>
    <d v="2022-12-15T00:00:00"/>
    <b v="1"/>
  </r>
  <r>
    <s v="TXN_9844205"/>
    <x v="4"/>
    <x v="5"/>
    <s v="Item_17_FUR"/>
    <n v="29"/>
    <n v="2"/>
    <x v="200"/>
    <x v="2"/>
    <x v="0"/>
    <d v="2023-01-12T00:00:00"/>
    <b v="0"/>
  </r>
  <r>
    <s v="TXN_9443022"/>
    <x v="19"/>
    <x v="1"/>
    <s v="Item_15_MILK"/>
    <n v="26"/>
    <n v="2"/>
    <x v="11"/>
    <x v="2"/>
    <x v="1"/>
    <d v="2024-03-27T00:00:00"/>
    <b v="1"/>
  </r>
  <r>
    <s v="TXN_2545845"/>
    <x v="0"/>
    <x v="7"/>
    <s v="Item_18_CEA"/>
    <n v="30.5"/>
    <n v="9"/>
    <x v="196"/>
    <x v="2"/>
    <x v="1"/>
    <d v="2024-08-28T00:00:00"/>
    <b v="1"/>
  </r>
  <r>
    <s v="TXN_9793935"/>
    <x v="16"/>
    <x v="1"/>
    <s v="Item_18_MILK"/>
    <n v="30.5"/>
    <n v="7"/>
    <x v="201"/>
    <x v="1"/>
    <x v="1"/>
    <d v="2023-10-04T00:00:00"/>
    <b v="1"/>
  </r>
  <r>
    <s v="TXN_1919020"/>
    <x v="18"/>
    <x v="2"/>
    <s v="Item_22_BUT"/>
    <n v="36.5"/>
    <n v="10"/>
    <x v="52"/>
    <x v="0"/>
    <x v="1"/>
    <d v="2022-03-18T00:00:00"/>
    <b v="1"/>
  </r>
  <r>
    <s v="TXN_9972181"/>
    <x v="1"/>
    <x v="6"/>
    <s v="Item_21_EHE"/>
    <n v="35"/>
    <n v="5"/>
    <x v="137"/>
    <x v="2"/>
    <x v="1"/>
    <d v="2024-12-28T00:00:00"/>
    <b v="0"/>
  </r>
  <r>
    <s v="TXN_4432365"/>
    <x v="12"/>
    <x v="2"/>
    <s v="Item_12_BUT"/>
    <n v="21.5"/>
    <n v="5"/>
    <x v="38"/>
    <x v="2"/>
    <x v="1"/>
    <d v="2022-03-17T00:00:00"/>
    <b v="1"/>
  </r>
  <r>
    <s v="TXN_7305258"/>
    <x v="9"/>
    <x v="0"/>
    <s v="Item_23_PAT"/>
    <n v="38"/>
    <n v="3"/>
    <x v="90"/>
    <x v="0"/>
    <x v="0"/>
    <d v="2022-04-25T00:00:00"/>
    <b v="0"/>
  </r>
  <r>
    <s v="TXN_8802743"/>
    <x v="7"/>
    <x v="1"/>
    <s v="Item_19_MILK"/>
    <n v="32"/>
    <n v="6"/>
    <x v="91"/>
    <x v="1"/>
    <x v="0"/>
    <d v="2023-09-17T00:00:00"/>
    <b v="1"/>
  </r>
  <r>
    <s v="TXN_5930319"/>
    <x v="22"/>
    <x v="6"/>
    <s v="Item_15_EHE"/>
    <n v="26"/>
    <n v="3"/>
    <x v="191"/>
    <x v="2"/>
    <x v="1"/>
    <d v="2022-08-29T00:00:00"/>
    <s v="Null"/>
  </r>
  <r>
    <s v="TXN_3141947"/>
    <x v="9"/>
    <x v="4"/>
    <s v="Item_17_FOOD"/>
    <n v="29"/>
    <n v="7"/>
    <x v="202"/>
    <x v="1"/>
    <x v="1"/>
    <d v="2022-08-10T00:00:00"/>
    <s v="Null"/>
  </r>
  <r>
    <s v="TXN_6126899"/>
    <x v="13"/>
    <x v="1"/>
    <s v="Item_13_MILK"/>
    <n v="23"/>
    <n v="7"/>
    <x v="106"/>
    <x v="1"/>
    <x v="1"/>
    <d v="2023-11-08T00:00:00"/>
    <s v="Null"/>
  </r>
  <r>
    <s v="TXN_4759687"/>
    <x v="23"/>
    <x v="1"/>
    <s v="Item_2_MILK"/>
    <n v="6.5"/>
    <n v="10"/>
    <x v="140"/>
    <x v="1"/>
    <x v="0"/>
    <d v="2023-06-20T00:00:00"/>
    <b v="1"/>
  </r>
  <r>
    <s v="TXN_7157580"/>
    <x v="9"/>
    <x v="4"/>
    <s v="Item_12_FOOD"/>
    <n v="21.5"/>
    <n v="9"/>
    <x v="71"/>
    <x v="0"/>
    <x v="0"/>
    <d v="2022-11-05T00:00:00"/>
    <b v="0"/>
  </r>
  <r>
    <s v="TXN_4249343"/>
    <x v="1"/>
    <x v="1"/>
    <s v="Item_17_MILK"/>
    <n v="29"/>
    <n v="2"/>
    <x v="200"/>
    <x v="0"/>
    <x v="1"/>
    <d v="2022-07-10T00:00:00"/>
    <b v="0"/>
  </r>
  <r>
    <s v="TXN_6137503"/>
    <x v="2"/>
    <x v="2"/>
    <s v="Item_23_BUT"/>
    <n v="38"/>
    <n v="7"/>
    <x v="152"/>
    <x v="1"/>
    <x v="1"/>
    <d v="2022-04-05T00:00:00"/>
    <b v="0"/>
  </r>
  <r>
    <s v="TXN_5300736"/>
    <x v="2"/>
    <x v="5"/>
    <s v="Item_24_FUR"/>
    <n v="39.5"/>
    <n v="7"/>
    <x v="35"/>
    <x v="2"/>
    <x v="1"/>
    <d v="2022-07-17T00:00:00"/>
    <b v="1"/>
  </r>
  <r>
    <s v="TXN_1370562"/>
    <x v="8"/>
    <x v="7"/>
    <s v="Item_11_CEA"/>
    <n v="20"/>
    <n v="7"/>
    <x v="74"/>
    <x v="1"/>
    <x v="0"/>
    <d v="2022-09-01T00:00:00"/>
    <b v="0"/>
  </r>
  <r>
    <s v="TXN_7327686"/>
    <x v="2"/>
    <x v="5"/>
    <s v="Item_11_FUR"/>
    <n v="20"/>
    <n v="2"/>
    <x v="6"/>
    <x v="2"/>
    <x v="0"/>
    <d v="2024-05-17T00:00:00"/>
    <b v="0"/>
  </r>
  <r>
    <s v="TXN_6017693"/>
    <x v="9"/>
    <x v="3"/>
    <s v="Item_11_BEV"/>
    <n v="20"/>
    <n v="1"/>
    <x v="199"/>
    <x v="0"/>
    <x v="0"/>
    <d v="2022-02-24T00:00:00"/>
    <b v="1"/>
  </r>
  <r>
    <s v="TXN_7165120"/>
    <x v="11"/>
    <x v="0"/>
    <s v="Item_22_PAT"/>
    <n v="36.5"/>
    <n v="2"/>
    <x v="122"/>
    <x v="2"/>
    <x v="1"/>
    <d v="2023-10-23T00:00:00"/>
    <b v="0"/>
  </r>
  <r>
    <s v="TXN_5034035"/>
    <x v="17"/>
    <x v="5"/>
    <s v="Null"/>
    <n v="9.5"/>
    <s v="Null"/>
    <x v="7"/>
    <x v="1"/>
    <x v="0"/>
    <d v="2024-08-25T00:00:00"/>
    <b v="0"/>
  </r>
  <r>
    <s v="TXN_9703848"/>
    <x v="10"/>
    <x v="4"/>
    <s v="Item_15_FOOD"/>
    <n v="26"/>
    <n v="4"/>
    <x v="203"/>
    <x v="2"/>
    <x v="0"/>
    <d v="2022-06-16T00:00:00"/>
    <b v="1"/>
  </r>
  <r>
    <s v="TXN_2702011"/>
    <x v="19"/>
    <x v="5"/>
    <s v="Item_12_FUR"/>
    <n v="21.5"/>
    <n v="5"/>
    <x v="38"/>
    <x v="2"/>
    <x v="0"/>
    <d v="2023-12-28T00:00:00"/>
    <b v="1"/>
  </r>
  <r>
    <s v="TXN_6364377"/>
    <x v="13"/>
    <x v="1"/>
    <s v="Item_17_MILK"/>
    <n v="29"/>
    <n v="2"/>
    <x v="200"/>
    <x v="1"/>
    <x v="1"/>
    <d v="2024-12-03T00:00:00"/>
    <b v="0"/>
  </r>
  <r>
    <s v="TXN_8231762"/>
    <x v="20"/>
    <x v="3"/>
    <s v="Item_20_BEV"/>
    <n v="33.5"/>
    <n v="6"/>
    <x v="204"/>
    <x v="1"/>
    <x v="0"/>
    <d v="2022-01-17T00:00:00"/>
    <b v="0"/>
  </r>
  <r>
    <s v="TXN_7101979"/>
    <x v="10"/>
    <x v="7"/>
    <s v="Item_20_CEA"/>
    <n v="33.5"/>
    <n v="7"/>
    <x v="205"/>
    <x v="1"/>
    <x v="1"/>
    <d v="2023-04-14T00:00:00"/>
    <b v="1"/>
  </r>
  <r>
    <s v="TXN_8788021"/>
    <x v="8"/>
    <x v="4"/>
    <s v="Item_17_FOOD"/>
    <n v="29"/>
    <n v="3"/>
    <x v="206"/>
    <x v="0"/>
    <x v="1"/>
    <d v="2024-11-26T00:00:00"/>
    <s v="Null"/>
  </r>
  <r>
    <s v="TXN_6917255"/>
    <x v="5"/>
    <x v="4"/>
    <s v="Item_8_FOOD"/>
    <n v="15.5"/>
    <n v="6"/>
    <x v="112"/>
    <x v="1"/>
    <x v="1"/>
    <d v="2024-07-31T00:00:00"/>
    <b v="1"/>
  </r>
  <r>
    <s v="TXN_3821185"/>
    <x v="7"/>
    <x v="7"/>
    <s v="Item_15_CEA"/>
    <n v="26"/>
    <n v="4"/>
    <x v="203"/>
    <x v="0"/>
    <x v="1"/>
    <d v="2024-09-11T00:00:00"/>
    <b v="1"/>
  </r>
  <r>
    <s v="TXN_5773991"/>
    <x v="12"/>
    <x v="4"/>
    <s v="Item_3_FOOD"/>
    <n v="8"/>
    <n v="7"/>
    <x v="207"/>
    <x v="2"/>
    <x v="0"/>
    <d v="2022-09-30T00:00:00"/>
    <b v="0"/>
  </r>
  <r>
    <s v="TXN_8508384"/>
    <x v="16"/>
    <x v="4"/>
    <s v="Item_4_FOOD"/>
    <n v="9.5"/>
    <n v="3"/>
    <x v="69"/>
    <x v="1"/>
    <x v="1"/>
    <d v="2022-01-29T00:00:00"/>
    <b v="1"/>
  </r>
  <r>
    <s v="TXN_5636224"/>
    <x v="7"/>
    <x v="7"/>
    <s v="Item_12_CEA"/>
    <n v="21.5"/>
    <n v="4"/>
    <x v="208"/>
    <x v="2"/>
    <x v="0"/>
    <d v="2024-10-04T00:00:00"/>
    <s v="Null"/>
  </r>
  <r>
    <s v="TXN_9191575"/>
    <x v="12"/>
    <x v="1"/>
    <s v="Item_4_MILK"/>
    <n v="9.5"/>
    <n v="7"/>
    <x v="20"/>
    <x v="0"/>
    <x v="1"/>
    <d v="2024-01-28T00:00:00"/>
    <s v="Null"/>
  </r>
  <r>
    <s v="TXN_8994966"/>
    <x v="9"/>
    <x v="2"/>
    <s v="Item_5_BUT"/>
    <n v="11"/>
    <n v="5"/>
    <x v="14"/>
    <x v="2"/>
    <x v="0"/>
    <d v="2024-12-25T00:00:00"/>
    <b v="1"/>
  </r>
  <r>
    <s v="TXN_6205992"/>
    <x v="20"/>
    <x v="3"/>
    <s v="Item_8_BEV"/>
    <n v="15.5"/>
    <n v="6"/>
    <x v="112"/>
    <x v="1"/>
    <x v="1"/>
    <d v="2023-07-08T00:00:00"/>
    <s v="Null"/>
  </r>
  <r>
    <s v="TXN_4108548"/>
    <x v="18"/>
    <x v="6"/>
    <s v="Item_6_EHE"/>
    <n v="12.5"/>
    <n v="2"/>
    <x v="96"/>
    <x v="2"/>
    <x v="0"/>
    <d v="2023-03-12T00:00:00"/>
    <b v="0"/>
  </r>
  <r>
    <s v="TXN_8781758"/>
    <x v="18"/>
    <x v="5"/>
    <s v="Item_5_FUR"/>
    <n v="11"/>
    <n v="5"/>
    <x v="14"/>
    <x v="1"/>
    <x v="1"/>
    <d v="2024-02-13T00:00:00"/>
    <b v="1"/>
  </r>
  <r>
    <s v="TXN_5396051"/>
    <x v="17"/>
    <x v="2"/>
    <s v="Item_20_BUT"/>
    <n v="33.5"/>
    <n v="2"/>
    <x v="60"/>
    <x v="2"/>
    <x v="1"/>
    <d v="2024-09-01T00:00:00"/>
    <b v="1"/>
  </r>
  <r>
    <s v="TXN_4766907"/>
    <x v="24"/>
    <x v="2"/>
    <s v="Item_8_BUT"/>
    <n v="15.5"/>
    <n v="9"/>
    <x v="89"/>
    <x v="0"/>
    <x v="0"/>
    <d v="2022-03-05T00:00:00"/>
    <b v="0"/>
  </r>
  <r>
    <s v="TXN_4191425"/>
    <x v="8"/>
    <x v="3"/>
    <s v="Item_18_BEV"/>
    <n v="30.5"/>
    <n v="1"/>
    <x v="209"/>
    <x v="0"/>
    <x v="1"/>
    <d v="2024-10-08T00:00:00"/>
    <b v="0"/>
  </r>
  <r>
    <s v="TXN_1721597"/>
    <x v="1"/>
    <x v="7"/>
    <s v="Item_11_CEA"/>
    <n v="20"/>
    <n v="1"/>
    <x v="199"/>
    <x v="1"/>
    <x v="0"/>
    <d v="2023-04-20T00:00:00"/>
    <b v="0"/>
  </r>
  <r>
    <s v="TXN_8418594"/>
    <x v="7"/>
    <x v="4"/>
    <s v="Item_4_FOOD"/>
    <n v="9.5"/>
    <n v="9"/>
    <x v="210"/>
    <x v="1"/>
    <x v="1"/>
    <d v="2024-12-10T00:00:00"/>
    <b v="1"/>
  </r>
  <r>
    <s v="TXN_9717999"/>
    <x v="24"/>
    <x v="5"/>
    <s v="Item_14_FUR"/>
    <n v="24.5"/>
    <n v="2"/>
    <x v="22"/>
    <x v="0"/>
    <x v="1"/>
    <d v="2022-04-29T00:00:00"/>
    <s v="Null"/>
  </r>
  <r>
    <s v="TXN_5430495"/>
    <x v="20"/>
    <x v="3"/>
    <s v="Item_20_BEV"/>
    <n v="33.5"/>
    <n v="5"/>
    <x v="92"/>
    <x v="0"/>
    <x v="0"/>
    <d v="2024-01-11T00:00:00"/>
    <b v="0"/>
  </r>
  <r>
    <s v="TXN_8715323"/>
    <x v="0"/>
    <x v="2"/>
    <s v="Item_20_BUT"/>
    <n v="33.5"/>
    <n v="2"/>
    <x v="60"/>
    <x v="1"/>
    <x v="1"/>
    <d v="2023-03-12T00:00:00"/>
    <b v="0"/>
  </r>
  <r>
    <s v="TXN_9730853"/>
    <x v="21"/>
    <x v="3"/>
    <s v="Item_11_BEV"/>
    <n v="20"/>
    <n v="3"/>
    <x v="120"/>
    <x v="1"/>
    <x v="0"/>
    <d v="2022-11-16T00:00:00"/>
    <b v="1"/>
  </r>
  <r>
    <s v="TXN_4924226"/>
    <x v="4"/>
    <x v="3"/>
    <s v="Item_8_BEV"/>
    <n v="15.5"/>
    <n v="4"/>
    <x v="85"/>
    <x v="2"/>
    <x v="1"/>
    <d v="2023-03-06T00:00:00"/>
    <b v="0"/>
  </r>
  <r>
    <s v="TXN_2086962"/>
    <x v="15"/>
    <x v="4"/>
    <s v="Item_6_FOOD"/>
    <n v="12.5"/>
    <n v="5"/>
    <x v="105"/>
    <x v="1"/>
    <x v="1"/>
    <d v="2022-04-06T00:00:00"/>
    <b v="0"/>
  </r>
  <r>
    <s v="TXN_7037115"/>
    <x v="5"/>
    <x v="5"/>
    <s v="Item_5_FUR"/>
    <n v="11"/>
    <n v="5"/>
    <x v="14"/>
    <x v="1"/>
    <x v="1"/>
    <d v="2024-02-23T00:00:00"/>
    <s v="Null"/>
  </r>
  <r>
    <s v="TXN_1534987"/>
    <x v="14"/>
    <x v="4"/>
    <s v="Item_6_FOOD"/>
    <n v="12.5"/>
    <n v="3"/>
    <x v="139"/>
    <x v="2"/>
    <x v="0"/>
    <d v="2022-07-03T00:00:00"/>
    <s v="Null"/>
  </r>
  <r>
    <s v="TXN_3302248"/>
    <x v="18"/>
    <x v="6"/>
    <s v="Item_10_EHE"/>
    <n v="18.5"/>
    <n v="3"/>
    <x v="127"/>
    <x v="1"/>
    <x v="0"/>
    <d v="2024-01-04T00:00:00"/>
    <b v="0"/>
  </r>
  <r>
    <s v="TXN_7830284"/>
    <x v="21"/>
    <x v="6"/>
    <s v="Item_21_EHE"/>
    <n v="35"/>
    <n v="5"/>
    <x v="137"/>
    <x v="1"/>
    <x v="0"/>
    <d v="2022-08-10T00:00:00"/>
    <b v="1"/>
  </r>
  <r>
    <s v="TXN_8466219"/>
    <x v="8"/>
    <x v="2"/>
    <s v="Item_16_BUT"/>
    <n v="27.5"/>
    <n v="4"/>
    <x v="134"/>
    <x v="0"/>
    <x v="1"/>
    <d v="2022-05-15T00:00:00"/>
    <b v="0"/>
  </r>
  <r>
    <s v="TXN_9923470"/>
    <x v="6"/>
    <x v="0"/>
    <s v="Null"/>
    <n v="5"/>
    <s v="Null"/>
    <x v="7"/>
    <x v="0"/>
    <x v="1"/>
    <d v="2023-03-08T00:00:00"/>
    <b v="1"/>
  </r>
  <r>
    <s v="TXN_6321123"/>
    <x v="11"/>
    <x v="5"/>
    <s v="Item_6_FUR"/>
    <n v="12.5"/>
    <n v="9"/>
    <x v="175"/>
    <x v="1"/>
    <x v="1"/>
    <d v="2024-05-25T00:00:00"/>
    <b v="0"/>
  </r>
  <r>
    <s v="TXN_4825724"/>
    <x v="12"/>
    <x v="5"/>
    <s v="Item_24_FUR"/>
    <n v="39.5"/>
    <n v="1"/>
    <x v="164"/>
    <x v="0"/>
    <x v="1"/>
    <d v="2024-12-22T00:00:00"/>
    <b v="0"/>
  </r>
  <r>
    <s v="TXN_9634891"/>
    <x v="8"/>
    <x v="7"/>
    <s v="Item_17_CEA"/>
    <n v="29"/>
    <n v="6"/>
    <x v="211"/>
    <x v="1"/>
    <x v="0"/>
    <d v="2022-01-14T00:00:00"/>
    <b v="1"/>
  </r>
  <r>
    <s v="TXN_8935391"/>
    <x v="22"/>
    <x v="1"/>
    <s v="Null"/>
    <s v="Null"/>
    <n v="1"/>
    <x v="8"/>
    <x v="1"/>
    <x v="0"/>
    <d v="2022-09-06T00:00:00"/>
    <b v="1"/>
  </r>
  <r>
    <s v="TXN_5910508"/>
    <x v="17"/>
    <x v="0"/>
    <s v="Item_8_PAT"/>
    <n v="15.5"/>
    <n v="10"/>
    <x v="79"/>
    <x v="0"/>
    <x v="1"/>
    <d v="2022-11-15T00:00:00"/>
    <s v="Null"/>
  </r>
  <r>
    <s v="TXN_6889696"/>
    <x v="13"/>
    <x v="6"/>
    <s v="Item_8_EHE"/>
    <n v="15.5"/>
    <n v="3"/>
    <x v="36"/>
    <x v="2"/>
    <x v="0"/>
    <d v="2023-06-20T00:00:00"/>
    <b v="0"/>
  </r>
  <r>
    <s v="TXN_7543333"/>
    <x v="23"/>
    <x v="7"/>
    <s v="Item_16_CEA"/>
    <n v="27.5"/>
    <n v="5"/>
    <x v="185"/>
    <x v="0"/>
    <x v="1"/>
    <d v="2022-03-28T00:00:00"/>
    <b v="1"/>
  </r>
  <r>
    <s v="TXN_4396240"/>
    <x v="7"/>
    <x v="6"/>
    <s v="Item_23_EHE"/>
    <n v="38"/>
    <n v="9"/>
    <x v="179"/>
    <x v="2"/>
    <x v="0"/>
    <d v="2024-04-28T00:00:00"/>
    <b v="1"/>
  </r>
  <r>
    <s v="TXN_3375368"/>
    <x v="19"/>
    <x v="1"/>
    <s v="Item_11_MILK"/>
    <n v="20"/>
    <n v="1"/>
    <x v="199"/>
    <x v="0"/>
    <x v="1"/>
    <d v="2022-04-08T00:00:00"/>
    <b v="0"/>
  </r>
  <r>
    <s v="TXN_8827064"/>
    <x v="2"/>
    <x v="4"/>
    <s v="Item_5_FOOD"/>
    <n v="11"/>
    <n v="2"/>
    <x v="212"/>
    <x v="1"/>
    <x v="0"/>
    <d v="2022-11-10T00:00:00"/>
    <s v="Null"/>
  </r>
  <r>
    <s v="TXN_2975097"/>
    <x v="2"/>
    <x v="2"/>
    <s v="Item_22_BUT"/>
    <n v="36.5"/>
    <n v="7"/>
    <x v="34"/>
    <x v="2"/>
    <x v="1"/>
    <d v="2023-03-12T00:00:00"/>
    <b v="1"/>
  </r>
  <r>
    <s v="TXN_9586952"/>
    <x v="20"/>
    <x v="7"/>
    <s v="Item_7_CEA"/>
    <n v="14"/>
    <n v="3"/>
    <x v="46"/>
    <x v="0"/>
    <x v="0"/>
    <d v="2023-06-19T00:00:00"/>
    <b v="1"/>
  </r>
  <r>
    <s v="TXN_3575121"/>
    <x v="11"/>
    <x v="4"/>
    <s v="Item_12_FOOD"/>
    <n v="21.5"/>
    <n v="8"/>
    <x v="54"/>
    <x v="2"/>
    <x v="0"/>
    <d v="2022-09-06T00:00:00"/>
    <b v="1"/>
  </r>
  <r>
    <s v="TXN_3686072"/>
    <x v="24"/>
    <x v="2"/>
    <s v="Item_21_BUT"/>
    <n v="35"/>
    <n v="5"/>
    <x v="137"/>
    <x v="1"/>
    <x v="1"/>
    <d v="2023-02-23T00:00:00"/>
    <b v="0"/>
  </r>
  <r>
    <s v="TXN_1745446"/>
    <x v="2"/>
    <x v="7"/>
    <s v="Item_17_CEA"/>
    <n v="29"/>
    <n v="1"/>
    <x v="153"/>
    <x v="2"/>
    <x v="0"/>
    <d v="2022-12-11T00:00:00"/>
    <b v="0"/>
  </r>
  <r>
    <s v="TXN_1909877"/>
    <x v="15"/>
    <x v="1"/>
    <s v="Item_19_MILK"/>
    <n v="32"/>
    <n v="10"/>
    <x v="58"/>
    <x v="2"/>
    <x v="0"/>
    <d v="2024-06-08T00:00:00"/>
    <b v="1"/>
  </r>
  <r>
    <s v="TXN_9007323"/>
    <x v="19"/>
    <x v="5"/>
    <s v="Item_8_FUR"/>
    <n v="15.5"/>
    <n v="9"/>
    <x v="89"/>
    <x v="2"/>
    <x v="1"/>
    <d v="2022-05-08T00:00:00"/>
    <s v="Null"/>
  </r>
  <r>
    <s v="TXN_8629942"/>
    <x v="18"/>
    <x v="3"/>
    <s v="Item_24_BEV"/>
    <n v="39.5"/>
    <n v="4"/>
    <x v="95"/>
    <x v="2"/>
    <x v="1"/>
    <d v="2024-12-08T00:00:00"/>
    <b v="1"/>
  </r>
  <r>
    <s v="TXN_6357302"/>
    <x v="18"/>
    <x v="3"/>
    <s v="Item_15_BEV"/>
    <n v="26"/>
    <n v="1"/>
    <x v="107"/>
    <x v="1"/>
    <x v="1"/>
    <d v="2022-09-09T00:00:00"/>
    <b v="0"/>
  </r>
  <r>
    <s v="TXN_8755760"/>
    <x v="13"/>
    <x v="1"/>
    <s v="Item_13_MILK"/>
    <n v="23"/>
    <n v="9"/>
    <x v="159"/>
    <x v="0"/>
    <x v="1"/>
    <d v="2024-10-22T00:00:00"/>
    <b v="1"/>
  </r>
  <r>
    <s v="TXN_5750056"/>
    <x v="23"/>
    <x v="5"/>
    <s v="Item_21_FUR"/>
    <n v="35"/>
    <n v="2"/>
    <x v="63"/>
    <x v="0"/>
    <x v="1"/>
    <d v="2023-09-20T00:00:00"/>
    <b v="1"/>
  </r>
  <r>
    <s v="TXN_7435444"/>
    <x v="16"/>
    <x v="7"/>
    <s v="Item_11_CEA"/>
    <n v="20"/>
    <n v="6"/>
    <x v="75"/>
    <x v="1"/>
    <x v="0"/>
    <d v="2022-07-27T00:00:00"/>
    <b v="1"/>
  </r>
  <r>
    <s v="TXN_3812949"/>
    <x v="11"/>
    <x v="3"/>
    <s v="Item_17_BEV"/>
    <n v="29"/>
    <n v="1"/>
    <x v="153"/>
    <x v="2"/>
    <x v="1"/>
    <d v="2023-07-07T00:00:00"/>
    <b v="1"/>
  </r>
  <r>
    <s v="TXN_3743264"/>
    <x v="18"/>
    <x v="1"/>
    <s v="Item_20_MILK"/>
    <n v="33.5"/>
    <n v="2"/>
    <x v="60"/>
    <x v="0"/>
    <x v="1"/>
    <d v="2022-12-27T00:00:00"/>
    <b v="0"/>
  </r>
  <r>
    <s v="TXN_5114872"/>
    <x v="13"/>
    <x v="7"/>
    <s v="Item_2_CEA"/>
    <n v="6.5"/>
    <n v="1"/>
    <x v="128"/>
    <x v="2"/>
    <x v="1"/>
    <d v="2024-01-27T00:00:00"/>
    <s v="Null"/>
  </r>
  <r>
    <s v="TXN_2199268"/>
    <x v="10"/>
    <x v="0"/>
    <s v="Item_9_PAT"/>
    <n v="17"/>
    <n v="2"/>
    <x v="213"/>
    <x v="2"/>
    <x v="1"/>
    <d v="2024-10-06T00:00:00"/>
    <b v="1"/>
  </r>
  <r>
    <s v="TXN_7472110"/>
    <x v="18"/>
    <x v="0"/>
    <s v="Item_8_PAT"/>
    <n v="15.5"/>
    <n v="3"/>
    <x v="36"/>
    <x v="1"/>
    <x v="0"/>
    <d v="2022-08-02T00:00:00"/>
    <b v="1"/>
  </r>
  <r>
    <s v="TXN_8360887"/>
    <x v="19"/>
    <x v="1"/>
    <s v="Item_22_MILK"/>
    <n v="36.5"/>
    <n v="10"/>
    <x v="52"/>
    <x v="2"/>
    <x v="0"/>
    <d v="2024-12-06T00:00:00"/>
    <b v="0"/>
  </r>
  <r>
    <s v="TXN_5926927"/>
    <x v="23"/>
    <x v="0"/>
    <s v="Item_11_PAT"/>
    <n v="20"/>
    <n v="1"/>
    <x v="199"/>
    <x v="1"/>
    <x v="0"/>
    <d v="2025-01-03T00:00:00"/>
    <b v="0"/>
  </r>
  <r>
    <s v="TXN_1931979"/>
    <x v="8"/>
    <x v="3"/>
    <s v="Item_15_BEV"/>
    <n v="26"/>
    <n v="6"/>
    <x v="214"/>
    <x v="2"/>
    <x v="1"/>
    <d v="2024-10-21T00:00:00"/>
    <s v="Null"/>
  </r>
  <r>
    <s v="TXN_2845414"/>
    <x v="23"/>
    <x v="5"/>
    <s v="Item_21_FUR"/>
    <n v="35"/>
    <n v="10"/>
    <x v="215"/>
    <x v="0"/>
    <x v="0"/>
    <d v="2023-06-19T00:00:00"/>
    <b v="0"/>
  </r>
  <r>
    <s v="TXN_2231888"/>
    <x v="23"/>
    <x v="0"/>
    <s v="Item_23_PAT"/>
    <n v="38"/>
    <n v="6"/>
    <x v="110"/>
    <x v="2"/>
    <x v="1"/>
    <d v="2024-10-07T00:00:00"/>
    <b v="0"/>
  </r>
  <r>
    <s v="TXN_3603496"/>
    <x v="24"/>
    <x v="7"/>
    <s v="Item_22_CEA"/>
    <n v="36.5"/>
    <n v="8"/>
    <x v="177"/>
    <x v="1"/>
    <x v="0"/>
    <d v="2023-11-08T00:00:00"/>
    <b v="0"/>
  </r>
  <r>
    <s v="TXN_7423131"/>
    <x v="17"/>
    <x v="0"/>
    <s v="Item_12_PAT"/>
    <n v="21.5"/>
    <n v="3"/>
    <x v="157"/>
    <x v="0"/>
    <x v="0"/>
    <d v="2023-09-08T00:00:00"/>
    <b v="1"/>
  </r>
  <r>
    <s v="TXN_1176248"/>
    <x v="22"/>
    <x v="3"/>
    <s v="Item_4_BEV"/>
    <n v="9.5"/>
    <n v="6"/>
    <x v="171"/>
    <x v="1"/>
    <x v="1"/>
    <d v="2022-12-06T00:00:00"/>
    <b v="1"/>
  </r>
  <r>
    <s v="TXN_6490027"/>
    <x v="21"/>
    <x v="3"/>
    <s v="Item_21_BEV"/>
    <n v="35"/>
    <n v="9"/>
    <x v="29"/>
    <x v="1"/>
    <x v="0"/>
    <d v="2024-08-20T00:00:00"/>
    <b v="0"/>
  </r>
  <r>
    <s v="TXN_6267373"/>
    <x v="21"/>
    <x v="4"/>
    <s v="Item_17_FOOD"/>
    <n v="29"/>
    <n v="6"/>
    <x v="211"/>
    <x v="0"/>
    <x v="0"/>
    <d v="2022-05-29T00:00:00"/>
    <s v="Null"/>
  </r>
  <r>
    <s v="TXN_2633712"/>
    <x v="14"/>
    <x v="5"/>
    <s v="Item_15_FUR"/>
    <n v="26"/>
    <n v="6"/>
    <x v="214"/>
    <x v="2"/>
    <x v="1"/>
    <d v="2023-01-14T00:00:00"/>
    <b v="0"/>
  </r>
  <r>
    <s v="TXN_2028333"/>
    <x v="16"/>
    <x v="1"/>
    <s v="Null"/>
    <s v="Null"/>
    <n v="4"/>
    <x v="134"/>
    <x v="0"/>
    <x v="1"/>
    <d v="2024-07-28T00:00:00"/>
    <b v="1"/>
  </r>
  <r>
    <s v="TXN_4452566"/>
    <x v="10"/>
    <x v="3"/>
    <s v="Item_4_BEV"/>
    <n v="9.5"/>
    <n v="8"/>
    <x v="31"/>
    <x v="0"/>
    <x v="1"/>
    <d v="2022-01-07T00:00:00"/>
    <b v="0"/>
  </r>
  <r>
    <s v="TXN_5476798"/>
    <x v="2"/>
    <x v="2"/>
    <s v="Null"/>
    <s v="Null"/>
    <n v="10"/>
    <x v="87"/>
    <x v="0"/>
    <x v="0"/>
    <d v="2022-10-07T00:00:00"/>
    <b v="0"/>
  </r>
  <r>
    <s v="TXN_5544428"/>
    <x v="16"/>
    <x v="7"/>
    <s v="Item_13_CEA"/>
    <n v="23"/>
    <n v="8"/>
    <x v="197"/>
    <x v="1"/>
    <x v="0"/>
    <d v="2023-07-25T00:00:00"/>
    <s v="Null"/>
  </r>
  <r>
    <s v="TXN_3245999"/>
    <x v="17"/>
    <x v="5"/>
    <s v="Item_21_FUR"/>
    <n v="35"/>
    <n v="10"/>
    <x v="215"/>
    <x v="1"/>
    <x v="0"/>
    <d v="2024-08-08T00:00:00"/>
    <b v="1"/>
  </r>
  <r>
    <s v="TXN_7101386"/>
    <x v="22"/>
    <x v="7"/>
    <s v="Item_20_CEA"/>
    <n v="33.5"/>
    <n v="5"/>
    <x v="92"/>
    <x v="2"/>
    <x v="1"/>
    <d v="2022-11-05T00:00:00"/>
    <b v="1"/>
  </r>
  <r>
    <s v="TXN_9141699"/>
    <x v="3"/>
    <x v="4"/>
    <s v="Item_22_FOOD"/>
    <n v="36.5"/>
    <n v="2"/>
    <x v="122"/>
    <x v="2"/>
    <x v="0"/>
    <d v="2023-05-04T00:00:00"/>
    <b v="0"/>
  </r>
  <r>
    <s v="TXN_1459286"/>
    <x v="24"/>
    <x v="5"/>
    <s v="Item_20_FUR"/>
    <n v="33.5"/>
    <n v="1"/>
    <x v="100"/>
    <x v="2"/>
    <x v="0"/>
    <d v="2024-11-18T00:00:00"/>
    <s v="Null"/>
  </r>
  <r>
    <s v="TXN_1714958"/>
    <x v="13"/>
    <x v="3"/>
    <s v="Item_17_BEV"/>
    <n v="29"/>
    <n v="5"/>
    <x v="188"/>
    <x v="2"/>
    <x v="0"/>
    <d v="2023-05-17T00:00:00"/>
    <s v="Null"/>
  </r>
  <r>
    <s v="TXN_4250184"/>
    <x v="4"/>
    <x v="5"/>
    <s v="Item_12_FUR"/>
    <n v="21.5"/>
    <n v="10"/>
    <x v="44"/>
    <x v="1"/>
    <x v="0"/>
    <d v="2023-08-27T00:00:00"/>
    <s v="Null"/>
  </r>
  <r>
    <s v="TXN_5288250"/>
    <x v="20"/>
    <x v="5"/>
    <s v="Item_5_FUR"/>
    <n v="11"/>
    <n v="4"/>
    <x v="168"/>
    <x v="1"/>
    <x v="1"/>
    <d v="2022-12-01T00:00:00"/>
    <s v="Null"/>
  </r>
  <r>
    <s v="TXN_8376834"/>
    <x v="22"/>
    <x v="7"/>
    <s v="Item_6_CEA"/>
    <n v="12.5"/>
    <n v="6"/>
    <x v="216"/>
    <x v="0"/>
    <x v="0"/>
    <d v="2023-02-03T00:00:00"/>
    <b v="0"/>
  </r>
  <r>
    <s v="TXN_9976272"/>
    <x v="7"/>
    <x v="1"/>
    <s v="Item_16_MILK"/>
    <n v="27.5"/>
    <n v="1"/>
    <x v="8"/>
    <x v="1"/>
    <x v="0"/>
    <d v="2023-08-22T00:00:00"/>
    <b v="0"/>
  </r>
  <r>
    <s v="TXN_2992398"/>
    <x v="7"/>
    <x v="1"/>
    <s v="Item_13_MILK"/>
    <n v="23"/>
    <n v="1"/>
    <x v="17"/>
    <x v="0"/>
    <x v="1"/>
    <d v="2023-09-13T00:00:00"/>
    <s v="Null"/>
  </r>
  <r>
    <s v="TXN_8933445"/>
    <x v="3"/>
    <x v="4"/>
    <s v="Item_13_FOOD"/>
    <n v="23"/>
    <n v="5"/>
    <x v="156"/>
    <x v="0"/>
    <x v="0"/>
    <d v="2025-01-16T00:00:00"/>
    <s v="Null"/>
  </r>
  <r>
    <s v="TXN_2683845"/>
    <x v="11"/>
    <x v="2"/>
    <s v="Item_18_BUT"/>
    <n v="30.5"/>
    <n v="10"/>
    <x v="77"/>
    <x v="2"/>
    <x v="0"/>
    <d v="2022-08-01T00:00:00"/>
    <b v="0"/>
  </r>
  <r>
    <s v="TXN_4141037"/>
    <x v="16"/>
    <x v="7"/>
    <s v="Item_23_CEA"/>
    <n v="38"/>
    <n v="3"/>
    <x v="90"/>
    <x v="2"/>
    <x v="1"/>
    <d v="2022-05-02T00:00:00"/>
    <s v="Null"/>
  </r>
  <r>
    <s v="TXN_4978776"/>
    <x v="14"/>
    <x v="2"/>
    <s v="Item_25_BUT"/>
    <n v="41"/>
    <n v="8"/>
    <x v="161"/>
    <x v="1"/>
    <x v="0"/>
    <d v="2024-03-17T00:00:00"/>
    <s v="Null"/>
  </r>
  <r>
    <s v="TXN_2228646"/>
    <x v="19"/>
    <x v="7"/>
    <s v="Item_18_CEA"/>
    <n v="30.5"/>
    <n v="9"/>
    <x v="196"/>
    <x v="0"/>
    <x v="1"/>
    <d v="2022-02-12T00:00:00"/>
    <s v="Null"/>
  </r>
  <r>
    <s v="TXN_1644496"/>
    <x v="8"/>
    <x v="2"/>
    <s v="Item_21_BUT"/>
    <n v="35"/>
    <n v="6"/>
    <x v="184"/>
    <x v="2"/>
    <x v="0"/>
    <d v="2022-06-30T00:00:00"/>
    <s v="Null"/>
  </r>
  <r>
    <s v="TXN_1076536"/>
    <x v="7"/>
    <x v="7"/>
    <s v="Item_8_CEA"/>
    <n v="15.5"/>
    <n v="7"/>
    <x v="82"/>
    <x v="0"/>
    <x v="1"/>
    <d v="2023-05-24T00:00:00"/>
    <b v="1"/>
  </r>
  <r>
    <s v="TXN_6771103"/>
    <x v="20"/>
    <x v="2"/>
    <s v="Item_1_BUT"/>
    <n v="5"/>
    <n v="3"/>
    <x v="99"/>
    <x v="2"/>
    <x v="0"/>
    <d v="2024-06-17T00:00:00"/>
    <s v="Null"/>
  </r>
  <r>
    <s v="TXN_2885265"/>
    <x v="21"/>
    <x v="7"/>
    <s v="Item_25_CEA"/>
    <n v="41"/>
    <n v="6"/>
    <x v="217"/>
    <x v="0"/>
    <x v="1"/>
    <d v="2022-08-07T00:00:00"/>
    <s v="Null"/>
  </r>
  <r>
    <s v="TXN_1196570"/>
    <x v="1"/>
    <x v="3"/>
    <s v="Item_6_BEV"/>
    <n v="12.5"/>
    <n v="8"/>
    <x v="27"/>
    <x v="0"/>
    <x v="0"/>
    <d v="2024-02-09T00:00:00"/>
    <b v="1"/>
  </r>
  <r>
    <s v="TXN_9441688"/>
    <x v="24"/>
    <x v="0"/>
    <s v="Item_4_PAT"/>
    <n v="9.5"/>
    <n v="10"/>
    <x v="186"/>
    <x v="0"/>
    <x v="1"/>
    <d v="2022-08-23T00:00:00"/>
    <b v="0"/>
  </r>
  <r>
    <s v="TXN_1126177"/>
    <x v="4"/>
    <x v="0"/>
    <s v="Item_7_PAT"/>
    <n v="14"/>
    <n v="9"/>
    <x v="18"/>
    <x v="0"/>
    <x v="1"/>
    <d v="2022-09-26T00:00:00"/>
    <b v="0"/>
  </r>
  <r>
    <s v="TXN_1232531"/>
    <x v="19"/>
    <x v="3"/>
    <s v="Item_2_BEV"/>
    <n v="6.5"/>
    <n v="3"/>
    <x v="80"/>
    <x v="2"/>
    <x v="0"/>
    <d v="2024-05-27T00:00:00"/>
    <b v="1"/>
  </r>
  <r>
    <s v="TXN_8266591"/>
    <x v="2"/>
    <x v="4"/>
    <s v="Item_5_FOOD"/>
    <n v="11"/>
    <n v="9"/>
    <x v="149"/>
    <x v="0"/>
    <x v="1"/>
    <d v="2024-12-01T00:00:00"/>
    <b v="1"/>
  </r>
  <r>
    <s v="TXN_8073779"/>
    <x v="8"/>
    <x v="0"/>
    <s v="Item_20_PAT"/>
    <n v="33.5"/>
    <n v="7"/>
    <x v="205"/>
    <x v="1"/>
    <x v="1"/>
    <d v="2022-07-03T00:00:00"/>
    <b v="0"/>
  </r>
  <r>
    <s v="TXN_8261937"/>
    <x v="9"/>
    <x v="6"/>
    <s v="Item_5_EHE"/>
    <n v="11"/>
    <n v="2"/>
    <x v="212"/>
    <x v="0"/>
    <x v="1"/>
    <d v="2022-03-10T00:00:00"/>
    <b v="1"/>
  </r>
  <r>
    <s v="TXN_3617161"/>
    <x v="13"/>
    <x v="7"/>
    <s v="Item_12_CEA"/>
    <n v="21.5"/>
    <n v="7"/>
    <x v="133"/>
    <x v="2"/>
    <x v="0"/>
    <d v="2022-04-16T00:00:00"/>
    <b v="0"/>
  </r>
  <r>
    <s v="TXN_3904812"/>
    <x v="7"/>
    <x v="3"/>
    <s v="Item_15_BEV"/>
    <n v="26"/>
    <n v="9"/>
    <x v="48"/>
    <x v="1"/>
    <x v="0"/>
    <d v="2022-03-22T00:00:00"/>
    <s v="Null"/>
  </r>
  <r>
    <s v="TXN_6684210"/>
    <x v="20"/>
    <x v="6"/>
    <s v="Item_9_EHE"/>
    <n v="17"/>
    <n v="3"/>
    <x v="192"/>
    <x v="2"/>
    <x v="0"/>
    <d v="2023-02-16T00:00:00"/>
    <b v="1"/>
  </r>
  <r>
    <s v="TXN_5849098"/>
    <x v="22"/>
    <x v="5"/>
    <s v="Null"/>
    <s v="Null"/>
    <n v="3"/>
    <x v="19"/>
    <x v="2"/>
    <x v="0"/>
    <d v="2024-06-23T00:00:00"/>
    <b v="0"/>
  </r>
  <r>
    <s v="TXN_3010762"/>
    <x v="23"/>
    <x v="5"/>
    <s v="Null"/>
    <s v="Null"/>
    <n v="2"/>
    <x v="117"/>
    <x v="0"/>
    <x v="1"/>
    <d v="2023-07-14T00:00:00"/>
    <b v="1"/>
  </r>
  <r>
    <s v="TXN_2693158"/>
    <x v="16"/>
    <x v="0"/>
    <s v="Item_7_PAT"/>
    <n v="14"/>
    <n v="10"/>
    <x v="74"/>
    <x v="0"/>
    <x v="1"/>
    <d v="2022-10-28T00:00:00"/>
    <b v="1"/>
  </r>
  <r>
    <s v="TXN_9205349"/>
    <x v="23"/>
    <x v="5"/>
    <s v="Item_7_FUR"/>
    <n v="14"/>
    <n v="7"/>
    <x v="108"/>
    <x v="1"/>
    <x v="0"/>
    <d v="2022-10-24T00:00:00"/>
    <b v="1"/>
  </r>
  <r>
    <s v="TXN_5743023"/>
    <x v="1"/>
    <x v="6"/>
    <s v="Item_12_EHE"/>
    <n v="21.5"/>
    <n v="2"/>
    <x v="2"/>
    <x v="1"/>
    <x v="0"/>
    <d v="2022-12-17T00:00:00"/>
    <s v="Null"/>
  </r>
  <r>
    <s v="TXN_7263862"/>
    <x v="17"/>
    <x v="1"/>
    <s v="Item_2_MILK"/>
    <n v="6.5"/>
    <n v="8"/>
    <x v="11"/>
    <x v="1"/>
    <x v="1"/>
    <d v="2024-07-08T00:00:00"/>
    <b v="0"/>
  </r>
  <r>
    <s v="TXN_9293724"/>
    <x v="16"/>
    <x v="6"/>
    <s v="Item_6_EHE"/>
    <n v="12.5"/>
    <n v="6"/>
    <x v="216"/>
    <x v="2"/>
    <x v="1"/>
    <d v="2022-11-13T00:00:00"/>
    <b v="0"/>
  </r>
  <r>
    <s v="TXN_8674901"/>
    <x v="11"/>
    <x v="5"/>
    <s v="Item_15_FUR"/>
    <n v="26"/>
    <n v="1"/>
    <x v="107"/>
    <x v="2"/>
    <x v="0"/>
    <d v="2022-07-02T00:00:00"/>
    <b v="1"/>
  </r>
  <r>
    <s v="TXN_1537702"/>
    <x v="8"/>
    <x v="5"/>
    <s v="Item_20_FUR"/>
    <n v="33.5"/>
    <n v="1"/>
    <x v="100"/>
    <x v="0"/>
    <x v="1"/>
    <d v="2022-06-05T00:00:00"/>
    <b v="1"/>
  </r>
  <r>
    <s v="TXN_3910370"/>
    <x v="1"/>
    <x v="3"/>
    <s v="Item_14_BEV"/>
    <n v="24.5"/>
    <n v="2"/>
    <x v="22"/>
    <x v="0"/>
    <x v="1"/>
    <d v="2022-12-23T00:00:00"/>
    <b v="1"/>
  </r>
  <r>
    <s v="TXN_5005963"/>
    <x v="19"/>
    <x v="1"/>
    <s v="Item_1_MILK"/>
    <n v="5"/>
    <n v="5"/>
    <x v="96"/>
    <x v="1"/>
    <x v="0"/>
    <d v="2024-03-27T00:00:00"/>
    <s v="Null"/>
  </r>
  <r>
    <s v="TXN_3330819"/>
    <x v="6"/>
    <x v="7"/>
    <s v="Item_2_CEA"/>
    <n v="6.5"/>
    <n v="6"/>
    <x v="53"/>
    <x v="0"/>
    <x v="1"/>
    <d v="2022-01-19T00:00:00"/>
    <s v="Null"/>
  </r>
  <r>
    <s v="TXN_3549273"/>
    <x v="18"/>
    <x v="5"/>
    <s v="Item_11_FUR"/>
    <n v="20"/>
    <n v="9"/>
    <x v="51"/>
    <x v="2"/>
    <x v="1"/>
    <d v="2023-08-01T00:00:00"/>
    <b v="0"/>
  </r>
  <r>
    <s v="TXN_9671023"/>
    <x v="1"/>
    <x v="7"/>
    <s v="Null"/>
    <n v="30.5"/>
    <s v="Null"/>
    <x v="7"/>
    <x v="1"/>
    <x v="1"/>
    <d v="2024-11-02T00:00:00"/>
    <b v="1"/>
  </r>
  <r>
    <s v="TXN_6746331"/>
    <x v="20"/>
    <x v="2"/>
    <s v="Item_13_BUT"/>
    <n v="23"/>
    <n v="3"/>
    <x v="124"/>
    <x v="0"/>
    <x v="1"/>
    <d v="2024-07-08T00:00:00"/>
    <b v="0"/>
  </r>
  <r>
    <s v="TXN_5554744"/>
    <x v="5"/>
    <x v="5"/>
    <s v="Item_25_FUR"/>
    <n v="41"/>
    <n v="9"/>
    <x v="138"/>
    <x v="0"/>
    <x v="1"/>
    <d v="2024-07-07T00:00:00"/>
    <s v="Null"/>
  </r>
  <r>
    <s v="TXN_3404023"/>
    <x v="14"/>
    <x v="6"/>
    <s v="Item_23_EHE"/>
    <n v="38"/>
    <n v="4"/>
    <x v="194"/>
    <x v="0"/>
    <x v="0"/>
    <d v="2022-08-08T00:00:00"/>
    <b v="0"/>
  </r>
  <r>
    <s v="TXN_5258958"/>
    <x v="5"/>
    <x v="2"/>
    <s v="Item_11_BUT"/>
    <n v="20"/>
    <n v="10"/>
    <x v="5"/>
    <x v="0"/>
    <x v="0"/>
    <d v="2024-11-23T00:00:00"/>
    <s v="Null"/>
  </r>
  <r>
    <s v="TXN_7604627"/>
    <x v="0"/>
    <x v="2"/>
    <s v="Item_22_BUT"/>
    <n v="36.5"/>
    <n v="2"/>
    <x v="122"/>
    <x v="2"/>
    <x v="0"/>
    <d v="2023-04-19T00:00:00"/>
    <b v="1"/>
  </r>
  <r>
    <s v="TXN_5912161"/>
    <x v="20"/>
    <x v="0"/>
    <s v="Item_22_PAT"/>
    <n v="36.5"/>
    <n v="10"/>
    <x v="52"/>
    <x v="2"/>
    <x v="1"/>
    <d v="2022-11-04T00:00:00"/>
    <b v="1"/>
  </r>
  <r>
    <s v="TXN_8490314"/>
    <x v="23"/>
    <x v="6"/>
    <s v="Item_15_EHE"/>
    <n v="26"/>
    <n v="3"/>
    <x v="191"/>
    <x v="2"/>
    <x v="1"/>
    <d v="2024-12-28T00:00:00"/>
    <b v="1"/>
  </r>
  <r>
    <s v="TXN_1871813"/>
    <x v="13"/>
    <x v="3"/>
    <s v="Item_7_BEV"/>
    <n v="14"/>
    <n v="1"/>
    <x v="66"/>
    <x v="2"/>
    <x v="1"/>
    <d v="2022-08-09T00:00:00"/>
    <s v="Null"/>
  </r>
  <r>
    <s v="TXN_2217907"/>
    <x v="5"/>
    <x v="3"/>
    <s v="Item_14_BEV"/>
    <n v="24.5"/>
    <n v="2"/>
    <x v="22"/>
    <x v="1"/>
    <x v="1"/>
    <d v="2022-05-15T00:00:00"/>
    <b v="1"/>
  </r>
  <r>
    <s v="TXN_5986313"/>
    <x v="4"/>
    <x v="3"/>
    <s v="Item_24_BEV"/>
    <n v="39.5"/>
    <n v="6"/>
    <x v="13"/>
    <x v="1"/>
    <x v="1"/>
    <d v="2023-01-03T00:00:00"/>
    <b v="1"/>
  </r>
  <r>
    <s v="TXN_4967670"/>
    <x v="2"/>
    <x v="0"/>
    <s v="Item_4_PAT"/>
    <n v="9.5"/>
    <n v="9"/>
    <x v="210"/>
    <x v="2"/>
    <x v="1"/>
    <d v="2022-07-15T00:00:00"/>
    <s v="Null"/>
  </r>
  <r>
    <s v="TXN_6964259"/>
    <x v="9"/>
    <x v="1"/>
    <s v="Item_6_MILK"/>
    <n v="12.5"/>
    <n v="6"/>
    <x v="216"/>
    <x v="1"/>
    <x v="0"/>
    <d v="2023-09-29T00:00:00"/>
    <b v="0"/>
  </r>
  <r>
    <s v="TXN_2012246"/>
    <x v="11"/>
    <x v="5"/>
    <s v="Item_11_FUR"/>
    <n v="20"/>
    <n v="8"/>
    <x v="64"/>
    <x v="1"/>
    <x v="1"/>
    <d v="2023-08-28T00:00:00"/>
    <b v="0"/>
  </r>
  <r>
    <s v="TXN_5926696"/>
    <x v="19"/>
    <x v="2"/>
    <s v="Item_20_BUT"/>
    <n v="33.5"/>
    <n v="8"/>
    <x v="154"/>
    <x v="1"/>
    <x v="0"/>
    <d v="2022-08-24T00:00:00"/>
    <s v="Null"/>
  </r>
  <r>
    <s v="TXN_1550220"/>
    <x v="15"/>
    <x v="4"/>
    <s v="Item_6_FOOD"/>
    <n v="12.5"/>
    <n v="10"/>
    <x v="183"/>
    <x v="1"/>
    <x v="1"/>
    <d v="2023-02-03T00:00:00"/>
    <s v="Null"/>
  </r>
  <r>
    <s v="TXN_7005877"/>
    <x v="3"/>
    <x v="6"/>
    <s v="Item_12_EHE"/>
    <n v="21.5"/>
    <n v="8"/>
    <x v="54"/>
    <x v="0"/>
    <x v="0"/>
    <d v="2022-11-25T00:00:00"/>
    <s v="Null"/>
  </r>
  <r>
    <s v="TXN_4385983"/>
    <x v="8"/>
    <x v="1"/>
    <s v="Item_13_MILK"/>
    <n v="23"/>
    <n v="3"/>
    <x v="124"/>
    <x v="0"/>
    <x v="0"/>
    <d v="2024-08-24T00:00:00"/>
    <s v="Null"/>
  </r>
  <r>
    <s v="TXN_8482271"/>
    <x v="7"/>
    <x v="0"/>
    <s v="Null"/>
    <n v="20"/>
    <s v="Null"/>
    <x v="7"/>
    <x v="2"/>
    <x v="0"/>
    <d v="2022-01-05T00:00:00"/>
    <s v="Null"/>
  </r>
  <r>
    <s v="TXN_5292453"/>
    <x v="0"/>
    <x v="5"/>
    <s v="Item_16_FUR"/>
    <n v="27.5"/>
    <n v="8"/>
    <x v="174"/>
    <x v="2"/>
    <x v="0"/>
    <d v="2023-04-22T00:00:00"/>
    <b v="0"/>
  </r>
  <r>
    <s v="TXN_3747046"/>
    <x v="20"/>
    <x v="6"/>
    <s v="Item_18_EHE"/>
    <n v="30.5"/>
    <n v="2"/>
    <x v="125"/>
    <x v="0"/>
    <x v="0"/>
    <d v="2022-11-22T00:00:00"/>
    <b v="0"/>
  </r>
  <r>
    <s v="TXN_5563947"/>
    <x v="12"/>
    <x v="4"/>
    <s v="Item_17_FOOD"/>
    <n v="29"/>
    <n v="3"/>
    <x v="206"/>
    <x v="0"/>
    <x v="1"/>
    <d v="2022-06-02T00:00:00"/>
    <b v="0"/>
  </r>
  <r>
    <s v="TXN_8839706"/>
    <x v="10"/>
    <x v="0"/>
    <s v="Item_6_PAT"/>
    <n v="12.5"/>
    <n v="10"/>
    <x v="183"/>
    <x v="1"/>
    <x v="0"/>
    <d v="2024-11-28T00:00:00"/>
    <b v="0"/>
  </r>
  <r>
    <s v="TXN_1778326"/>
    <x v="18"/>
    <x v="7"/>
    <s v="Item_14_CEA"/>
    <n v="24.5"/>
    <n v="9"/>
    <x v="218"/>
    <x v="1"/>
    <x v="1"/>
    <d v="2023-09-01T00:00:00"/>
    <b v="0"/>
  </r>
  <r>
    <s v="TXN_2119388"/>
    <x v="11"/>
    <x v="2"/>
    <s v="Item_16_BUT"/>
    <n v="27.5"/>
    <n v="7"/>
    <x v="41"/>
    <x v="0"/>
    <x v="0"/>
    <d v="2022-09-13T00:00:00"/>
    <b v="1"/>
  </r>
  <r>
    <s v="TXN_8707599"/>
    <x v="5"/>
    <x v="4"/>
    <s v="Item_6_FOOD"/>
    <n v="12.5"/>
    <n v="10"/>
    <x v="183"/>
    <x v="2"/>
    <x v="1"/>
    <d v="2022-01-26T00:00:00"/>
    <b v="0"/>
  </r>
  <r>
    <s v="TXN_5367164"/>
    <x v="18"/>
    <x v="5"/>
    <s v="Item_15_FUR"/>
    <n v="26"/>
    <n v="8"/>
    <x v="114"/>
    <x v="1"/>
    <x v="1"/>
    <d v="2023-12-13T00:00:00"/>
    <s v="Null"/>
  </r>
  <r>
    <s v="TXN_9429754"/>
    <x v="9"/>
    <x v="1"/>
    <s v="Item_9_MILK"/>
    <n v="17"/>
    <n v="8"/>
    <x v="187"/>
    <x v="2"/>
    <x v="0"/>
    <d v="2023-08-27T00:00:00"/>
    <b v="1"/>
  </r>
  <r>
    <s v="TXN_1750091"/>
    <x v="12"/>
    <x v="1"/>
    <s v="Item_4_MILK"/>
    <n v="9.5"/>
    <n v="1"/>
    <x v="116"/>
    <x v="1"/>
    <x v="1"/>
    <d v="2023-06-19T00:00:00"/>
    <b v="1"/>
  </r>
  <r>
    <s v="TXN_1101287"/>
    <x v="4"/>
    <x v="5"/>
    <s v="Item_11_FUR"/>
    <n v="20"/>
    <n v="2"/>
    <x v="6"/>
    <x v="1"/>
    <x v="0"/>
    <d v="2024-01-05T00:00:00"/>
    <b v="1"/>
  </r>
  <r>
    <s v="TXN_8972051"/>
    <x v="13"/>
    <x v="6"/>
    <s v="Item_17_EHE"/>
    <n v="29"/>
    <n v="1"/>
    <x v="153"/>
    <x v="1"/>
    <x v="1"/>
    <d v="2024-02-28T00:00:00"/>
    <b v="1"/>
  </r>
  <r>
    <s v="TXN_9856909"/>
    <x v="13"/>
    <x v="0"/>
    <s v="Item_14_PAT"/>
    <n v="24.5"/>
    <n v="7"/>
    <x v="198"/>
    <x v="2"/>
    <x v="1"/>
    <d v="2022-07-10T00:00:00"/>
    <s v="Null"/>
  </r>
  <r>
    <s v="TXN_9906990"/>
    <x v="1"/>
    <x v="2"/>
    <s v="Item_3_BUT"/>
    <n v="8"/>
    <n v="9"/>
    <x v="10"/>
    <x v="0"/>
    <x v="1"/>
    <d v="2022-07-11T00:00:00"/>
    <b v="0"/>
  </r>
  <r>
    <s v="TXN_3104119"/>
    <x v="21"/>
    <x v="5"/>
    <s v="Item_4_FUR"/>
    <n v="9.5"/>
    <n v="2"/>
    <x v="135"/>
    <x v="2"/>
    <x v="0"/>
    <d v="2022-04-19T00:00:00"/>
    <s v="Null"/>
  </r>
  <r>
    <s v="TXN_6829985"/>
    <x v="4"/>
    <x v="3"/>
    <s v="Item_3_BEV"/>
    <n v="8"/>
    <n v="2"/>
    <x v="165"/>
    <x v="2"/>
    <x v="0"/>
    <d v="2023-11-22T00:00:00"/>
    <b v="0"/>
  </r>
  <r>
    <s v="TXN_6375821"/>
    <x v="21"/>
    <x v="2"/>
    <s v="Item_25_BUT"/>
    <n v="41"/>
    <n v="5"/>
    <x v="132"/>
    <x v="1"/>
    <x v="0"/>
    <d v="2023-09-29T00:00:00"/>
    <b v="0"/>
  </r>
  <r>
    <s v="TXN_7205141"/>
    <x v="14"/>
    <x v="1"/>
    <s v="Item_5_MILK"/>
    <n v="11"/>
    <n v="1"/>
    <x v="47"/>
    <x v="2"/>
    <x v="1"/>
    <d v="2022-05-29T00:00:00"/>
    <s v="Null"/>
  </r>
  <r>
    <s v="TXN_9749789"/>
    <x v="16"/>
    <x v="1"/>
    <s v="Item_19_MILK"/>
    <n v="32"/>
    <n v="2"/>
    <x v="155"/>
    <x v="1"/>
    <x v="1"/>
    <d v="2024-12-10T00:00:00"/>
    <b v="0"/>
  </r>
  <r>
    <s v="TXN_7796666"/>
    <x v="15"/>
    <x v="4"/>
    <s v="Item_12_FOOD"/>
    <n v="21.5"/>
    <n v="10"/>
    <x v="44"/>
    <x v="2"/>
    <x v="0"/>
    <d v="2024-09-08T00:00:00"/>
    <b v="0"/>
  </r>
  <r>
    <s v="TXN_4327459"/>
    <x v="9"/>
    <x v="3"/>
    <s v="Item_14_BEV"/>
    <n v="24.5"/>
    <n v="7"/>
    <x v="198"/>
    <x v="1"/>
    <x v="1"/>
    <d v="2022-01-09T00:00:00"/>
    <s v="Null"/>
  </r>
  <r>
    <s v="TXN_8608354"/>
    <x v="17"/>
    <x v="0"/>
    <s v="Item_22_PAT"/>
    <n v="36.5"/>
    <n v="1"/>
    <x v="104"/>
    <x v="0"/>
    <x v="1"/>
    <d v="2024-04-09T00:00:00"/>
    <b v="1"/>
  </r>
  <r>
    <s v="TXN_1036311"/>
    <x v="22"/>
    <x v="6"/>
    <s v="Item_17_EHE"/>
    <n v="29"/>
    <n v="1"/>
    <x v="153"/>
    <x v="2"/>
    <x v="1"/>
    <d v="2022-12-22T00:00:00"/>
    <b v="0"/>
  </r>
  <r>
    <s v="TXN_8321866"/>
    <x v="12"/>
    <x v="5"/>
    <s v="Item_8_FUR"/>
    <n v="15.5"/>
    <n v="4"/>
    <x v="85"/>
    <x v="1"/>
    <x v="0"/>
    <d v="2023-08-27T00:00:00"/>
    <s v="Null"/>
  </r>
  <r>
    <s v="TXN_5896151"/>
    <x v="6"/>
    <x v="6"/>
    <s v="Item_15_EHE"/>
    <n v="26"/>
    <n v="6"/>
    <x v="214"/>
    <x v="0"/>
    <x v="0"/>
    <d v="2024-02-25T00:00:00"/>
    <b v="0"/>
  </r>
  <r>
    <s v="TXN_1157052"/>
    <x v="23"/>
    <x v="2"/>
    <s v="Item_13_BUT"/>
    <n v="23"/>
    <n v="4"/>
    <x v="162"/>
    <x v="1"/>
    <x v="0"/>
    <d v="2022-11-02T00:00:00"/>
    <b v="1"/>
  </r>
  <r>
    <s v="TXN_5381793"/>
    <x v="4"/>
    <x v="5"/>
    <s v="Item_3_FUR"/>
    <n v="8"/>
    <n v="9"/>
    <x v="10"/>
    <x v="2"/>
    <x v="1"/>
    <d v="2024-12-09T00:00:00"/>
    <b v="1"/>
  </r>
  <r>
    <s v="TXN_3197907"/>
    <x v="8"/>
    <x v="0"/>
    <s v="Item_19_PAT"/>
    <n v="32"/>
    <n v="6"/>
    <x v="91"/>
    <x v="2"/>
    <x v="1"/>
    <d v="2024-02-09T00:00:00"/>
    <b v="0"/>
  </r>
  <r>
    <s v="TXN_9891054"/>
    <x v="18"/>
    <x v="7"/>
    <s v="Item_15_CEA"/>
    <n v="26"/>
    <n v="10"/>
    <x v="158"/>
    <x v="2"/>
    <x v="0"/>
    <d v="2022-10-11T00:00:00"/>
    <b v="0"/>
  </r>
  <r>
    <s v="TXN_7359436"/>
    <x v="22"/>
    <x v="4"/>
    <s v="Item_14_FOOD"/>
    <n v="24.5"/>
    <n v="10"/>
    <x v="25"/>
    <x v="2"/>
    <x v="1"/>
    <d v="2024-01-02T00:00:00"/>
    <b v="1"/>
  </r>
  <r>
    <s v="TXN_6016690"/>
    <x v="3"/>
    <x v="7"/>
    <s v="Item_11_CEA"/>
    <n v="20"/>
    <n v="3"/>
    <x v="120"/>
    <x v="1"/>
    <x v="0"/>
    <d v="2023-12-13T00:00:00"/>
    <s v="Null"/>
  </r>
  <r>
    <s v="TXN_3615491"/>
    <x v="2"/>
    <x v="0"/>
    <s v="Item_9_PAT"/>
    <n v="17"/>
    <n v="7"/>
    <x v="83"/>
    <x v="1"/>
    <x v="1"/>
    <d v="2023-09-25T00:00:00"/>
    <b v="0"/>
  </r>
  <r>
    <s v="TXN_5238211"/>
    <x v="0"/>
    <x v="5"/>
    <s v="Item_15_FUR"/>
    <n v="26"/>
    <n v="8"/>
    <x v="114"/>
    <x v="2"/>
    <x v="1"/>
    <d v="2023-12-15T00:00:00"/>
    <b v="1"/>
  </r>
  <r>
    <s v="TXN_2861834"/>
    <x v="8"/>
    <x v="0"/>
    <s v="Item_15_PAT"/>
    <n v="26"/>
    <n v="3"/>
    <x v="191"/>
    <x v="2"/>
    <x v="0"/>
    <d v="2023-04-01T00:00:00"/>
    <b v="1"/>
  </r>
  <r>
    <s v="TXN_5236248"/>
    <x v="6"/>
    <x v="4"/>
    <s v="Item_10_FOOD"/>
    <n v="18.5"/>
    <n v="9"/>
    <x v="219"/>
    <x v="2"/>
    <x v="0"/>
    <d v="2025-01-15T00:00:00"/>
    <s v="Null"/>
  </r>
  <r>
    <s v="TXN_2694098"/>
    <x v="0"/>
    <x v="1"/>
    <s v="Item_11_MILK"/>
    <n v="20"/>
    <n v="10"/>
    <x v="5"/>
    <x v="2"/>
    <x v="0"/>
    <d v="2024-10-20T00:00:00"/>
    <s v="Null"/>
  </r>
  <r>
    <s v="TXN_3299143"/>
    <x v="20"/>
    <x v="5"/>
    <s v="Item_2_FUR"/>
    <n v="6.5"/>
    <n v="9"/>
    <x v="151"/>
    <x v="1"/>
    <x v="0"/>
    <d v="2024-03-02T00:00:00"/>
    <b v="1"/>
  </r>
  <r>
    <s v="TXN_6159011"/>
    <x v="6"/>
    <x v="5"/>
    <s v="Item_2_FUR"/>
    <n v="6.5"/>
    <n v="1"/>
    <x v="128"/>
    <x v="0"/>
    <x v="0"/>
    <d v="2022-07-20T00:00:00"/>
    <s v="Null"/>
  </r>
  <r>
    <s v="TXN_1350410"/>
    <x v="12"/>
    <x v="5"/>
    <s v="Item_10_FUR"/>
    <n v="18.5"/>
    <n v="3"/>
    <x v="127"/>
    <x v="1"/>
    <x v="0"/>
    <d v="2024-09-11T00:00:00"/>
    <b v="0"/>
  </r>
  <r>
    <s v="TXN_7958601"/>
    <x v="17"/>
    <x v="1"/>
    <s v="Item_15_MILK"/>
    <n v="26"/>
    <n v="1"/>
    <x v="107"/>
    <x v="2"/>
    <x v="0"/>
    <d v="2022-06-11T00:00:00"/>
    <b v="1"/>
  </r>
  <r>
    <s v="TXN_9618417"/>
    <x v="23"/>
    <x v="6"/>
    <s v="Item_5_EHE"/>
    <n v="11"/>
    <n v="10"/>
    <x v="134"/>
    <x v="2"/>
    <x v="0"/>
    <d v="2022-10-05T00:00:00"/>
    <s v="Null"/>
  </r>
  <r>
    <s v="TXN_1151406"/>
    <x v="14"/>
    <x v="2"/>
    <s v="Item_19_BUT"/>
    <n v="32"/>
    <n v="9"/>
    <x v="119"/>
    <x v="0"/>
    <x v="0"/>
    <d v="2022-05-18T00:00:00"/>
    <b v="1"/>
  </r>
  <r>
    <s v="TXN_1358761"/>
    <x v="13"/>
    <x v="4"/>
    <s v="Item_6_FOOD"/>
    <n v="12.5"/>
    <n v="3"/>
    <x v="139"/>
    <x v="2"/>
    <x v="1"/>
    <d v="2024-05-15T00:00:00"/>
    <b v="0"/>
  </r>
  <r>
    <s v="TXN_1134117"/>
    <x v="16"/>
    <x v="3"/>
    <s v="Item_20_BEV"/>
    <n v="33.5"/>
    <n v="1"/>
    <x v="100"/>
    <x v="2"/>
    <x v="0"/>
    <d v="2024-12-30T00:00:00"/>
    <s v="Null"/>
  </r>
  <r>
    <s v="TXN_5805061"/>
    <x v="3"/>
    <x v="3"/>
    <s v="Item_8_BEV"/>
    <n v="15.5"/>
    <n v="3"/>
    <x v="36"/>
    <x v="1"/>
    <x v="0"/>
    <d v="2023-07-31T00:00:00"/>
    <b v="1"/>
  </r>
  <r>
    <s v="TXN_6322703"/>
    <x v="11"/>
    <x v="1"/>
    <s v="Item_1_MILK"/>
    <n v="5"/>
    <n v="2"/>
    <x v="117"/>
    <x v="2"/>
    <x v="1"/>
    <d v="2023-07-11T00:00:00"/>
    <s v="Null"/>
  </r>
  <r>
    <s v="TXN_3402387"/>
    <x v="1"/>
    <x v="4"/>
    <s v="Item_4_FOOD"/>
    <n v="9.5"/>
    <n v="3"/>
    <x v="69"/>
    <x v="1"/>
    <x v="0"/>
    <d v="2023-11-30T00:00:00"/>
    <s v="Null"/>
  </r>
  <r>
    <s v="TXN_3009822"/>
    <x v="18"/>
    <x v="0"/>
    <s v="Item_11_PAT"/>
    <n v="20"/>
    <n v="5"/>
    <x v="27"/>
    <x v="2"/>
    <x v="1"/>
    <d v="2024-05-07T00:00:00"/>
    <b v="0"/>
  </r>
  <r>
    <s v="TXN_4836949"/>
    <x v="5"/>
    <x v="7"/>
    <s v="Item_14_CEA"/>
    <n v="24.5"/>
    <n v="10"/>
    <x v="25"/>
    <x v="1"/>
    <x v="1"/>
    <d v="2022-02-02T00:00:00"/>
    <b v="1"/>
  </r>
  <r>
    <s v="TXN_7558362"/>
    <x v="17"/>
    <x v="0"/>
    <s v="Item_2_PAT"/>
    <n v="6.5"/>
    <n v="4"/>
    <x v="107"/>
    <x v="1"/>
    <x v="1"/>
    <d v="2024-06-01T00:00:00"/>
    <b v="0"/>
  </r>
  <r>
    <s v="TXN_2550629"/>
    <x v="13"/>
    <x v="2"/>
    <s v="Item_23_BUT"/>
    <n v="38"/>
    <n v="5"/>
    <x v="33"/>
    <x v="0"/>
    <x v="0"/>
    <d v="2022-04-03T00:00:00"/>
    <b v="1"/>
  </r>
  <r>
    <s v="TXN_1476715"/>
    <x v="20"/>
    <x v="3"/>
    <s v="Item_17_BEV"/>
    <n v="29"/>
    <n v="8"/>
    <x v="15"/>
    <x v="1"/>
    <x v="1"/>
    <d v="2022-02-08T00:00:00"/>
    <b v="0"/>
  </r>
  <r>
    <s v="TXN_5653387"/>
    <x v="19"/>
    <x v="5"/>
    <s v="Item_7_FUR"/>
    <n v="14"/>
    <n v="7"/>
    <x v="108"/>
    <x v="1"/>
    <x v="0"/>
    <d v="2022-05-29T00:00:00"/>
    <b v="1"/>
  </r>
  <r>
    <s v="TXN_7068372"/>
    <x v="7"/>
    <x v="7"/>
    <s v="Null"/>
    <n v="23"/>
    <s v="Null"/>
    <x v="7"/>
    <x v="0"/>
    <x v="1"/>
    <d v="2022-12-10T00:00:00"/>
    <s v="Null"/>
  </r>
  <r>
    <s v="TXN_8819433"/>
    <x v="3"/>
    <x v="7"/>
    <s v="Item_12_CEA"/>
    <n v="21.5"/>
    <n v="8"/>
    <x v="54"/>
    <x v="0"/>
    <x v="1"/>
    <d v="2024-04-15T00:00:00"/>
    <b v="0"/>
  </r>
  <r>
    <s v="TXN_3120139"/>
    <x v="7"/>
    <x v="4"/>
    <s v="Item_4_FOOD"/>
    <n v="9.5"/>
    <n v="6"/>
    <x v="171"/>
    <x v="1"/>
    <x v="0"/>
    <d v="2024-02-11T00:00:00"/>
    <s v="Null"/>
  </r>
  <r>
    <s v="TXN_9998575"/>
    <x v="15"/>
    <x v="4"/>
    <s v="Item_6_FOOD"/>
    <n v="12.5"/>
    <n v="9"/>
    <x v="175"/>
    <x v="1"/>
    <x v="1"/>
    <d v="2024-01-02T00:00:00"/>
    <b v="1"/>
  </r>
  <r>
    <s v="TXN_8519777"/>
    <x v="22"/>
    <x v="3"/>
    <s v="Item_24_BEV"/>
    <n v="39.5"/>
    <n v="3"/>
    <x v="130"/>
    <x v="0"/>
    <x v="0"/>
    <d v="2022-07-02T00:00:00"/>
    <b v="1"/>
  </r>
  <r>
    <s v="TXN_7797790"/>
    <x v="23"/>
    <x v="3"/>
    <s v="Item_19_BEV"/>
    <n v="32"/>
    <n v="7"/>
    <x v="160"/>
    <x v="0"/>
    <x v="0"/>
    <d v="2022-10-09T00:00:00"/>
    <b v="1"/>
  </r>
  <r>
    <s v="TXN_3184832"/>
    <x v="3"/>
    <x v="6"/>
    <s v="Item_11_EHE"/>
    <n v="20"/>
    <n v="2"/>
    <x v="6"/>
    <x v="1"/>
    <x v="1"/>
    <d v="2022-02-08T00:00:00"/>
    <b v="1"/>
  </r>
  <r>
    <s v="TXN_7741209"/>
    <x v="5"/>
    <x v="1"/>
    <s v="Item_3_MILK"/>
    <n v="8"/>
    <n v="6"/>
    <x v="136"/>
    <x v="2"/>
    <x v="1"/>
    <d v="2024-06-10T00:00:00"/>
    <b v="0"/>
  </r>
  <r>
    <s v="TXN_4077794"/>
    <x v="21"/>
    <x v="2"/>
    <s v="Item_23_BUT"/>
    <n v="38"/>
    <n v="2"/>
    <x v="31"/>
    <x v="2"/>
    <x v="1"/>
    <d v="2024-07-30T00:00:00"/>
    <b v="1"/>
  </r>
  <r>
    <s v="TXN_3292575"/>
    <x v="10"/>
    <x v="5"/>
    <s v="Item_16_FUR"/>
    <n v="27.5"/>
    <n v="5"/>
    <x v="185"/>
    <x v="1"/>
    <x v="0"/>
    <d v="2024-04-15T00:00:00"/>
    <b v="0"/>
  </r>
  <r>
    <s v="TXN_6959357"/>
    <x v="5"/>
    <x v="1"/>
    <s v="Item_6_MILK"/>
    <n v="12.5"/>
    <n v="4"/>
    <x v="97"/>
    <x v="2"/>
    <x v="1"/>
    <d v="2023-02-23T00:00:00"/>
    <b v="1"/>
  </r>
  <r>
    <s v="TXN_5532386"/>
    <x v="2"/>
    <x v="1"/>
    <s v="Item_13_MILK"/>
    <n v="23"/>
    <n v="7"/>
    <x v="106"/>
    <x v="1"/>
    <x v="0"/>
    <d v="2024-03-19T00:00:00"/>
    <b v="1"/>
  </r>
  <r>
    <s v="TXN_4242577"/>
    <x v="19"/>
    <x v="2"/>
    <s v="Item_25_BUT"/>
    <n v="41"/>
    <n v="5"/>
    <x v="132"/>
    <x v="2"/>
    <x v="0"/>
    <d v="2023-02-21T00:00:00"/>
    <b v="1"/>
  </r>
  <r>
    <s v="TXN_2251911"/>
    <x v="17"/>
    <x v="5"/>
    <s v="Item_20_FUR"/>
    <n v="33.5"/>
    <n v="9"/>
    <x v="170"/>
    <x v="0"/>
    <x v="1"/>
    <d v="2024-09-28T00:00:00"/>
    <b v="0"/>
  </r>
  <r>
    <s v="TXN_4034256"/>
    <x v="5"/>
    <x v="5"/>
    <s v="Item_11_FUR"/>
    <n v="20"/>
    <n v="6"/>
    <x v="75"/>
    <x v="0"/>
    <x v="0"/>
    <d v="2022-02-06T00:00:00"/>
    <b v="0"/>
  </r>
  <r>
    <s v="TXN_8491772"/>
    <x v="5"/>
    <x v="6"/>
    <s v="Item_23_EHE"/>
    <n v="38"/>
    <n v="3"/>
    <x v="90"/>
    <x v="2"/>
    <x v="0"/>
    <d v="2022-10-21T00:00:00"/>
    <b v="1"/>
  </r>
  <r>
    <s v="TXN_3348274"/>
    <x v="20"/>
    <x v="4"/>
    <s v="Item_20_FOOD"/>
    <n v="33.5"/>
    <n v="4"/>
    <x v="23"/>
    <x v="2"/>
    <x v="0"/>
    <d v="2022-03-24T00:00:00"/>
    <s v="Null"/>
  </r>
  <r>
    <s v="TXN_3986908"/>
    <x v="15"/>
    <x v="4"/>
    <s v="Item_4_FOOD"/>
    <n v="9.5"/>
    <n v="4"/>
    <x v="72"/>
    <x v="1"/>
    <x v="0"/>
    <d v="2024-10-27T00:00:00"/>
    <b v="1"/>
  </r>
  <r>
    <s v="TXN_6417831"/>
    <x v="1"/>
    <x v="7"/>
    <s v="Null"/>
    <n v="20"/>
    <s v="Null"/>
    <x v="7"/>
    <x v="1"/>
    <x v="1"/>
    <d v="2024-01-05T00:00:00"/>
    <b v="0"/>
  </r>
  <r>
    <s v="TXN_4848504"/>
    <x v="5"/>
    <x v="5"/>
    <s v="Item_12_FUR"/>
    <n v="21.5"/>
    <n v="4"/>
    <x v="208"/>
    <x v="1"/>
    <x v="0"/>
    <d v="2023-01-06T00:00:00"/>
    <b v="1"/>
  </r>
  <r>
    <s v="TXN_3238663"/>
    <x v="3"/>
    <x v="2"/>
    <s v="Item_8_BUT"/>
    <n v="15.5"/>
    <n v="3"/>
    <x v="36"/>
    <x v="2"/>
    <x v="1"/>
    <d v="2023-11-29T00:00:00"/>
    <b v="0"/>
  </r>
  <r>
    <s v="TXN_7461424"/>
    <x v="8"/>
    <x v="3"/>
    <s v="Null"/>
    <n v="27.5"/>
    <s v="Null"/>
    <x v="7"/>
    <x v="2"/>
    <x v="1"/>
    <d v="2024-11-23T00:00:00"/>
    <b v="1"/>
  </r>
  <r>
    <s v="TXN_7467332"/>
    <x v="10"/>
    <x v="5"/>
    <s v="Item_2_FUR"/>
    <n v="6.5"/>
    <n v="3"/>
    <x v="80"/>
    <x v="0"/>
    <x v="0"/>
    <d v="2022-04-19T00:00:00"/>
    <b v="0"/>
  </r>
  <r>
    <s v="TXN_4722486"/>
    <x v="14"/>
    <x v="5"/>
    <s v="Item_20_FUR"/>
    <n v="33.5"/>
    <n v="2"/>
    <x v="60"/>
    <x v="2"/>
    <x v="0"/>
    <d v="2023-12-11T00:00:00"/>
    <s v="Null"/>
  </r>
  <r>
    <s v="TXN_7434102"/>
    <x v="6"/>
    <x v="2"/>
    <s v="Item_20_BUT"/>
    <n v="33.5"/>
    <n v="7"/>
    <x v="205"/>
    <x v="2"/>
    <x v="0"/>
    <d v="2022-12-11T00:00:00"/>
    <s v="Null"/>
  </r>
  <r>
    <s v="TXN_2862297"/>
    <x v="20"/>
    <x v="2"/>
    <s v="Item_7_BUT"/>
    <n v="14"/>
    <n v="9"/>
    <x v="18"/>
    <x v="1"/>
    <x v="1"/>
    <d v="2022-09-08T00:00:00"/>
    <s v="Null"/>
  </r>
  <r>
    <s v="TXN_5498786"/>
    <x v="20"/>
    <x v="7"/>
    <s v="Item_25_CEA"/>
    <n v="41"/>
    <n v="7"/>
    <x v="30"/>
    <x v="1"/>
    <x v="1"/>
    <d v="2024-07-18T00:00:00"/>
    <s v="Null"/>
  </r>
  <r>
    <s v="TXN_2329223"/>
    <x v="10"/>
    <x v="4"/>
    <s v="Item_22_FOOD"/>
    <n v="36.5"/>
    <n v="10"/>
    <x v="52"/>
    <x v="1"/>
    <x v="0"/>
    <d v="2024-07-15T00:00:00"/>
    <s v="Null"/>
  </r>
  <r>
    <s v="TXN_7821157"/>
    <x v="20"/>
    <x v="7"/>
    <s v="Item_9_CEA"/>
    <n v="17"/>
    <n v="8"/>
    <x v="187"/>
    <x v="1"/>
    <x v="0"/>
    <d v="2022-08-22T00:00:00"/>
    <b v="1"/>
  </r>
  <r>
    <s v="TXN_1972761"/>
    <x v="7"/>
    <x v="0"/>
    <s v="Null"/>
    <s v="Null"/>
    <n v="10"/>
    <x v="40"/>
    <x v="1"/>
    <x v="1"/>
    <d v="2024-10-24T00:00:00"/>
    <s v="Null"/>
  </r>
  <r>
    <s v="TXN_5366697"/>
    <x v="12"/>
    <x v="1"/>
    <s v="Item_1_MILK"/>
    <n v="5"/>
    <n v="1"/>
    <x v="172"/>
    <x v="1"/>
    <x v="1"/>
    <d v="2023-07-25T00:00:00"/>
    <s v="Null"/>
  </r>
  <r>
    <s v="TXN_5510641"/>
    <x v="9"/>
    <x v="0"/>
    <s v="Item_17_PAT"/>
    <n v="29"/>
    <n v="3"/>
    <x v="206"/>
    <x v="2"/>
    <x v="0"/>
    <d v="2023-10-21T00:00:00"/>
    <b v="0"/>
  </r>
  <r>
    <s v="TXN_1608137"/>
    <x v="18"/>
    <x v="3"/>
    <s v="Item_11_BEV"/>
    <n v="20"/>
    <n v="8"/>
    <x v="64"/>
    <x v="2"/>
    <x v="0"/>
    <d v="2022-03-13T00:00:00"/>
    <s v="Null"/>
  </r>
  <r>
    <s v="TXN_1623314"/>
    <x v="18"/>
    <x v="0"/>
    <s v="Item_4_PAT"/>
    <n v="9.5"/>
    <n v="8"/>
    <x v="31"/>
    <x v="0"/>
    <x v="1"/>
    <d v="2024-12-26T00:00:00"/>
    <b v="0"/>
  </r>
  <r>
    <s v="TXN_9269245"/>
    <x v="5"/>
    <x v="2"/>
    <s v="Item_6_BUT"/>
    <n v="12.5"/>
    <n v="1"/>
    <x v="73"/>
    <x v="1"/>
    <x v="1"/>
    <d v="2024-12-15T00:00:00"/>
    <b v="1"/>
  </r>
  <r>
    <s v="TXN_8785418"/>
    <x v="5"/>
    <x v="0"/>
    <s v="Item_1_PAT"/>
    <n v="5"/>
    <n v="9"/>
    <x v="220"/>
    <x v="1"/>
    <x v="0"/>
    <d v="2023-02-12T00:00:00"/>
    <b v="1"/>
  </r>
  <r>
    <s v="TXN_8487838"/>
    <x v="16"/>
    <x v="7"/>
    <s v="Null"/>
    <s v="Null"/>
    <n v="4"/>
    <x v="168"/>
    <x v="0"/>
    <x v="0"/>
    <d v="2023-02-04T00:00:00"/>
    <s v="Null"/>
  </r>
  <r>
    <s v="TXN_8224848"/>
    <x v="18"/>
    <x v="7"/>
    <s v="Item_3_CEA"/>
    <n v="8"/>
    <n v="5"/>
    <x v="6"/>
    <x v="0"/>
    <x v="1"/>
    <d v="2022-12-18T00:00:00"/>
    <b v="1"/>
  </r>
  <r>
    <s v="TXN_6166688"/>
    <x v="17"/>
    <x v="0"/>
    <s v="Item_25_PAT"/>
    <n v="41"/>
    <n v="6"/>
    <x v="217"/>
    <x v="1"/>
    <x v="0"/>
    <d v="2023-09-29T00:00:00"/>
    <b v="1"/>
  </r>
  <r>
    <s v="TXN_9951016"/>
    <x v="8"/>
    <x v="0"/>
    <s v="Item_2_PAT"/>
    <n v="6.5"/>
    <n v="3"/>
    <x v="80"/>
    <x v="2"/>
    <x v="0"/>
    <d v="2022-02-01T00:00:00"/>
    <b v="0"/>
  </r>
  <r>
    <s v="TXN_4956767"/>
    <x v="17"/>
    <x v="5"/>
    <s v="Item_7_FUR"/>
    <n v="14"/>
    <n v="8"/>
    <x v="221"/>
    <x v="1"/>
    <x v="0"/>
    <d v="2023-03-19T00:00:00"/>
    <b v="0"/>
  </r>
  <r>
    <s v="TXN_4657003"/>
    <x v="3"/>
    <x v="2"/>
    <s v="Item_8_BUT"/>
    <n v="15.5"/>
    <n v="10"/>
    <x v="79"/>
    <x v="2"/>
    <x v="1"/>
    <d v="2024-07-05T00:00:00"/>
    <s v="Null"/>
  </r>
  <r>
    <s v="TXN_1392217"/>
    <x v="7"/>
    <x v="0"/>
    <s v="Item_8_PAT"/>
    <n v="15.5"/>
    <n v="9"/>
    <x v="89"/>
    <x v="0"/>
    <x v="0"/>
    <d v="2024-09-11T00:00:00"/>
    <b v="1"/>
  </r>
  <r>
    <s v="TXN_8507665"/>
    <x v="15"/>
    <x v="2"/>
    <s v="Item_18_BUT"/>
    <n v="30.5"/>
    <n v="8"/>
    <x v="163"/>
    <x v="0"/>
    <x v="0"/>
    <d v="2023-04-08T00:00:00"/>
    <b v="0"/>
  </r>
  <r>
    <s v="TXN_3147709"/>
    <x v="14"/>
    <x v="2"/>
    <s v="Item_2_BUT"/>
    <n v="6.5"/>
    <n v="1"/>
    <x v="128"/>
    <x v="1"/>
    <x v="0"/>
    <d v="2025-01-05T00:00:00"/>
    <s v="Null"/>
  </r>
  <r>
    <s v="TXN_4445756"/>
    <x v="10"/>
    <x v="0"/>
    <s v="Null"/>
    <s v="Null"/>
    <n v="4"/>
    <x v="222"/>
    <x v="1"/>
    <x v="1"/>
    <d v="2023-10-26T00:00:00"/>
    <s v="Null"/>
  </r>
  <r>
    <s v="TXN_7837225"/>
    <x v="21"/>
    <x v="5"/>
    <s v="Item_19_FUR"/>
    <n v="32"/>
    <n v="3"/>
    <x v="45"/>
    <x v="2"/>
    <x v="1"/>
    <d v="2023-09-08T00:00:00"/>
    <b v="1"/>
  </r>
  <r>
    <s v="TXN_6598320"/>
    <x v="3"/>
    <x v="4"/>
    <s v="Item_6_FOOD"/>
    <n v="12.5"/>
    <n v="4"/>
    <x v="97"/>
    <x v="0"/>
    <x v="0"/>
    <d v="2024-05-05T00:00:00"/>
    <b v="1"/>
  </r>
  <r>
    <s v="TXN_9170556"/>
    <x v="22"/>
    <x v="1"/>
    <s v="Item_1_MILK"/>
    <n v="5"/>
    <n v="7"/>
    <x v="113"/>
    <x v="2"/>
    <x v="1"/>
    <d v="2023-05-28T00:00:00"/>
    <b v="1"/>
  </r>
  <r>
    <s v="TXN_8863568"/>
    <x v="1"/>
    <x v="5"/>
    <s v="Item_21_FUR"/>
    <n v="35"/>
    <n v="2"/>
    <x v="63"/>
    <x v="0"/>
    <x v="0"/>
    <d v="2022-05-25T00:00:00"/>
    <b v="1"/>
  </r>
  <r>
    <s v="TXN_9077506"/>
    <x v="1"/>
    <x v="1"/>
    <s v="Item_13_MILK"/>
    <n v="23"/>
    <n v="1"/>
    <x v="17"/>
    <x v="1"/>
    <x v="0"/>
    <d v="2023-07-11T00:00:00"/>
    <b v="1"/>
  </r>
  <r>
    <s v="TXN_8678885"/>
    <x v="6"/>
    <x v="1"/>
    <s v="Item_3_MILK"/>
    <n v="8"/>
    <n v="6"/>
    <x v="136"/>
    <x v="2"/>
    <x v="1"/>
    <d v="2022-06-01T00:00:00"/>
    <s v="Null"/>
  </r>
  <r>
    <s v="TXN_1256115"/>
    <x v="18"/>
    <x v="7"/>
    <s v="Item_10_CEA"/>
    <n v="18.5"/>
    <n v="5"/>
    <x v="32"/>
    <x v="1"/>
    <x v="0"/>
    <d v="2024-11-25T00:00:00"/>
    <b v="1"/>
  </r>
  <r>
    <s v="TXN_6857566"/>
    <x v="7"/>
    <x v="7"/>
    <s v="Null"/>
    <s v="Null"/>
    <n v="2"/>
    <x v="103"/>
    <x v="1"/>
    <x v="1"/>
    <d v="2024-03-14T00:00:00"/>
    <b v="1"/>
  </r>
  <r>
    <s v="TXN_7425088"/>
    <x v="5"/>
    <x v="7"/>
    <s v="Item_19_CEA"/>
    <n v="32"/>
    <n v="5"/>
    <x v="64"/>
    <x v="1"/>
    <x v="1"/>
    <d v="2022-03-25T00:00:00"/>
    <b v="0"/>
  </r>
  <r>
    <s v="TXN_3757243"/>
    <x v="0"/>
    <x v="0"/>
    <s v="Item_11_PAT"/>
    <n v="20"/>
    <n v="10"/>
    <x v="5"/>
    <x v="2"/>
    <x v="1"/>
    <d v="2024-12-09T00:00:00"/>
    <b v="0"/>
  </r>
  <r>
    <s v="TXN_7634598"/>
    <x v="3"/>
    <x v="6"/>
    <s v="Item_8_EHE"/>
    <n v="15.5"/>
    <n v="7"/>
    <x v="82"/>
    <x v="2"/>
    <x v="1"/>
    <d v="2022-04-30T00:00:00"/>
    <s v="Null"/>
  </r>
  <r>
    <s v="TXN_8664749"/>
    <x v="23"/>
    <x v="1"/>
    <s v="Item_7_MILK"/>
    <n v="14"/>
    <n v="7"/>
    <x v="108"/>
    <x v="2"/>
    <x v="1"/>
    <d v="2024-08-17T00:00:00"/>
    <s v="Null"/>
  </r>
  <r>
    <s v="TXN_1011915"/>
    <x v="22"/>
    <x v="0"/>
    <s v="Item_19_PAT"/>
    <n v="32"/>
    <n v="10"/>
    <x v="58"/>
    <x v="1"/>
    <x v="1"/>
    <d v="2023-03-25T00:00:00"/>
    <b v="1"/>
  </r>
  <r>
    <s v="TXN_4693988"/>
    <x v="3"/>
    <x v="2"/>
    <s v="Item_13_BUT"/>
    <n v="23"/>
    <n v="10"/>
    <x v="195"/>
    <x v="2"/>
    <x v="0"/>
    <d v="2023-04-15T00:00:00"/>
    <s v="Null"/>
  </r>
  <r>
    <s v="TXN_5703677"/>
    <x v="7"/>
    <x v="2"/>
    <s v="Item_6_BUT"/>
    <n v="12.5"/>
    <n v="9"/>
    <x v="175"/>
    <x v="2"/>
    <x v="1"/>
    <d v="2022-09-13T00:00:00"/>
    <b v="0"/>
  </r>
  <r>
    <s v="TXN_7914914"/>
    <x v="21"/>
    <x v="0"/>
    <s v="Item_1_PAT"/>
    <n v="5"/>
    <n v="4"/>
    <x v="199"/>
    <x v="2"/>
    <x v="1"/>
    <d v="2025-01-04T00:00:00"/>
    <s v="Null"/>
  </r>
  <r>
    <s v="TXN_5598006"/>
    <x v="4"/>
    <x v="6"/>
    <s v="Item_13_EHE"/>
    <n v="23"/>
    <n v="5"/>
    <x v="156"/>
    <x v="2"/>
    <x v="1"/>
    <d v="2024-01-09T00:00:00"/>
    <b v="0"/>
  </r>
  <r>
    <s v="TXN_4438498"/>
    <x v="5"/>
    <x v="3"/>
    <s v="Item_14_BEV"/>
    <n v="24.5"/>
    <n v="5"/>
    <x v="173"/>
    <x v="1"/>
    <x v="0"/>
    <d v="2022-06-02T00:00:00"/>
    <b v="1"/>
  </r>
  <r>
    <s v="TXN_9898312"/>
    <x v="16"/>
    <x v="6"/>
    <s v="Item_16_EHE"/>
    <n v="27.5"/>
    <n v="7"/>
    <x v="41"/>
    <x v="1"/>
    <x v="0"/>
    <d v="2024-03-06T00:00:00"/>
    <b v="1"/>
  </r>
  <r>
    <s v="TXN_9410325"/>
    <x v="8"/>
    <x v="6"/>
    <s v="Item_15_EHE"/>
    <n v="26"/>
    <n v="9"/>
    <x v="48"/>
    <x v="0"/>
    <x v="0"/>
    <d v="2023-09-13T00:00:00"/>
    <s v="Null"/>
  </r>
  <r>
    <s v="TXN_7705441"/>
    <x v="8"/>
    <x v="1"/>
    <s v="Null"/>
    <n v="26"/>
    <s v="Null"/>
    <x v="7"/>
    <x v="0"/>
    <x v="0"/>
    <d v="2022-02-27T00:00:00"/>
    <b v="0"/>
  </r>
  <r>
    <s v="TXN_2914395"/>
    <x v="21"/>
    <x v="7"/>
    <s v="Item_6_CEA"/>
    <n v="12.5"/>
    <n v="2"/>
    <x v="96"/>
    <x v="1"/>
    <x v="0"/>
    <d v="2022-12-26T00:00:00"/>
    <b v="1"/>
  </r>
  <r>
    <s v="TXN_8624505"/>
    <x v="21"/>
    <x v="4"/>
    <s v="Null"/>
    <s v="Null"/>
    <n v="9"/>
    <x v="159"/>
    <x v="2"/>
    <x v="1"/>
    <d v="2023-09-15T00:00:00"/>
    <b v="1"/>
  </r>
  <r>
    <s v="TXN_4104691"/>
    <x v="16"/>
    <x v="3"/>
    <s v="Item_9_BEV"/>
    <n v="17"/>
    <n v="7"/>
    <x v="83"/>
    <x v="0"/>
    <x v="0"/>
    <d v="2024-05-23T00:00:00"/>
    <s v="Null"/>
  </r>
  <r>
    <s v="TXN_7557655"/>
    <x v="20"/>
    <x v="5"/>
    <s v="Item_20_FUR"/>
    <n v="33.5"/>
    <n v="8"/>
    <x v="154"/>
    <x v="1"/>
    <x v="0"/>
    <d v="2022-04-04T00:00:00"/>
    <s v="Null"/>
  </r>
  <r>
    <s v="TXN_9637396"/>
    <x v="21"/>
    <x v="6"/>
    <s v="Null"/>
    <n v="21.5"/>
    <s v="Null"/>
    <x v="7"/>
    <x v="2"/>
    <x v="0"/>
    <d v="2024-09-04T00:00:00"/>
    <s v="Null"/>
  </r>
  <r>
    <s v="TXN_2192964"/>
    <x v="11"/>
    <x v="4"/>
    <s v="Item_9_FOOD"/>
    <n v="17"/>
    <n v="7"/>
    <x v="83"/>
    <x v="0"/>
    <x v="1"/>
    <d v="2022-01-29T00:00:00"/>
    <b v="0"/>
  </r>
  <r>
    <s v="TXN_5157703"/>
    <x v="11"/>
    <x v="6"/>
    <s v="Item_1_EHE"/>
    <n v="5"/>
    <n v="10"/>
    <x v="97"/>
    <x v="2"/>
    <x v="1"/>
    <d v="2022-08-30T00:00:00"/>
    <b v="1"/>
  </r>
  <r>
    <s v="TXN_9861104"/>
    <x v="2"/>
    <x v="6"/>
    <s v="Item_23_EHE"/>
    <n v="38"/>
    <n v="1"/>
    <x v="72"/>
    <x v="1"/>
    <x v="1"/>
    <d v="2024-05-01T00:00:00"/>
    <b v="0"/>
  </r>
  <r>
    <s v="TXN_5135315"/>
    <x v="8"/>
    <x v="5"/>
    <s v="Item_1_FUR"/>
    <n v="5"/>
    <n v="5"/>
    <x v="96"/>
    <x v="1"/>
    <x v="0"/>
    <d v="2022-03-12T00:00:00"/>
    <s v="Null"/>
  </r>
  <r>
    <s v="TXN_2641403"/>
    <x v="14"/>
    <x v="5"/>
    <s v="Item_1_FUR"/>
    <n v="5"/>
    <n v="3"/>
    <x v="99"/>
    <x v="0"/>
    <x v="0"/>
    <d v="2022-07-12T00:00:00"/>
    <b v="1"/>
  </r>
  <r>
    <s v="TXN_8263646"/>
    <x v="4"/>
    <x v="2"/>
    <s v="Item_20_BUT"/>
    <n v="33.5"/>
    <n v="4"/>
    <x v="23"/>
    <x v="2"/>
    <x v="1"/>
    <d v="2022-11-15T00:00:00"/>
    <b v="0"/>
  </r>
  <r>
    <s v="TXN_3609446"/>
    <x v="12"/>
    <x v="2"/>
    <s v="Item_3_BUT"/>
    <n v="8"/>
    <n v="9"/>
    <x v="10"/>
    <x v="0"/>
    <x v="1"/>
    <d v="2022-12-27T00:00:00"/>
    <s v="Null"/>
  </r>
  <r>
    <s v="TXN_1713611"/>
    <x v="23"/>
    <x v="6"/>
    <s v="Item_16_EHE"/>
    <n v="27.5"/>
    <n v="1"/>
    <x v="8"/>
    <x v="0"/>
    <x v="0"/>
    <d v="2024-09-14T00:00:00"/>
    <b v="1"/>
  </r>
  <r>
    <s v="TXN_2843259"/>
    <x v="23"/>
    <x v="0"/>
    <s v="Null"/>
    <s v="Null"/>
    <n v="1"/>
    <x v="8"/>
    <x v="0"/>
    <x v="1"/>
    <d v="2023-03-25T00:00:00"/>
    <b v="1"/>
  </r>
  <r>
    <s v="TXN_6957171"/>
    <x v="22"/>
    <x v="2"/>
    <s v="Item_23_BUT"/>
    <n v="38"/>
    <n v="7"/>
    <x v="152"/>
    <x v="2"/>
    <x v="0"/>
    <d v="2024-05-20T00:00:00"/>
    <s v="Null"/>
  </r>
  <r>
    <s v="TXN_2266101"/>
    <x v="10"/>
    <x v="0"/>
    <s v="Item_19_PAT"/>
    <n v="32"/>
    <n v="2"/>
    <x v="155"/>
    <x v="0"/>
    <x v="1"/>
    <d v="2024-01-29T00:00:00"/>
    <b v="0"/>
  </r>
  <r>
    <s v="TXN_5083807"/>
    <x v="0"/>
    <x v="2"/>
    <s v="Item_10_BUT"/>
    <n v="18.5"/>
    <n v="4"/>
    <x v="131"/>
    <x v="2"/>
    <x v="0"/>
    <d v="2023-01-03T00:00:00"/>
    <s v="Null"/>
  </r>
  <r>
    <s v="TXN_8359203"/>
    <x v="20"/>
    <x v="6"/>
    <s v="Item_9_EHE"/>
    <n v="17"/>
    <n v="9"/>
    <x v="189"/>
    <x v="1"/>
    <x v="1"/>
    <d v="2023-10-30T00:00:00"/>
    <s v="Null"/>
  </r>
  <r>
    <s v="TXN_1814138"/>
    <x v="3"/>
    <x v="3"/>
    <s v="Item_25_BEV"/>
    <n v="41"/>
    <n v="10"/>
    <x v="24"/>
    <x v="1"/>
    <x v="1"/>
    <d v="2024-11-16T00:00:00"/>
    <s v="Null"/>
  </r>
  <r>
    <s v="TXN_3278532"/>
    <x v="5"/>
    <x v="5"/>
    <s v="Null"/>
    <s v="Null"/>
    <n v="9"/>
    <x v="3"/>
    <x v="2"/>
    <x v="1"/>
    <d v="2025-01-12T00:00:00"/>
    <b v="0"/>
  </r>
  <r>
    <s v="TXN_5044125"/>
    <x v="2"/>
    <x v="5"/>
    <s v="Item_25_FUR"/>
    <n v="41"/>
    <n v="7"/>
    <x v="30"/>
    <x v="0"/>
    <x v="0"/>
    <d v="2024-01-30T00:00:00"/>
    <s v="Null"/>
  </r>
  <r>
    <s v="TXN_2880856"/>
    <x v="16"/>
    <x v="0"/>
    <s v="Item_13_PAT"/>
    <n v="23"/>
    <n v="4"/>
    <x v="162"/>
    <x v="1"/>
    <x v="1"/>
    <d v="2024-02-15T00:00:00"/>
    <b v="0"/>
  </r>
  <r>
    <s v="TXN_6337676"/>
    <x v="5"/>
    <x v="5"/>
    <s v="Item_5_FUR"/>
    <n v="11"/>
    <n v="9"/>
    <x v="149"/>
    <x v="0"/>
    <x v="1"/>
    <d v="2023-02-28T00:00:00"/>
    <s v="Null"/>
  </r>
  <r>
    <s v="TXN_1909279"/>
    <x v="13"/>
    <x v="6"/>
    <s v="Null"/>
    <n v="24.5"/>
    <s v="Null"/>
    <x v="7"/>
    <x v="1"/>
    <x v="0"/>
    <d v="2024-06-12T00:00:00"/>
    <b v="1"/>
  </r>
  <r>
    <s v="TXN_8948224"/>
    <x v="19"/>
    <x v="4"/>
    <s v="Item_11_FOOD"/>
    <n v="20"/>
    <n v="10"/>
    <x v="5"/>
    <x v="1"/>
    <x v="0"/>
    <d v="2023-03-14T00:00:00"/>
    <b v="0"/>
  </r>
  <r>
    <s v="TXN_8431366"/>
    <x v="19"/>
    <x v="2"/>
    <s v="Item_25_BUT"/>
    <n v="41"/>
    <n v="9"/>
    <x v="138"/>
    <x v="1"/>
    <x v="0"/>
    <d v="2024-01-01T00:00:00"/>
    <s v="Null"/>
  </r>
  <r>
    <s v="TXN_6311622"/>
    <x v="11"/>
    <x v="5"/>
    <s v="Item_17_FUR"/>
    <n v="29"/>
    <n v="7"/>
    <x v="202"/>
    <x v="1"/>
    <x v="1"/>
    <d v="2023-11-30T00:00:00"/>
    <b v="1"/>
  </r>
  <r>
    <s v="TXN_4879594"/>
    <x v="9"/>
    <x v="5"/>
    <s v="Item_15_FUR"/>
    <n v="26"/>
    <n v="9"/>
    <x v="48"/>
    <x v="0"/>
    <x v="0"/>
    <d v="2023-12-26T00:00:00"/>
    <b v="0"/>
  </r>
  <r>
    <s v="TXN_4274209"/>
    <x v="12"/>
    <x v="3"/>
    <s v="Item_10_BEV"/>
    <n v="18.5"/>
    <n v="9"/>
    <x v="219"/>
    <x v="2"/>
    <x v="0"/>
    <d v="2024-11-19T00:00:00"/>
    <b v="0"/>
  </r>
  <r>
    <s v="TXN_6178045"/>
    <x v="3"/>
    <x v="4"/>
    <s v="Item_6_FOOD"/>
    <n v="12.5"/>
    <n v="1"/>
    <x v="73"/>
    <x v="1"/>
    <x v="0"/>
    <d v="2024-02-03T00:00:00"/>
    <b v="0"/>
  </r>
  <r>
    <s v="TXN_7893748"/>
    <x v="23"/>
    <x v="3"/>
    <s v="Item_12_BEV"/>
    <n v="21.5"/>
    <n v="5"/>
    <x v="38"/>
    <x v="2"/>
    <x v="0"/>
    <d v="2022-06-06T00:00:00"/>
    <s v="Null"/>
  </r>
  <r>
    <s v="TXN_1929919"/>
    <x v="6"/>
    <x v="2"/>
    <s v="Item_7_BUT"/>
    <n v="14"/>
    <n v="6"/>
    <x v="57"/>
    <x v="2"/>
    <x v="1"/>
    <d v="2023-07-27T00:00:00"/>
    <s v="Null"/>
  </r>
  <r>
    <s v="TXN_4250712"/>
    <x v="23"/>
    <x v="1"/>
    <s v="Item_11_MILK"/>
    <n v="20"/>
    <n v="5"/>
    <x v="27"/>
    <x v="1"/>
    <x v="0"/>
    <d v="2022-10-17T00:00:00"/>
    <s v="Null"/>
  </r>
  <r>
    <s v="TXN_8568584"/>
    <x v="9"/>
    <x v="2"/>
    <s v="Item_20_BUT"/>
    <n v="33.5"/>
    <n v="4"/>
    <x v="23"/>
    <x v="2"/>
    <x v="0"/>
    <d v="2024-09-25T00:00:00"/>
    <b v="0"/>
  </r>
  <r>
    <s v="TXN_3512388"/>
    <x v="9"/>
    <x v="5"/>
    <s v="Null"/>
    <s v="Null"/>
    <n v="10"/>
    <x v="134"/>
    <x v="0"/>
    <x v="1"/>
    <d v="2024-03-30T00:00:00"/>
    <s v="Null"/>
  </r>
  <r>
    <s v="TXN_5518578"/>
    <x v="3"/>
    <x v="6"/>
    <s v="Item_19_EHE"/>
    <n v="32"/>
    <n v="6"/>
    <x v="91"/>
    <x v="2"/>
    <x v="1"/>
    <d v="2022-09-15T00:00:00"/>
    <b v="0"/>
  </r>
  <r>
    <s v="TXN_3665861"/>
    <x v="7"/>
    <x v="5"/>
    <s v="Item_18_FUR"/>
    <n v="30.5"/>
    <n v="1"/>
    <x v="209"/>
    <x v="1"/>
    <x v="0"/>
    <d v="2023-01-30T00:00:00"/>
    <s v="Null"/>
  </r>
  <r>
    <s v="TXN_6625191"/>
    <x v="1"/>
    <x v="3"/>
    <s v="Item_14_BEV"/>
    <n v="24.5"/>
    <n v="8"/>
    <x v="28"/>
    <x v="0"/>
    <x v="0"/>
    <d v="2022-05-23T00:00:00"/>
    <b v="0"/>
  </r>
  <r>
    <s v="TXN_2259360"/>
    <x v="8"/>
    <x v="6"/>
    <s v="Item_12_EHE"/>
    <n v="21.5"/>
    <n v="6"/>
    <x v="169"/>
    <x v="0"/>
    <x v="1"/>
    <d v="2022-02-17T00:00:00"/>
    <b v="0"/>
  </r>
  <r>
    <s v="TXN_4732308"/>
    <x v="9"/>
    <x v="1"/>
    <s v="Item_13_MILK"/>
    <n v="23"/>
    <n v="4"/>
    <x v="162"/>
    <x v="1"/>
    <x v="1"/>
    <d v="2022-11-28T00:00:00"/>
    <s v="Null"/>
  </r>
  <r>
    <s v="TXN_5276201"/>
    <x v="17"/>
    <x v="7"/>
    <s v="Item_21_CEA"/>
    <n v="35"/>
    <n v="7"/>
    <x v="25"/>
    <x v="0"/>
    <x v="1"/>
    <d v="2023-03-24T00:00:00"/>
    <b v="1"/>
  </r>
  <r>
    <s v="TXN_8905154"/>
    <x v="0"/>
    <x v="2"/>
    <s v="Null"/>
    <s v="Null"/>
    <n v="5"/>
    <x v="156"/>
    <x v="1"/>
    <x v="1"/>
    <d v="2022-10-24T00:00:00"/>
    <s v="Null"/>
  </r>
  <r>
    <s v="TXN_4785966"/>
    <x v="0"/>
    <x v="6"/>
    <s v="Item_10_EHE"/>
    <n v="18.5"/>
    <n v="1"/>
    <x v="21"/>
    <x v="0"/>
    <x v="1"/>
    <d v="2022-09-11T00:00:00"/>
    <b v="1"/>
  </r>
  <r>
    <s v="TXN_8377286"/>
    <x v="22"/>
    <x v="6"/>
    <s v="Item_15_EHE"/>
    <n v="26"/>
    <n v="5"/>
    <x v="223"/>
    <x v="1"/>
    <x v="1"/>
    <d v="2024-06-25T00:00:00"/>
    <b v="0"/>
  </r>
  <r>
    <s v="TXN_2789621"/>
    <x v="4"/>
    <x v="1"/>
    <s v="Item_25_MILK"/>
    <n v="41"/>
    <n v="3"/>
    <x v="121"/>
    <x v="0"/>
    <x v="1"/>
    <d v="2023-07-15T00:00:00"/>
    <b v="0"/>
  </r>
  <r>
    <s v="TXN_5084402"/>
    <x v="19"/>
    <x v="2"/>
    <s v="Item_22_BUT"/>
    <n v="36.5"/>
    <n v="1"/>
    <x v="104"/>
    <x v="2"/>
    <x v="1"/>
    <d v="2024-04-06T00:00:00"/>
    <s v="Null"/>
  </r>
  <r>
    <s v="TXN_8578826"/>
    <x v="23"/>
    <x v="7"/>
    <s v="Item_9_CEA"/>
    <n v="17"/>
    <n v="3"/>
    <x v="192"/>
    <x v="0"/>
    <x v="0"/>
    <d v="2024-08-15T00:00:00"/>
    <b v="0"/>
  </r>
  <r>
    <s v="TXN_9979595"/>
    <x v="9"/>
    <x v="2"/>
    <s v="Item_22_BUT"/>
    <n v="36.5"/>
    <n v="4"/>
    <x v="61"/>
    <x v="0"/>
    <x v="0"/>
    <d v="2023-03-02T00:00:00"/>
    <s v="Null"/>
  </r>
  <r>
    <s v="TXN_4285730"/>
    <x v="11"/>
    <x v="0"/>
    <s v="Item_24_PAT"/>
    <n v="39.5"/>
    <n v="6"/>
    <x v="13"/>
    <x v="2"/>
    <x v="0"/>
    <d v="2022-01-14T00:00:00"/>
    <s v="Null"/>
  </r>
  <r>
    <s v="TXN_9212341"/>
    <x v="2"/>
    <x v="2"/>
    <s v="Item_13_BUT"/>
    <n v="23"/>
    <n v="9"/>
    <x v="159"/>
    <x v="1"/>
    <x v="1"/>
    <d v="2023-08-23T00:00:00"/>
    <b v="0"/>
  </r>
  <r>
    <s v="TXN_1587097"/>
    <x v="24"/>
    <x v="7"/>
    <s v="Item_16_CEA"/>
    <n v="27.5"/>
    <n v="10"/>
    <x v="16"/>
    <x v="2"/>
    <x v="1"/>
    <d v="2024-02-25T00:00:00"/>
    <b v="0"/>
  </r>
  <r>
    <s v="TXN_3636688"/>
    <x v="7"/>
    <x v="0"/>
    <s v="Item_14_PAT"/>
    <n v="24.5"/>
    <n v="8"/>
    <x v="28"/>
    <x v="1"/>
    <x v="0"/>
    <d v="2025-01-05T00:00:00"/>
    <b v="0"/>
  </r>
  <r>
    <s v="TXN_1534681"/>
    <x v="17"/>
    <x v="4"/>
    <s v="Null"/>
    <n v="24.5"/>
    <s v="Null"/>
    <x v="7"/>
    <x v="1"/>
    <x v="1"/>
    <d v="2023-01-11T00:00:00"/>
    <b v="0"/>
  </r>
  <r>
    <s v="TXN_8824415"/>
    <x v="13"/>
    <x v="7"/>
    <s v="Item_10_CEA"/>
    <n v="18.5"/>
    <n v="4"/>
    <x v="131"/>
    <x v="1"/>
    <x v="1"/>
    <d v="2023-06-11T00:00:00"/>
    <s v="Null"/>
  </r>
  <r>
    <s v="TXN_8423309"/>
    <x v="22"/>
    <x v="7"/>
    <s v="Item_3_CEA"/>
    <n v="8"/>
    <n v="9"/>
    <x v="10"/>
    <x v="1"/>
    <x v="0"/>
    <d v="2022-05-30T00:00:00"/>
    <b v="0"/>
  </r>
  <r>
    <s v="TXN_5634366"/>
    <x v="23"/>
    <x v="0"/>
    <s v="Item_19_PAT"/>
    <n v="32"/>
    <n v="2"/>
    <x v="155"/>
    <x v="2"/>
    <x v="0"/>
    <d v="2023-06-12T00:00:00"/>
    <s v="Null"/>
  </r>
  <r>
    <s v="TXN_1770062"/>
    <x v="4"/>
    <x v="5"/>
    <s v="Item_25_FUR"/>
    <n v="41"/>
    <n v="2"/>
    <x v="65"/>
    <x v="2"/>
    <x v="1"/>
    <d v="2023-02-28T00:00:00"/>
    <b v="1"/>
  </r>
  <r>
    <s v="TXN_4344002"/>
    <x v="5"/>
    <x v="3"/>
    <s v="Item_11_BEV"/>
    <n v="20"/>
    <n v="3"/>
    <x v="120"/>
    <x v="1"/>
    <x v="0"/>
    <d v="2023-09-28T00:00:00"/>
    <b v="0"/>
  </r>
  <r>
    <s v="TXN_4161318"/>
    <x v="6"/>
    <x v="6"/>
    <s v="Item_13_EHE"/>
    <n v="23"/>
    <n v="7"/>
    <x v="106"/>
    <x v="1"/>
    <x v="0"/>
    <d v="2023-08-18T00:00:00"/>
    <b v="0"/>
  </r>
  <r>
    <s v="TXN_2718523"/>
    <x v="8"/>
    <x v="6"/>
    <s v="Item_15_EHE"/>
    <n v="26"/>
    <n v="5"/>
    <x v="223"/>
    <x v="1"/>
    <x v="1"/>
    <d v="2024-08-27T00:00:00"/>
    <s v="Null"/>
  </r>
  <r>
    <s v="TXN_8660754"/>
    <x v="12"/>
    <x v="7"/>
    <s v="Item_9_CEA"/>
    <n v="17"/>
    <n v="2"/>
    <x v="213"/>
    <x v="0"/>
    <x v="1"/>
    <d v="2022-03-24T00:00:00"/>
    <b v="1"/>
  </r>
  <r>
    <s v="TXN_5283643"/>
    <x v="2"/>
    <x v="3"/>
    <s v="Item_24_BEV"/>
    <n v="39.5"/>
    <n v="8"/>
    <x v="49"/>
    <x v="2"/>
    <x v="0"/>
    <d v="2023-07-09T00:00:00"/>
    <b v="1"/>
  </r>
  <r>
    <s v="TXN_5401680"/>
    <x v="6"/>
    <x v="6"/>
    <s v="Item_11_EHE"/>
    <n v="20"/>
    <n v="9"/>
    <x v="51"/>
    <x v="2"/>
    <x v="1"/>
    <d v="2023-01-23T00:00:00"/>
    <b v="0"/>
  </r>
  <r>
    <s v="TXN_6203639"/>
    <x v="20"/>
    <x v="3"/>
    <s v="Item_19_BEV"/>
    <n v="32"/>
    <n v="5"/>
    <x v="64"/>
    <x v="0"/>
    <x v="0"/>
    <d v="2022-06-07T00:00:00"/>
    <s v="Null"/>
  </r>
  <r>
    <s v="TXN_6461094"/>
    <x v="21"/>
    <x v="3"/>
    <s v="Item_2_BEV"/>
    <n v="6.5"/>
    <n v="3"/>
    <x v="80"/>
    <x v="2"/>
    <x v="1"/>
    <d v="2024-04-04T00:00:00"/>
    <b v="1"/>
  </r>
  <r>
    <s v="TXN_8217860"/>
    <x v="14"/>
    <x v="7"/>
    <s v="Item_17_CEA"/>
    <n v="29"/>
    <n v="10"/>
    <x v="62"/>
    <x v="1"/>
    <x v="1"/>
    <d v="2022-07-23T00:00:00"/>
    <s v="Null"/>
  </r>
  <r>
    <s v="TXN_2411071"/>
    <x v="11"/>
    <x v="6"/>
    <s v="Item_25_EHE"/>
    <n v="41"/>
    <n v="4"/>
    <x v="222"/>
    <x v="2"/>
    <x v="1"/>
    <d v="2023-11-28T00:00:00"/>
    <b v="0"/>
  </r>
  <r>
    <s v="TXN_1898388"/>
    <x v="11"/>
    <x v="1"/>
    <s v="Item_19_MILK"/>
    <n v="32"/>
    <n v="8"/>
    <x v="193"/>
    <x v="1"/>
    <x v="1"/>
    <d v="2023-09-22T00:00:00"/>
    <b v="0"/>
  </r>
  <r>
    <s v="TXN_1787892"/>
    <x v="18"/>
    <x v="4"/>
    <s v="Item_10_FOOD"/>
    <n v="18.5"/>
    <n v="6"/>
    <x v="102"/>
    <x v="0"/>
    <x v="0"/>
    <d v="2022-11-10T00:00:00"/>
    <b v="1"/>
  </r>
  <r>
    <s v="TXN_2031813"/>
    <x v="19"/>
    <x v="2"/>
    <s v="Null"/>
    <s v="Null"/>
    <n v="1"/>
    <x v="128"/>
    <x v="1"/>
    <x v="0"/>
    <d v="2024-07-11T00:00:00"/>
    <b v="1"/>
  </r>
  <r>
    <s v="TXN_1426923"/>
    <x v="5"/>
    <x v="4"/>
    <s v="Item_18_FOOD"/>
    <n v="30.5"/>
    <n v="5"/>
    <x v="129"/>
    <x v="2"/>
    <x v="1"/>
    <d v="2022-04-10T00:00:00"/>
    <b v="1"/>
  </r>
  <r>
    <s v="TXN_7988578"/>
    <x v="7"/>
    <x v="2"/>
    <s v="Item_22_BUT"/>
    <n v="36.5"/>
    <n v="7"/>
    <x v="34"/>
    <x v="1"/>
    <x v="1"/>
    <d v="2023-01-18T00:00:00"/>
    <b v="1"/>
  </r>
  <r>
    <s v="TXN_7642752"/>
    <x v="12"/>
    <x v="7"/>
    <s v="Item_2_CEA"/>
    <n v="6.5"/>
    <n v="10"/>
    <x v="140"/>
    <x v="2"/>
    <x v="0"/>
    <d v="2025-01-15T00:00:00"/>
    <b v="0"/>
  </r>
  <r>
    <s v="TXN_5676229"/>
    <x v="16"/>
    <x v="4"/>
    <s v="Item_13_FOOD"/>
    <n v="23"/>
    <n v="2"/>
    <x v="103"/>
    <x v="1"/>
    <x v="0"/>
    <d v="2022-02-21T00:00:00"/>
    <b v="1"/>
  </r>
  <r>
    <s v="TXN_2515470"/>
    <x v="5"/>
    <x v="4"/>
    <s v="Null"/>
    <n v="8"/>
    <s v="Null"/>
    <x v="7"/>
    <x v="1"/>
    <x v="0"/>
    <d v="2023-09-20T00:00:00"/>
    <s v="Null"/>
  </r>
  <r>
    <s v="TXN_4235666"/>
    <x v="4"/>
    <x v="5"/>
    <s v="Item_18_FUR"/>
    <n v="30.5"/>
    <n v="8"/>
    <x v="163"/>
    <x v="1"/>
    <x v="0"/>
    <d v="2022-05-19T00:00:00"/>
    <b v="0"/>
  </r>
  <r>
    <s v="TXN_6576597"/>
    <x v="24"/>
    <x v="7"/>
    <s v="Item_10_CEA"/>
    <n v="18.5"/>
    <n v="9"/>
    <x v="219"/>
    <x v="2"/>
    <x v="0"/>
    <d v="2023-02-09T00:00:00"/>
    <s v="Null"/>
  </r>
  <r>
    <s v="TXN_2823534"/>
    <x v="3"/>
    <x v="4"/>
    <s v="Item_3_FOOD"/>
    <n v="8"/>
    <n v="1"/>
    <x v="37"/>
    <x v="0"/>
    <x v="1"/>
    <d v="2024-03-28T00:00:00"/>
    <s v="Null"/>
  </r>
  <r>
    <s v="TXN_7633119"/>
    <x v="4"/>
    <x v="6"/>
    <s v="Item_13_EHE"/>
    <n v="23"/>
    <n v="9"/>
    <x v="159"/>
    <x v="2"/>
    <x v="0"/>
    <d v="2022-03-01T00:00:00"/>
    <b v="1"/>
  </r>
  <r>
    <s v="TXN_8110567"/>
    <x v="2"/>
    <x v="3"/>
    <s v="Null"/>
    <n v="33.5"/>
    <s v="Null"/>
    <x v="7"/>
    <x v="0"/>
    <x v="1"/>
    <d v="2022-04-12T00:00:00"/>
    <b v="1"/>
  </r>
  <r>
    <s v="TXN_3833413"/>
    <x v="2"/>
    <x v="2"/>
    <s v="Item_4_BUT"/>
    <n v="9.5"/>
    <n v="5"/>
    <x v="70"/>
    <x v="1"/>
    <x v="1"/>
    <d v="2023-03-20T00:00:00"/>
    <b v="0"/>
  </r>
  <r>
    <s v="TXN_7085000"/>
    <x v="12"/>
    <x v="6"/>
    <s v="Item_5_EHE"/>
    <n v="11"/>
    <n v="8"/>
    <x v="93"/>
    <x v="2"/>
    <x v="0"/>
    <d v="2022-07-23T00:00:00"/>
    <b v="1"/>
  </r>
  <r>
    <s v="TXN_9925623"/>
    <x v="8"/>
    <x v="3"/>
    <s v="Item_25_BEV"/>
    <n v="41"/>
    <n v="4"/>
    <x v="222"/>
    <x v="1"/>
    <x v="0"/>
    <d v="2022-08-20T00:00:00"/>
    <b v="0"/>
  </r>
  <r>
    <s v="TXN_6287957"/>
    <x v="12"/>
    <x v="2"/>
    <s v="Item_16_BUT"/>
    <n v="27.5"/>
    <n v="5"/>
    <x v="185"/>
    <x v="1"/>
    <x v="0"/>
    <d v="2023-06-19T00:00:00"/>
    <b v="1"/>
  </r>
  <r>
    <s v="TXN_9187149"/>
    <x v="16"/>
    <x v="2"/>
    <s v="Item_24_BUT"/>
    <n v="39.5"/>
    <n v="6"/>
    <x v="13"/>
    <x v="2"/>
    <x v="1"/>
    <d v="2022-01-13T00:00:00"/>
    <s v="Null"/>
  </r>
  <r>
    <s v="TXN_7166849"/>
    <x v="13"/>
    <x v="5"/>
    <s v="Item_8_FUR"/>
    <n v="15.5"/>
    <n v="7"/>
    <x v="82"/>
    <x v="1"/>
    <x v="0"/>
    <d v="2023-10-15T00:00:00"/>
    <b v="1"/>
  </r>
  <r>
    <s v="TXN_7189749"/>
    <x v="23"/>
    <x v="2"/>
    <s v="Item_10_BUT"/>
    <n v="18.5"/>
    <n v="6"/>
    <x v="102"/>
    <x v="2"/>
    <x v="0"/>
    <d v="2022-07-17T00:00:00"/>
    <s v="Null"/>
  </r>
  <r>
    <s v="TXN_3818660"/>
    <x v="19"/>
    <x v="4"/>
    <s v="Item_12_FOOD"/>
    <n v="21.5"/>
    <n v="4"/>
    <x v="208"/>
    <x v="2"/>
    <x v="1"/>
    <d v="2024-12-13T00:00:00"/>
    <b v="0"/>
  </r>
  <r>
    <s v="TXN_3470552"/>
    <x v="19"/>
    <x v="5"/>
    <s v="Item_23_FUR"/>
    <n v="38"/>
    <n v="10"/>
    <x v="87"/>
    <x v="0"/>
    <x v="0"/>
    <d v="2024-03-09T00:00:00"/>
    <b v="0"/>
  </r>
  <r>
    <s v="TXN_2848606"/>
    <x v="6"/>
    <x v="6"/>
    <s v="Item_20_EHE"/>
    <n v="33.5"/>
    <n v="6"/>
    <x v="204"/>
    <x v="2"/>
    <x v="1"/>
    <d v="2022-12-20T00:00:00"/>
    <s v="Null"/>
  </r>
  <r>
    <s v="TXN_8262433"/>
    <x v="1"/>
    <x v="7"/>
    <s v="Item_5_CEA"/>
    <n v="11"/>
    <n v="10"/>
    <x v="134"/>
    <x v="1"/>
    <x v="0"/>
    <d v="2023-09-18T00:00:00"/>
    <b v="0"/>
  </r>
  <r>
    <s v="TXN_5376341"/>
    <x v="22"/>
    <x v="4"/>
    <s v="Item_9_FOOD"/>
    <n v="17"/>
    <n v="6"/>
    <x v="180"/>
    <x v="1"/>
    <x v="0"/>
    <d v="2022-02-22T00:00:00"/>
    <s v="Null"/>
  </r>
  <r>
    <s v="TXN_7829206"/>
    <x v="7"/>
    <x v="2"/>
    <s v="Item_8_BUT"/>
    <n v="15.5"/>
    <n v="1"/>
    <x v="144"/>
    <x v="2"/>
    <x v="0"/>
    <d v="2024-12-05T00:00:00"/>
    <b v="1"/>
  </r>
  <r>
    <s v="TXN_4107798"/>
    <x v="8"/>
    <x v="7"/>
    <s v="Item_18_CEA"/>
    <n v="30.5"/>
    <n v="6"/>
    <x v="76"/>
    <x v="2"/>
    <x v="0"/>
    <d v="2022-09-08T00:00:00"/>
    <s v="Null"/>
  </r>
  <r>
    <s v="TXN_9922518"/>
    <x v="17"/>
    <x v="4"/>
    <s v="Item_22_FOOD"/>
    <n v="36.5"/>
    <n v="9"/>
    <x v="166"/>
    <x v="2"/>
    <x v="0"/>
    <d v="2023-07-30T00:00:00"/>
    <b v="1"/>
  </r>
  <r>
    <s v="TXN_9250241"/>
    <x v="4"/>
    <x v="3"/>
    <s v="Item_10_BEV"/>
    <n v="18.5"/>
    <n v="1"/>
    <x v="21"/>
    <x v="2"/>
    <x v="0"/>
    <d v="2024-11-17T00:00:00"/>
    <b v="1"/>
  </r>
  <r>
    <s v="TXN_3499525"/>
    <x v="2"/>
    <x v="3"/>
    <s v="Null"/>
    <n v="15.5"/>
    <s v="Null"/>
    <x v="7"/>
    <x v="0"/>
    <x v="0"/>
    <d v="2024-02-16T00:00:00"/>
    <s v="Null"/>
  </r>
  <r>
    <s v="TXN_9218611"/>
    <x v="12"/>
    <x v="1"/>
    <s v="Item_7_MILK"/>
    <n v="14"/>
    <n v="8"/>
    <x v="221"/>
    <x v="0"/>
    <x v="0"/>
    <d v="2023-12-16T00:00:00"/>
    <b v="0"/>
  </r>
  <r>
    <s v="TXN_2165118"/>
    <x v="20"/>
    <x v="4"/>
    <s v="Item_17_FOOD"/>
    <n v="29"/>
    <n v="6"/>
    <x v="211"/>
    <x v="2"/>
    <x v="1"/>
    <d v="2023-11-28T00:00:00"/>
    <b v="0"/>
  </r>
  <r>
    <s v="TXN_1096977"/>
    <x v="5"/>
    <x v="4"/>
    <s v="Null"/>
    <s v="Null"/>
    <n v="9"/>
    <x v="159"/>
    <x v="2"/>
    <x v="1"/>
    <d v="2024-12-07T00:00:00"/>
    <b v="0"/>
  </r>
  <r>
    <s v="TXN_1772882"/>
    <x v="10"/>
    <x v="2"/>
    <s v="Item_11_BUT"/>
    <n v="20"/>
    <n v="9"/>
    <x v="51"/>
    <x v="0"/>
    <x v="1"/>
    <d v="2023-12-18T00:00:00"/>
    <b v="1"/>
  </r>
  <r>
    <s v="TXN_8988049"/>
    <x v="12"/>
    <x v="1"/>
    <s v="Null"/>
    <n v="8"/>
    <s v="Null"/>
    <x v="7"/>
    <x v="0"/>
    <x v="1"/>
    <d v="2023-06-27T00:00:00"/>
    <b v="0"/>
  </r>
  <r>
    <s v="TXN_7477131"/>
    <x v="10"/>
    <x v="0"/>
    <s v="Item_7_PAT"/>
    <n v="14"/>
    <n v="3"/>
    <x v="46"/>
    <x v="2"/>
    <x v="0"/>
    <d v="2024-09-29T00:00:00"/>
    <b v="1"/>
  </r>
  <r>
    <s v="TXN_9887959"/>
    <x v="23"/>
    <x v="3"/>
    <s v="Null"/>
    <n v="21.5"/>
    <s v="Null"/>
    <x v="7"/>
    <x v="2"/>
    <x v="0"/>
    <d v="2023-08-09T00:00:00"/>
    <b v="1"/>
  </r>
  <r>
    <s v="TXN_3499898"/>
    <x v="19"/>
    <x v="5"/>
    <s v="Item_20_FUR"/>
    <n v="33.5"/>
    <n v="3"/>
    <x v="115"/>
    <x v="1"/>
    <x v="0"/>
    <d v="2024-03-28T00:00:00"/>
    <s v="Null"/>
  </r>
  <r>
    <s v="TXN_9017628"/>
    <x v="21"/>
    <x v="4"/>
    <s v="Null"/>
    <s v="Null"/>
    <n v="5"/>
    <x v="14"/>
    <x v="1"/>
    <x v="1"/>
    <d v="2022-10-10T00:00:00"/>
    <b v="0"/>
  </r>
  <r>
    <s v="TXN_3294951"/>
    <x v="21"/>
    <x v="4"/>
    <s v="Item_5_FOOD"/>
    <n v="11"/>
    <n v="10"/>
    <x v="134"/>
    <x v="2"/>
    <x v="1"/>
    <d v="2023-09-15T00:00:00"/>
    <b v="0"/>
  </r>
  <r>
    <s v="TXN_9568940"/>
    <x v="23"/>
    <x v="0"/>
    <s v="Item_12_PAT"/>
    <n v="21.5"/>
    <n v="5"/>
    <x v="38"/>
    <x v="2"/>
    <x v="0"/>
    <d v="2025-01-02T00:00:00"/>
    <b v="0"/>
  </r>
  <r>
    <s v="TXN_2508784"/>
    <x v="2"/>
    <x v="3"/>
    <s v="Item_8_BEV"/>
    <n v="15.5"/>
    <n v="7"/>
    <x v="82"/>
    <x v="1"/>
    <x v="0"/>
    <d v="2024-08-29T00:00:00"/>
    <b v="1"/>
  </r>
  <r>
    <s v="TXN_9196494"/>
    <x v="8"/>
    <x v="6"/>
    <s v="Item_25_EHE"/>
    <n v="41"/>
    <n v="5"/>
    <x v="132"/>
    <x v="1"/>
    <x v="1"/>
    <d v="2024-12-28T00:00:00"/>
    <b v="1"/>
  </r>
  <r>
    <s v="TXN_5928440"/>
    <x v="21"/>
    <x v="5"/>
    <s v="Item_14_FUR"/>
    <n v="24.5"/>
    <n v="2"/>
    <x v="22"/>
    <x v="0"/>
    <x v="1"/>
    <d v="2022-04-29T00:00:00"/>
    <s v="Null"/>
  </r>
  <r>
    <s v="TXN_3264150"/>
    <x v="21"/>
    <x v="1"/>
    <s v="Item_4_MILK"/>
    <n v="9.5"/>
    <n v="10"/>
    <x v="186"/>
    <x v="1"/>
    <x v="0"/>
    <d v="2023-03-24T00:00:00"/>
    <s v="Null"/>
  </r>
  <r>
    <s v="TXN_5298533"/>
    <x v="24"/>
    <x v="4"/>
    <s v="Item_6_FOOD"/>
    <n v="12.5"/>
    <n v="8"/>
    <x v="27"/>
    <x v="2"/>
    <x v="0"/>
    <d v="2023-11-24T00:00:00"/>
    <b v="1"/>
  </r>
  <r>
    <s v="TXN_4777165"/>
    <x v="17"/>
    <x v="1"/>
    <s v="Item_3_MILK"/>
    <n v="8"/>
    <n v="1"/>
    <x v="37"/>
    <x v="2"/>
    <x v="1"/>
    <d v="2022-06-01T00:00:00"/>
    <b v="1"/>
  </r>
  <r>
    <s v="TXN_7109246"/>
    <x v="14"/>
    <x v="2"/>
    <s v="Null"/>
    <s v="Null"/>
    <n v="8"/>
    <x v="155"/>
    <x v="2"/>
    <x v="0"/>
    <d v="2022-03-11T00:00:00"/>
    <b v="0"/>
  </r>
  <r>
    <s v="TXN_5616762"/>
    <x v="14"/>
    <x v="2"/>
    <s v="Null"/>
    <s v="Null"/>
    <n v="8"/>
    <x v="54"/>
    <x v="1"/>
    <x v="0"/>
    <d v="2022-01-24T00:00:00"/>
    <b v="1"/>
  </r>
  <r>
    <s v="TXN_1231953"/>
    <x v="15"/>
    <x v="7"/>
    <s v="Item_9_CEA"/>
    <n v="17"/>
    <n v="8"/>
    <x v="187"/>
    <x v="0"/>
    <x v="0"/>
    <d v="2024-02-16T00:00:00"/>
    <b v="0"/>
  </r>
  <r>
    <s v="TXN_7547051"/>
    <x v="7"/>
    <x v="4"/>
    <s v="Item_25_FOOD"/>
    <n v="41"/>
    <n v="3"/>
    <x v="121"/>
    <x v="0"/>
    <x v="1"/>
    <d v="2024-09-24T00:00:00"/>
    <b v="0"/>
  </r>
  <r>
    <s v="TXN_4162114"/>
    <x v="20"/>
    <x v="4"/>
    <s v="Item_12_FOOD"/>
    <n v="21.5"/>
    <n v="5"/>
    <x v="38"/>
    <x v="2"/>
    <x v="0"/>
    <d v="2023-05-02T00:00:00"/>
    <b v="0"/>
  </r>
  <r>
    <s v="TXN_1995311"/>
    <x v="7"/>
    <x v="0"/>
    <s v="Null"/>
    <n v="38"/>
    <s v="Null"/>
    <x v="7"/>
    <x v="2"/>
    <x v="1"/>
    <d v="2024-05-16T00:00:00"/>
    <b v="0"/>
  </r>
  <r>
    <s v="TXN_4999688"/>
    <x v="16"/>
    <x v="7"/>
    <s v="Item_12_CEA"/>
    <n v="21.5"/>
    <n v="7"/>
    <x v="133"/>
    <x v="1"/>
    <x v="1"/>
    <d v="2023-01-13T00:00:00"/>
    <s v="Null"/>
  </r>
  <r>
    <s v="TXN_4874732"/>
    <x v="23"/>
    <x v="2"/>
    <s v="Item_25_BUT"/>
    <n v="41"/>
    <n v="5"/>
    <x v="132"/>
    <x v="2"/>
    <x v="0"/>
    <d v="2022-10-04T00:00:00"/>
    <b v="1"/>
  </r>
  <r>
    <s v="TXN_9981851"/>
    <x v="24"/>
    <x v="5"/>
    <s v="Item_25_FUR"/>
    <n v="41"/>
    <n v="9"/>
    <x v="138"/>
    <x v="0"/>
    <x v="0"/>
    <d v="2024-11-27T00:00:00"/>
    <s v="Null"/>
  </r>
  <r>
    <s v="TXN_5086683"/>
    <x v="2"/>
    <x v="5"/>
    <s v="Item_7_FUR"/>
    <n v="14"/>
    <n v="1"/>
    <x v="66"/>
    <x v="0"/>
    <x v="0"/>
    <d v="2024-10-13T00:00:00"/>
    <b v="0"/>
  </r>
  <r>
    <s v="TXN_7021336"/>
    <x v="8"/>
    <x v="3"/>
    <s v="Item_3_BEV"/>
    <n v="8"/>
    <n v="10"/>
    <x v="40"/>
    <x v="0"/>
    <x v="0"/>
    <d v="2022-07-03T00:00:00"/>
    <b v="1"/>
  </r>
  <r>
    <s v="TXN_2059563"/>
    <x v="10"/>
    <x v="7"/>
    <s v="Item_12_CEA"/>
    <n v="21.5"/>
    <n v="5"/>
    <x v="38"/>
    <x v="0"/>
    <x v="0"/>
    <d v="2024-07-23T00:00:00"/>
    <b v="1"/>
  </r>
  <r>
    <s v="TXN_1497345"/>
    <x v="10"/>
    <x v="5"/>
    <s v="Item_14_FUR"/>
    <n v="24.5"/>
    <n v="8"/>
    <x v="28"/>
    <x v="2"/>
    <x v="0"/>
    <d v="2022-01-05T00:00:00"/>
    <b v="1"/>
  </r>
  <r>
    <s v="TXN_2024330"/>
    <x v="2"/>
    <x v="0"/>
    <s v="Item_23_PAT"/>
    <n v="38"/>
    <n v="9"/>
    <x v="179"/>
    <x v="1"/>
    <x v="0"/>
    <d v="2024-06-29T00:00:00"/>
    <s v="Null"/>
  </r>
  <r>
    <s v="TXN_1277309"/>
    <x v="23"/>
    <x v="7"/>
    <s v="Item_7_CEA"/>
    <n v="14"/>
    <n v="9"/>
    <x v="18"/>
    <x v="1"/>
    <x v="1"/>
    <d v="2023-06-01T00:00:00"/>
    <b v="0"/>
  </r>
  <r>
    <s v="TXN_6956313"/>
    <x v="14"/>
    <x v="3"/>
    <s v="Item_2_BEV"/>
    <n v="6.5"/>
    <n v="10"/>
    <x v="140"/>
    <x v="2"/>
    <x v="1"/>
    <d v="2023-09-04T00:00:00"/>
    <s v="Null"/>
  </r>
  <r>
    <s v="TXN_2334740"/>
    <x v="8"/>
    <x v="6"/>
    <s v="Item_8_EHE"/>
    <n v="15.5"/>
    <n v="2"/>
    <x v="148"/>
    <x v="1"/>
    <x v="1"/>
    <d v="2022-11-11T00:00:00"/>
    <s v="Null"/>
  </r>
  <r>
    <s v="TXN_3803930"/>
    <x v="7"/>
    <x v="6"/>
    <s v="Item_22_EHE"/>
    <n v="36.5"/>
    <n v="5"/>
    <x v="26"/>
    <x v="0"/>
    <x v="0"/>
    <d v="2025-01-14T00:00:00"/>
    <b v="1"/>
  </r>
  <r>
    <s v="TXN_3514548"/>
    <x v="16"/>
    <x v="6"/>
    <s v="Item_25_EHE"/>
    <n v="41"/>
    <n v="1"/>
    <x v="78"/>
    <x v="1"/>
    <x v="1"/>
    <d v="2024-04-05T00:00:00"/>
    <b v="0"/>
  </r>
  <r>
    <s v="TXN_8322817"/>
    <x v="7"/>
    <x v="0"/>
    <s v="Null"/>
    <s v="Null"/>
    <n v="8"/>
    <x v="88"/>
    <x v="0"/>
    <x v="1"/>
    <d v="2022-06-15T00:00:00"/>
    <s v="Null"/>
  </r>
  <r>
    <s v="TXN_2706063"/>
    <x v="10"/>
    <x v="2"/>
    <s v="Item_12_BUT"/>
    <n v="21.5"/>
    <n v="4"/>
    <x v="208"/>
    <x v="2"/>
    <x v="0"/>
    <d v="2022-09-10T00:00:00"/>
    <b v="0"/>
  </r>
  <r>
    <s v="TXN_8914114"/>
    <x v="22"/>
    <x v="1"/>
    <s v="Null"/>
    <s v="Null"/>
    <n v="8"/>
    <x v="221"/>
    <x v="0"/>
    <x v="1"/>
    <d v="2023-09-22T00:00:00"/>
    <b v="1"/>
  </r>
  <r>
    <s v="TXN_3426280"/>
    <x v="23"/>
    <x v="7"/>
    <s v="Item_12_CEA"/>
    <n v="21.5"/>
    <n v="5"/>
    <x v="38"/>
    <x v="0"/>
    <x v="1"/>
    <d v="2024-02-28T00:00:00"/>
    <s v="Null"/>
  </r>
  <r>
    <s v="TXN_1465531"/>
    <x v="18"/>
    <x v="1"/>
    <s v="Item_2_MILK"/>
    <n v="6.5"/>
    <n v="10"/>
    <x v="140"/>
    <x v="1"/>
    <x v="1"/>
    <d v="2024-07-03T00:00:00"/>
    <b v="1"/>
  </r>
  <r>
    <s v="TXN_2677539"/>
    <x v="10"/>
    <x v="4"/>
    <s v="Null"/>
    <n v="39.5"/>
    <s v="Null"/>
    <x v="7"/>
    <x v="2"/>
    <x v="1"/>
    <d v="2022-08-31T00:00:00"/>
    <b v="0"/>
  </r>
  <r>
    <s v="TXN_8355918"/>
    <x v="8"/>
    <x v="6"/>
    <s v="Item_6_EHE"/>
    <n v="12.5"/>
    <n v="1"/>
    <x v="73"/>
    <x v="0"/>
    <x v="1"/>
    <d v="2024-06-03T00:00:00"/>
    <s v="Null"/>
  </r>
  <r>
    <s v="TXN_6666458"/>
    <x v="6"/>
    <x v="5"/>
    <s v="Item_24_FUR"/>
    <n v="39.5"/>
    <n v="2"/>
    <x v="190"/>
    <x v="0"/>
    <x v="1"/>
    <d v="2023-03-29T00:00:00"/>
    <b v="0"/>
  </r>
  <r>
    <s v="TXN_9941031"/>
    <x v="4"/>
    <x v="0"/>
    <s v="Item_5_PAT"/>
    <n v="11"/>
    <n v="5"/>
    <x v="14"/>
    <x v="1"/>
    <x v="1"/>
    <d v="2023-04-14T00:00:00"/>
    <b v="0"/>
  </r>
  <r>
    <s v="TXN_8295482"/>
    <x v="7"/>
    <x v="6"/>
    <s v="Item_20_EHE"/>
    <n v="33.5"/>
    <n v="3"/>
    <x v="115"/>
    <x v="2"/>
    <x v="0"/>
    <d v="2022-11-09T00:00:00"/>
    <s v="Null"/>
  </r>
  <r>
    <s v="TXN_5747894"/>
    <x v="9"/>
    <x v="3"/>
    <s v="Item_7_BEV"/>
    <n v="14"/>
    <n v="6"/>
    <x v="57"/>
    <x v="1"/>
    <x v="0"/>
    <d v="2024-09-25T00:00:00"/>
    <b v="0"/>
  </r>
  <r>
    <s v="TXN_8420316"/>
    <x v="5"/>
    <x v="4"/>
    <s v="Item_14_FOOD"/>
    <n v="24.5"/>
    <n v="7"/>
    <x v="198"/>
    <x v="0"/>
    <x v="1"/>
    <d v="2024-02-21T00:00:00"/>
    <s v="Null"/>
  </r>
  <r>
    <s v="TXN_8847569"/>
    <x v="22"/>
    <x v="6"/>
    <s v="Item_21_EHE"/>
    <n v="35"/>
    <n v="5"/>
    <x v="137"/>
    <x v="2"/>
    <x v="1"/>
    <d v="2023-07-19T00:00:00"/>
    <b v="1"/>
  </r>
  <r>
    <s v="TXN_1662766"/>
    <x v="16"/>
    <x v="1"/>
    <s v="Item_16_MILK"/>
    <n v="27.5"/>
    <n v="2"/>
    <x v="14"/>
    <x v="0"/>
    <x v="0"/>
    <d v="2024-05-19T00:00:00"/>
    <b v="0"/>
  </r>
  <r>
    <s v="TXN_6276011"/>
    <x v="10"/>
    <x v="2"/>
    <s v="Item_22_BUT"/>
    <n v="36.5"/>
    <n v="4"/>
    <x v="61"/>
    <x v="2"/>
    <x v="0"/>
    <d v="2022-06-10T00:00:00"/>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18B2D2-4E6E-40FA-9CDA-00EECA1A964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B51" firstHeaderRow="1" firstDataRow="1" firstDataCol="1"/>
  <pivotFields count="11">
    <pivotField showAll="0"/>
    <pivotField axis="axisRow" showAll="0">
      <items count="26">
        <item x="12"/>
        <item x="2"/>
        <item x="24"/>
        <item x="14"/>
        <item x="4"/>
        <item x="3"/>
        <item x="5"/>
        <item x="17"/>
        <item x="0"/>
        <item x="13"/>
        <item x="20"/>
        <item x="19"/>
        <item x="15"/>
        <item x="9"/>
        <item x="10"/>
        <item x="22"/>
        <item x="11"/>
        <item x="16"/>
        <item x="21"/>
        <item x="18"/>
        <item x="6"/>
        <item x="1"/>
        <item x="7"/>
        <item x="23"/>
        <item x="8"/>
        <item t="default"/>
      </items>
    </pivotField>
    <pivotField showAll="0"/>
    <pivotField showAll="0"/>
    <pivotField showAll="0"/>
    <pivotField showAll="0"/>
    <pivotField dataField="1" showAll="0"/>
    <pivotField showAll="0"/>
    <pivotField showAll="0"/>
    <pivotField numFmtId="14"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Total Spent"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F8E71A-2ED1-4C96-9BA3-519154C8614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23" firstHeaderRow="1" firstDataRow="1" firstDataCol="1"/>
  <pivotFields count="11">
    <pivotField showAll="0"/>
    <pivotField showAll="0"/>
    <pivotField showAll="0"/>
    <pivotField showAll="0"/>
    <pivotField showAll="0"/>
    <pivotField showAll="0"/>
    <pivotField showAll="0"/>
    <pivotField axis="axisRow" showAll="0">
      <items count="4">
        <item x="2"/>
        <item x="1"/>
        <item x="0"/>
        <item t="default"/>
      </items>
    </pivotField>
    <pivotField showAll="0"/>
    <pivotField numFmtId="14" showAll="0"/>
    <pivotField dataField="1" showAll="0"/>
  </pivotFields>
  <rowFields count="1">
    <field x="7"/>
  </rowFields>
  <rowItems count="4">
    <i>
      <x/>
    </i>
    <i>
      <x v="1"/>
    </i>
    <i>
      <x v="2"/>
    </i>
    <i t="grand">
      <x/>
    </i>
  </rowItems>
  <colItems count="1">
    <i/>
  </colItems>
  <dataFields count="1">
    <dataField name="Count of Discount Applied" fld="1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95C71A-E03D-4961-A475-1E45BA141A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B17" firstHeaderRow="1" firstDataRow="1" firstDataCol="1"/>
  <pivotFields count="11">
    <pivotField showAll="0"/>
    <pivotField showAll="0"/>
    <pivotField showAll="0"/>
    <pivotField showAll="0"/>
    <pivotField showAll="0"/>
    <pivotField showAll="0"/>
    <pivotField showAll="0"/>
    <pivotField dataField="1" showAll="0">
      <items count="4">
        <item x="2"/>
        <item x="1"/>
        <item x="0"/>
        <item t="default"/>
      </items>
    </pivotField>
    <pivotField axis="axisRow" showAll="0">
      <items count="3">
        <item x="1"/>
        <item x="0"/>
        <item t="default"/>
      </items>
    </pivotField>
    <pivotField numFmtId="14" showAll="0"/>
    <pivotField showAll="0"/>
  </pivotFields>
  <rowFields count="1">
    <field x="8"/>
  </rowFields>
  <rowItems count="3">
    <i>
      <x/>
    </i>
    <i>
      <x v="1"/>
    </i>
    <i t="grand">
      <x/>
    </i>
  </rowItems>
  <colItems count="1">
    <i/>
  </colItems>
  <dataFields count="1">
    <dataField name="Count of Payment Method" fld="7"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412EC3-054A-41C1-9B6C-04352A0F49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11">
    <pivotField showAll="0"/>
    <pivotField showAll="0"/>
    <pivotField axis="axisRow" showAll="0">
      <items count="9">
        <item x="3"/>
        <item x="2"/>
        <item x="7"/>
        <item x="6"/>
        <item x="4"/>
        <item x="5"/>
        <item x="1"/>
        <item x="0"/>
        <item t="default"/>
      </items>
    </pivotField>
    <pivotField showAll="0"/>
    <pivotField showAll="0"/>
    <pivotField showAll="0"/>
    <pivotField dataField="1" showAll="0">
      <items count="225">
        <item x="172"/>
        <item x="128"/>
        <item x="37"/>
        <item x="116"/>
        <item x="117"/>
        <item x="47"/>
        <item x="73"/>
        <item x="66"/>
        <item x="99"/>
        <item x="144"/>
        <item x="165"/>
        <item x="21"/>
        <item x="135"/>
        <item x="80"/>
        <item x="199"/>
        <item x="147"/>
        <item x="212"/>
        <item x="17"/>
        <item x="101"/>
        <item x="145"/>
        <item x="96"/>
        <item x="107"/>
        <item x="8"/>
        <item x="178"/>
        <item x="69"/>
        <item x="153"/>
        <item x="56"/>
        <item x="209"/>
        <item x="148"/>
        <item x="86"/>
        <item x="98"/>
        <item x="81"/>
        <item x="100"/>
        <item x="213"/>
        <item x="113"/>
        <item x="104"/>
        <item x="139"/>
        <item x="72"/>
        <item x="53"/>
        <item x="164"/>
        <item x="6"/>
        <item x="78"/>
        <item x="46"/>
        <item x="2"/>
        <item x="168"/>
        <item x="220"/>
        <item x="12"/>
        <item x="103"/>
        <item x="36"/>
        <item x="70"/>
        <item x="136"/>
        <item x="22"/>
        <item x="97"/>
        <item x="192"/>
        <item x="11"/>
        <item x="14"/>
        <item x="127"/>
        <item x="207"/>
        <item x="171"/>
        <item x="200"/>
        <item x="151"/>
        <item x="120"/>
        <item x="125"/>
        <item x="85"/>
        <item x="105"/>
        <item x="155"/>
        <item x="157"/>
        <item x="140"/>
        <item x="43"/>
        <item x="20"/>
        <item x="60"/>
        <item x="176"/>
        <item x="124"/>
        <item x="63"/>
        <item x="10"/>
        <item x="122"/>
        <item x="131"/>
        <item x="216"/>
        <item x="31"/>
        <item x="181"/>
        <item x="142"/>
        <item x="191"/>
        <item x="190"/>
        <item x="40"/>
        <item x="65"/>
        <item x="50"/>
        <item x="57"/>
        <item x="109"/>
        <item x="210"/>
        <item x="208"/>
        <item x="206"/>
        <item x="4"/>
        <item x="93"/>
        <item x="111"/>
        <item x="162"/>
        <item x="32"/>
        <item x="112"/>
        <item x="186"/>
        <item x="45"/>
        <item x="108"/>
        <item x="149"/>
        <item x="27"/>
        <item x="115"/>
        <item x="180"/>
        <item x="203"/>
        <item x="19"/>
        <item x="38"/>
        <item x="82"/>
        <item x="9"/>
        <item x="134"/>
        <item x="102"/>
        <item x="221"/>
        <item x="175"/>
        <item x="90"/>
        <item x="156"/>
        <item x="126"/>
        <item x="130"/>
        <item x="83"/>
        <item x="75"/>
        <item x="55"/>
        <item x="173"/>
        <item x="121"/>
        <item x="68"/>
        <item x="183"/>
        <item x="18"/>
        <item x="150"/>
        <item x="169"/>
        <item x="143"/>
        <item x="223"/>
        <item x="23"/>
        <item x="187"/>
        <item x="185"/>
        <item x="118"/>
        <item x="89"/>
        <item x="74"/>
        <item x="188"/>
        <item x="61"/>
        <item x="146"/>
        <item x="182"/>
        <item x="133"/>
        <item x="194"/>
        <item x="129"/>
        <item x="189"/>
        <item x="79"/>
        <item x="214"/>
        <item x="95"/>
        <item x="64"/>
        <item x="106"/>
        <item x="222"/>
        <item x="39"/>
        <item x="219"/>
        <item x="92"/>
        <item x="141"/>
        <item x="198"/>
        <item x="54"/>
        <item x="211"/>
        <item x="137"/>
        <item x="51"/>
        <item x="167"/>
        <item x="26"/>
        <item x="76"/>
        <item x="197"/>
        <item x="0"/>
        <item x="33"/>
        <item x="91"/>
        <item x="41"/>
        <item x="71"/>
        <item x="28"/>
        <item x="123"/>
        <item x="5"/>
        <item x="204"/>
        <item x="202"/>
        <item x="132"/>
        <item x="159"/>
        <item x="114"/>
        <item x="184"/>
        <item x="201"/>
        <item x="44"/>
        <item x="59"/>
        <item x="174"/>
        <item x="218"/>
        <item x="160"/>
        <item x="110"/>
        <item x="195"/>
        <item x="15"/>
        <item x="48"/>
        <item x="205"/>
        <item x="13"/>
        <item x="163"/>
        <item x="25"/>
        <item x="217"/>
        <item x="3"/>
        <item x="34"/>
        <item x="193"/>
        <item x="158"/>
        <item x="1"/>
        <item x="152"/>
        <item x="154"/>
        <item x="196"/>
        <item x="16"/>
        <item x="35"/>
        <item x="84"/>
        <item x="30"/>
        <item x="119"/>
        <item x="62"/>
        <item x="177"/>
        <item x="170"/>
        <item x="88"/>
        <item x="77"/>
        <item x="29"/>
        <item x="49"/>
        <item x="58"/>
        <item x="161"/>
        <item x="166"/>
        <item x="42"/>
        <item x="179"/>
        <item x="215"/>
        <item x="67"/>
        <item x="52"/>
        <item x="138"/>
        <item x="87"/>
        <item x="94"/>
        <item x="24"/>
        <item x="7"/>
        <item t="default"/>
      </items>
    </pivotField>
    <pivotField showAll="0"/>
    <pivotField showAll="0">
      <items count="3">
        <item x="1"/>
        <item x="0"/>
        <item t="default"/>
      </items>
    </pivotField>
    <pivotField numFmtId="14" showAll="0"/>
    <pivotField showAll="0"/>
  </pivotFields>
  <rowFields count="1">
    <field x="2"/>
  </rowFields>
  <rowItems count="9">
    <i>
      <x/>
    </i>
    <i>
      <x v="1"/>
    </i>
    <i>
      <x v="2"/>
    </i>
    <i>
      <x v="3"/>
    </i>
    <i>
      <x v="4"/>
    </i>
    <i>
      <x v="5"/>
    </i>
    <i>
      <x v="6"/>
    </i>
    <i>
      <x v="7"/>
    </i>
    <i t="grand">
      <x/>
    </i>
  </rowItems>
  <colItems count="1">
    <i/>
  </colItems>
  <dataFields count="1">
    <dataField name="Sum of Total Spent" fld="6"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05241D-CAFB-4B81-9436-7807524D2A6F}" sourceName="Category">
  <pivotTables>
    <pivotTable tabId="4" name="PivotTable1"/>
  </pivotTables>
  <data>
    <tabular pivotCacheId="143423792">
      <items count="8">
        <i x="3" s="1"/>
        <i x="2" s="1"/>
        <i x="7" s="1"/>
        <i x="6" s="1"/>
        <i x="4"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AB53A6D8-7261-4B4C-8426-E2C36C3FA973}" sourceName="Location">
  <pivotTables>
    <pivotTable tabId="4" name="PivotTable1"/>
  </pivotTables>
  <data>
    <tabular pivotCacheId="14342379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8C0849B-DDAD-4369-BD08-6E2F7E7D55D3}" cache="Slicer_Category" caption="Category" rowHeight="234950"/>
  <slicer name="Location" xr10:uid="{DC3C22C5-2E61-435E-860D-6233BE81739A}" cache="Slicer_Location" caption="Lo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40CE8D-8A5C-41DA-B9FE-81BF0D016C89}" name="Table1" displayName="Table1" ref="A1:K1000" totalsRowShown="0" headerRowDxfId="13" dataDxfId="12">
  <autoFilter ref="A1:K1000" xr:uid="{C040CE8D-8A5C-41DA-B9FE-81BF0D016C89}"/>
  <tableColumns count="11">
    <tableColumn id="1" xr3:uid="{7D2185A4-2D58-431D-BBFF-FBC37C6737A5}" name="Transaction ID" dataDxfId="11"/>
    <tableColumn id="2" xr3:uid="{A70168FC-FDA5-4202-A3B7-064632B5336A}" name="Customer ID" dataDxfId="10"/>
    <tableColumn id="3" xr3:uid="{80F97A90-9AE6-4FC4-95BC-DEB7B734AA62}" name="Category" dataDxfId="9"/>
    <tableColumn id="4" xr3:uid="{89B9CA38-F1C2-428D-A7B9-4C0539C63B34}" name="Item" dataDxfId="8"/>
    <tableColumn id="5" xr3:uid="{0CFCFBBB-BBC7-4B8C-A2A4-C6B674A05669}" name="Price Per Unit" dataDxfId="7"/>
    <tableColumn id="6" xr3:uid="{F609FD1F-92A9-4E2C-9096-52F3654A8AF4}" name="Quantity" dataDxfId="6"/>
    <tableColumn id="7" xr3:uid="{A81EEFB4-659F-4FAF-B4B5-0951F4CDAFA9}" name="Total Spent" dataDxfId="5"/>
    <tableColumn id="8" xr3:uid="{0211849F-F572-49FE-B3A4-4AAD4182F677}" name="Payment Method" dataDxfId="4"/>
    <tableColumn id="9" xr3:uid="{0E89627F-F204-4614-8632-E7ACA8EC1DA1}" name="Location" dataDxfId="3"/>
    <tableColumn id="10" xr3:uid="{1E2F75D4-ABE8-4444-ABD6-D18CB4F4B122}" name="Transaction Date" dataDxfId="2"/>
    <tableColumn id="11" xr3:uid="{4B4EE5EE-EB9C-45E5-A45D-9CAABFE9F292}" name="Discount Applied"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AE16EF-9B92-4F32-88C4-E106D4DC7ED2}" name="Table2" displayName="Table2" ref="M1:N2" totalsRowShown="0">
  <autoFilter ref="M1:N2" xr:uid="{A2AE16EF-9B92-4F32-88C4-E106D4DC7ED2}"/>
  <tableColumns count="2">
    <tableColumn id="1" xr3:uid="{9872CD85-7E3E-42CD-A15F-BB4E4CA1A00F}" name="Sum">
      <calculatedColumnFormula>SUM(G:G)</calculatedColumnFormula>
    </tableColumn>
    <tableColumn id="2" xr3:uid="{45282335-6AF7-48C2-9654-28AABA2AFF5B}" name="Average">
      <calculatedColumnFormula>AVERAGE(G:G)</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8B37D2-F0EE-4C98-AFE2-3C8DE1FAA967}" name="Table3" displayName="Table3" ref="M5:N13" totalsRowShown="0">
  <autoFilter ref="M5:N13" xr:uid="{0D8B37D2-F0EE-4C98-AFE2-3C8DE1FAA967}"/>
  <tableColumns count="2">
    <tableColumn id="1" xr3:uid="{A70A31F0-AC8C-44C8-BF5E-03E11EEAA994}" name="Category" dataDxfId="0"/>
    <tableColumn id="2" xr3:uid="{4712DAC1-38FB-4EE8-8FB0-06B0D6A685F7}" name="sum">
      <calculatedColumnFormula>SUMIF(C:C,"food",G:G)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BDBD6-D37C-4FBF-8BEB-73246E229104}">
  <dimension ref="A1:K12576"/>
  <sheetViews>
    <sheetView workbookViewId="0">
      <selection activeCell="G17" sqref="G17"/>
    </sheetView>
  </sheetViews>
  <sheetFormatPr defaultRowHeight="14.4" x14ac:dyDescent="0.3"/>
  <cols>
    <col min="1" max="1" width="13.88671875" customWidth="1"/>
    <col min="2" max="2" width="10.5546875" customWidth="1"/>
    <col min="3" max="3" width="30.21875" customWidth="1"/>
    <col min="4" max="4" width="13.6640625" customWidth="1"/>
    <col min="5" max="5" width="12.77734375" customWidth="1"/>
    <col min="6" max="6" width="9.109375" customWidth="1"/>
    <col min="7" max="7" width="10.21875" customWidth="1"/>
    <col min="8" max="8" width="15.5546875" customWidth="1"/>
    <col min="10" max="10" width="14.88671875" customWidth="1"/>
    <col min="11" max="11" width="14.3320312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v>18.5</v>
      </c>
      <c r="F2">
        <v>10</v>
      </c>
      <c r="G2">
        <v>185</v>
      </c>
      <c r="H2" t="s">
        <v>15</v>
      </c>
      <c r="I2" t="s">
        <v>16</v>
      </c>
      <c r="J2" s="1">
        <v>45390</v>
      </c>
      <c r="K2" t="b">
        <v>1</v>
      </c>
    </row>
    <row r="3" spans="1:11" x14ac:dyDescent="0.3">
      <c r="A3" t="s">
        <v>17</v>
      </c>
      <c r="B3" t="s">
        <v>18</v>
      </c>
      <c r="C3" t="s">
        <v>19</v>
      </c>
      <c r="D3" t="s">
        <v>20</v>
      </c>
      <c r="E3">
        <v>29</v>
      </c>
      <c r="F3">
        <v>9</v>
      </c>
      <c r="G3">
        <v>261</v>
      </c>
      <c r="H3" t="s">
        <v>15</v>
      </c>
      <c r="I3" t="s">
        <v>16</v>
      </c>
      <c r="J3" s="1">
        <v>45130</v>
      </c>
      <c r="K3" t="b">
        <v>1</v>
      </c>
    </row>
    <row r="4" spans="1:11" x14ac:dyDescent="0.3">
      <c r="A4" t="s">
        <v>21</v>
      </c>
      <c r="B4" t="s">
        <v>22</v>
      </c>
      <c r="C4" t="s">
        <v>23</v>
      </c>
      <c r="D4" t="s">
        <v>24</v>
      </c>
      <c r="E4">
        <v>21.5</v>
      </c>
      <c r="F4">
        <v>2</v>
      </c>
      <c r="G4">
        <v>43</v>
      </c>
      <c r="H4" t="s">
        <v>25</v>
      </c>
      <c r="I4" t="s">
        <v>16</v>
      </c>
      <c r="J4" s="1">
        <v>44839</v>
      </c>
      <c r="K4" t="b">
        <v>0</v>
      </c>
    </row>
    <row r="5" spans="1:11" x14ac:dyDescent="0.3">
      <c r="A5" t="s">
        <v>26</v>
      </c>
      <c r="B5" t="s">
        <v>27</v>
      </c>
      <c r="C5" t="s">
        <v>28</v>
      </c>
      <c r="D5" t="s">
        <v>29</v>
      </c>
      <c r="E5">
        <v>27.5</v>
      </c>
      <c r="F5">
        <v>9</v>
      </c>
      <c r="G5">
        <v>247.5</v>
      </c>
      <c r="H5" t="s">
        <v>25</v>
      </c>
      <c r="I5" t="s">
        <v>16</v>
      </c>
      <c r="J5" s="1">
        <v>44688</v>
      </c>
    </row>
    <row r="6" spans="1:11" x14ac:dyDescent="0.3">
      <c r="A6" t="s">
        <v>30</v>
      </c>
      <c r="B6" t="s">
        <v>31</v>
      </c>
      <c r="C6" t="s">
        <v>32</v>
      </c>
      <c r="D6" t="s">
        <v>33</v>
      </c>
      <c r="E6">
        <v>12.5</v>
      </c>
      <c r="F6">
        <v>7</v>
      </c>
      <c r="G6">
        <v>87.5</v>
      </c>
      <c r="H6" t="s">
        <v>15</v>
      </c>
      <c r="I6" t="s">
        <v>16</v>
      </c>
      <c r="J6" s="1">
        <v>44836</v>
      </c>
      <c r="K6" t="b">
        <v>0</v>
      </c>
    </row>
    <row r="7" spans="1:11" x14ac:dyDescent="0.3">
      <c r="A7" t="s">
        <v>34</v>
      </c>
      <c r="B7" t="s">
        <v>12</v>
      </c>
      <c r="C7" t="s">
        <v>13</v>
      </c>
      <c r="F7">
        <v>10</v>
      </c>
      <c r="G7">
        <v>200</v>
      </c>
      <c r="H7" t="s">
        <v>25</v>
      </c>
      <c r="I7" t="s">
        <v>16</v>
      </c>
      <c r="J7" s="1">
        <v>45260</v>
      </c>
    </row>
    <row r="8" spans="1:11" x14ac:dyDescent="0.3">
      <c r="A8" t="s">
        <v>35</v>
      </c>
      <c r="B8" t="s">
        <v>36</v>
      </c>
      <c r="C8" t="s">
        <v>32</v>
      </c>
      <c r="D8" t="s">
        <v>37</v>
      </c>
      <c r="E8">
        <v>5</v>
      </c>
      <c r="F8">
        <v>8</v>
      </c>
      <c r="G8">
        <v>40</v>
      </c>
      <c r="H8" t="s">
        <v>25</v>
      </c>
      <c r="I8" t="s">
        <v>38</v>
      </c>
      <c r="J8" s="1">
        <v>45087</v>
      </c>
      <c r="K8" t="b">
        <v>1</v>
      </c>
    </row>
    <row r="9" spans="1:11" x14ac:dyDescent="0.3">
      <c r="A9" t="s">
        <v>39</v>
      </c>
      <c r="B9" t="s">
        <v>40</v>
      </c>
      <c r="C9" t="s">
        <v>41</v>
      </c>
      <c r="E9">
        <v>33.5</v>
      </c>
      <c r="H9" t="s">
        <v>15</v>
      </c>
      <c r="I9" t="s">
        <v>38</v>
      </c>
      <c r="J9" s="1">
        <v>45384</v>
      </c>
      <c r="K9" t="b">
        <v>1</v>
      </c>
    </row>
    <row r="10" spans="1:11" x14ac:dyDescent="0.3">
      <c r="A10" t="s">
        <v>42</v>
      </c>
      <c r="B10" t="s">
        <v>43</v>
      </c>
      <c r="C10" t="s">
        <v>41</v>
      </c>
      <c r="D10" t="s">
        <v>44</v>
      </c>
      <c r="E10">
        <v>27.5</v>
      </c>
      <c r="F10">
        <v>1</v>
      </c>
      <c r="G10">
        <v>27.5</v>
      </c>
      <c r="H10" t="s">
        <v>25</v>
      </c>
      <c r="I10" t="s">
        <v>38</v>
      </c>
      <c r="J10" s="1">
        <v>45042</v>
      </c>
      <c r="K10" t="b">
        <v>0</v>
      </c>
    </row>
    <row r="11" spans="1:11" x14ac:dyDescent="0.3">
      <c r="A11" t="s">
        <v>45</v>
      </c>
      <c r="B11" t="s">
        <v>46</v>
      </c>
      <c r="C11" t="s">
        <v>23</v>
      </c>
      <c r="D11" t="s">
        <v>47</v>
      </c>
      <c r="E11">
        <v>36.5</v>
      </c>
      <c r="F11">
        <v>3</v>
      </c>
      <c r="G11">
        <v>109.5</v>
      </c>
      <c r="H11" t="s">
        <v>48</v>
      </c>
      <c r="I11" t="s">
        <v>16</v>
      </c>
      <c r="J11" s="1">
        <v>45365</v>
      </c>
      <c r="K11" t="b">
        <v>0</v>
      </c>
    </row>
    <row r="12" spans="1:11" x14ac:dyDescent="0.3">
      <c r="A12" t="s">
        <v>49</v>
      </c>
      <c r="B12" t="s">
        <v>18</v>
      </c>
      <c r="C12" t="s">
        <v>23</v>
      </c>
      <c r="D12" t="s">
        <v>50</v>
      </c>
      <c r="E12">
        <v>8</v>
      </c>
      <c r="F12">
        <v>9</v>
      </c>
      <c r="G12">
        <v>72</v>
      </c>
      <c r="H12" t="s">
        <v>48</v>
      </c>
      <c r="I12" t="s">
        <v>38</v>
      </c>
      <c r="J12" s="1">
        <v>45640</v>
      </c>
      <c r="K12" t="b">
        <v>1</v>
      </c>
    </row>
    <row r="13" spans="1:11" x14ac:dyDescent="0.3">
      <c r="A13" t="s">
        <v>51</v>
      </c>
      <c r="B13" t="s">
        <v>12</v>
      </c>
      <c r="C13" t="s">
        <v>19</v>
      </c>
      <c r="F13">
        <v>8</v>
      </c>
      <c r="G13">
        <v>52</v>
      </c>
      <c r="H13" t="s">
        <v>15</v>
      </c>
      <c r="I13" t="s">
        <v>38</v>
      </c>
      <c r="J13" s="1">
        <v>45669</v>
      </c>
      <c r="K13" t="b">
        <v>1</v>
      </c>
    </row>
    <row r="14" spans="1:11" x14ac:dyDescent="0.3">
      <c r="A14" t="s">
        <v>52</v>
      </c>
      <c r="B14" t="s">
        <v>43</v>
      </c>
      <c r="C14" t="s">
        <v>32</v>
      </c>
      <c r="D14" t="s">
        <v>53</v>
      </c>
      <c r="E14">
        <v>6.5</v>
      </c>
      <c r="F14">
        <v>7</v>
      </c>
      <c r="G14">
        <v>45.5</v>
      </c>
      <c r="H14" t="s">
        <v>48</v>
      </c>
      <c r="I14" t="s">
        <v>16</v>
      </c>
      <c r="J14" s="1">
        <v>45178</v>
      </c>
      <c r="K14" t="b">
        <v>1</v>
      </c>
    </row>
    <row r="15" spans="1:11" x14ac:dyDescent="0.3">
      <c r="A15" t="s">
        <v>54</v>
      </c>
      <c r="B15" t="s">
        <v>55</v>
      </c>
      <c r="C15" t="s">
        <v>13</v>
      </c>
      <c r="D15" t="s">
        <v>56</v>
      </c>
      <c r="E15">
        <v>39.5</v>
      </c>
      <c r="F15">
        <v>6</v>
      </c>
      <c r="G15">
        <v>237</v>
      </c>
      <c r="H15" t="s">
        <v>15</v>
      </c>
      <c r="I15" t="s">
        <v>38</v>
      </c>
      <c r="J15" s="1">
        <v>44701</v>
      </c>
      <c r="K15" t="b">
        <v>0</v>
      </c>
    </row>
    <row r="16" spans="1:11" x14ac:dyDescent="0.3">
      <c r="A16" t="s">
        <v>57</v>
      </c>
      <c r="B16" t="s">
        <v>12</v>
      </c>
      <c r="C16" t="s">
        <v>19</v>
      </c>
      <c r="D16" t="s">
        <v>58</v>
      </c>
      <c r="E16">
        <v>27.5</v>
      </c>
      <c r="F16">
        <v>2</v>
      </c>
      <c r="G16">
        <v>55</v>
      </c>
      <c r="H16" t="s">
        <v>15</v>
      </c>
      <c r="I16" t="s">
        <v>16</v>
      </c>
      <c r="J16" s="1">
        <v>44703</v>
      </c>
    </row>
    <row r="17" spans="1:11" x14ac:dyDescent="0.3">
      <c r="A17" t="s">
        <v>59</v>
      </c>
      <c r="B17" t="s">
        <v>55</v>
      </c>
      <c r="C17" t="s">
        <v>28</v>
      </c>
      <c r="E17">
        <v>24.5</v>
      </c>
      <c r="F17">
        <v>29</v>
      </c>
      <c r="H17" t="s">
        <v>25</v>
      </c>
      <c r="I17" t="s">
        <v>38</v>
      </c>
      <c r="J17" s="1">
        <v>44692</v>
      </c>
    </row>
    <row r="18" spans="1:11" x14ac:dyDescent="0.3">
      <c r="A18" t="s">
        <v>60</v>
      </c>
      <c r="B18" t="s">
        <v>43</v>
      </c>
      <c r="C18" t="s">
        <v>13</v>
      </c>
      <c r="D18" t="s">
        <v>61</v>
      </c>
      <c r="E18">
        <v>29</v>
      </c>
      <c r="F18">
        <v>8</v>
      </c>
      <c r="G18">
        <v>232</v>
      </c>
      <c r="H18" t="s">
        <v>48</v>
      </c>
      <c r="I18" t="s">
        <v>16</v>
      </c>
      <c r="J18" s="1">
        <v>45612</v>
      </c>
      <c r="K18" t="b">
        <v>1</v>
      </c>
    </row>
    <row r="19" spans="1:11" x14ac:dyDescent="0.3">
      <c r="A19" t="s">
        <v>62</v>
      </c>
      <c r="B19" t="s">
        <v>63</v>
      </c>
      <c r="C19" t="s">
        <v>19</v>
      </c>
      <c r="F19">
        <v>10</v>
      </c>
      <c r="G19">
        <v>275</v>
      </c>
      <c r="H19" t="s">
        <v>15</v>
      </c>
      <c r="I19" t="s">
        <v>16</v>
      </c>
      <c r="J19" s="1">
        <v>44668</v>
      </c>
    </row>
    <row r="20" spans="1:11" x14ac:dyDescent="0.3">
      <c r="A20" t="s">
        <v>64</v>
      </c>
      <c r="B20" t="s">
        <v>65</v>
      </c>
      <c r="C20" t="s">
        <v>66</v>
      </c>
      <c r="D20" t="s">
        <v>67</v>
      </c>
      <c r="E20">
        <v>23</v>
      </c>
      <c r="F20">
        <v>1</v>
      </c>
      <c r="G20">
        <v>23</v>
      </c>
      <c r="H20" t="s">
        <v>15</v>
      </c>
      <c r="I20" t="s">
        <v>38</v>
      </c>
      <c r="J20" s="1">
        <v>44599</v>
      </c>
      <c r="K20" t="b">
        <v>0</v>
      </c>
    </row>
    <row r="21" spans="1:11" x14ac:dyDescent="0.3">
      <c r="A21" t="s">
        <v>68</v>
      </c>
      <c r="B21" t="s">
        <v>69</v>
      </c>
      <c r="C21" t="s">
        <v>41</v>
      </c>
      <c r="E21">
        <v>35</v>
      </c>
      <c r="H21" t="s">
        <v>15</v>
      </c>
      <c r="I21" t="s">
        <v>16</v>
      </c>
      <c r="J21" s="1">
        <v>45670</v>
      </c>
      <c r="K21" t="b">
        <v>0</v>
      </c>
    </row>
    <row r="22" spans="1:11" x14ac:dyDescent="0.3">
      <c r="A22" t="s">
        <v>70</v>
      </c>
      <c r="B22" t="s">
        <v>55</v>
      </c>
      <c r="C22" t="s">
        <v>28</v>
      </c>
      <c r="D22" t="s">
        <v>71</v>
      </c>
      <c r="E22">
        <v>14</v>
      </c>
      <c r="F22">
        <v>9</v>
      </c>
      <c r="G22">
        <v>126</v>
      </c>
      <c r="H22" t="s">
        <v>15</v>
      </c>
      <c r="I22" t="s">
        <v>38</v>
      </c>
      <c r="J22" s="1">
        <v>45305</v>
      </c>
    </row>
    <row r="23" spans="1:11" x14ac:dyDescent="0.3">
      <c r="A23" t="s">
        <v>72</v>
      </c>
      <c r="B23" t="s">
        <v>63</v>
      </c>
      <c r="C23" t="s">
        <v>19</v>
      </c>
      <c r="F23">
        <v>3</v>
      </c>
      <c r="G23">
        <v>105</v>
      </c>
      <c r="H23" t="s">
        <v>25</v>
      </c>
      <c r="I23" t="s">
        <v>38</v>
      </c>
      <c r="J23" s="1">
        <v>45228</v>
      </c>
    </row>
    <row r="24" spans="1:11" x14ac:dyDescent="0.3">
      <c r="A24" t="s">
        <v>73</v>
      </c>
      <c r="B24" t="s">
        <v>74</v>
      </c>
      <c r="C24" t="s">
        <v>66</v>
      </c>
      <c r="D24" t="s">
        <v>75</v>
      </c>
      <c r="E24">
        <v>9.5</v>
      </c>
      <c r="F24">
        <v>7</v>
      </c>
      <c r="G24">
        <v>66.5</v>
      </c>
      <c r="H24" t="s">
        <v>48</v>
      </c>
      <c r="I24" t="s">
        <v>38</v>
      </c>
      <c r="J24" s="1">
        <v>44788</v>
      </c>
    </row>
    <row r="25" spans="1:11" x14ac:dyDescent="0.3">
      <c r="A25" t="s">
        <v>76</v>
      </c>
      <c r="B25" t="s">
        <v>77</v>
      </c>
      <c r="C25" t="s">
        <v>32</v>
      </c>
      <c r="D25" t="s">
        <v>78</v>
      </c>
      <c r="E25">
        <v>18.5</v>
      </c>
      <c r="F25">
        <v>1</v>
      </c>
      <c r="G25">
        <v>18.5</v>
      </c>
      <c r="H25" t="s">
        <v>48</v>
      </c>
      <c r="I25" t="s">
        <v>16</v>
      </c>
      <c r="J25" s="1">
        <v>45199</v>
      </c>
      <c r="K25" t="b">
        <v>0</v>
      </c>
    </row>
    <row r="26" spans="1:11" x14ac:dyDescent="0.3">
      <c r="A26" t="s">
        <v>79</v>
      </c>
      <c r="B26" t="s">
        <v>80</v>
      </c>
      <c r="C26" t="s">
        <v>41</v>
      </c>
      <c r="D26" t="s">
        <v>81</v>
      </c>
      <c r="E26">
        <v>24.5</v>
      </c>
      <c r="F26">
        <v>2</v>
      </c>
      <c r="G26">
        <v>49</v>
      </c>
      <c r="H26" t="s">
        <v>48</v>
      </c>
      <c r="I26" t="s">
        <v>16</v>
      </c>
      <c r="J26" s="1">
        <v>45167</v>
      </c>
      <c r="K26" t="b">
        <v>0</v>
      </c>
    </row>
    <row r="27" spans="1:11" x14ac:dyDescent="0.3">
      <c r="A27" t="s">
        <v>82</v>
      </c>
      <c r="B27" t="s">
        <v>31</v>
      </c>
      <c r="C27" t="s">
        <v>41</v>
      </c>
      <c r="E27">
        <v>39.5</v>
      </c>
      <c r="H27" t="s">
        <v>48</v>
      </c>
      <c r="I27" t="s">
        <v>16</v>
      </c>
      <c r="J27" s="1">
        <v>44812</v>
      </c>
      <c r="K27" t="b">
        <v>0</v>
      </c>
    </row>
    <row r="28" spans="1:11" x14ac:dyDescent="0.3">
      <c r="A28" t="s">
        <v>83</v>
      </c>
      <c r="B28" t="s">
        <v>84</v>
      </c>
      <c r="C28" t="s">
        <v>23</v>
      </c>
      <c r="D28" t="s">
        <v>85</v>
      </c>
      <c r="E28">
        <v>33.5</v>
      </c>
      <c r="F28">
        <v>4</v>
      </c>
      <c r="G28">
        <v>134</v>
      </c>
      <c r="H28" t="s">
        <v>25</v>
      </c>
      <c r="I28" t="s">
        <v>38</v>
      </c>
      <c r="J28" s="1">
        <v>44636</v>
      </c>
      <c r="K28" t="b">
        <v>1</v>
      </c>
    </row>
    <row r="29" spans="1:11" x14ac:dyDescent="0.3">
      <c r="A29" t="s">
        <v>86</v>
      </c>
      <c r="B29" t="s">
        <v>55</v>
      </c>
      <c r="C29" t="s">
        <v>41</v>
      </c>
      <c r="D29" t="s">
        <v>87</v>
      </c>
      <c r="E29">
        <v>41</v>
      </c>
      <c r="F29">
        <v>10</v>
      </c>
      <c r="G29">
        <v>410</v>
      </c>
      <c r="H29" t="s">
        <v>25</v>
      </c>
      <c r="I29" t="s">
        <v>38</v>
      </c>
      <c r="J29" s="1">
        <v>45375</v>
      </c>
      <c r="K29" t="b">
        <v>1</v>
      </c>
    </row>
    <row r="30" spans="1:11" x14ac:dyDescent="0.3">
      <c r="A30" t="s">
        <v>88</v>
      </c>
      <c r="B30" t="s">
        <v>89</v>
      </c>
      <c r="C30" t="s">
        <v>32</v>
      </c>
      <c r="D30" t="s">
        <v>90</v>
      </c>
      <c r="E30">
        <v>24.5</v>
      </c>
      <c r="F30">
        <v>10</v>
      </c>
      <c r="G30">
        <v>245</v>
      </c>
      <c r="H30" t="s">
        <v>48</v>
      </c>
      <c r="I30" t="s">
        <v>38</v>
      </c>
      <c r="J30" s="1">
        <v>44857</v>
      </c>
      <c r="K30" t="b">
        <v>1</v>
      </c>
    </row>
    <row r="31" spans="1:11" x14ac:dyDescent="0.3">
      <c r="A31" t="s">
        <v>91</v>
      </c>
      <c r="B31" t="s">
        <v>84</v>
      </c>
      <c r="C31" t="s">
        <v>13</v>
      </c>
      <c r="D31" t="s">
        <v>92</v>
      </c>
      <c r="E31">
        <v>36.5</v>
      </c>
      <c r="F31">
        <v>5</v>
      </c>
      <c r="G31">
        <v>182.5</v>
      </c>
      <c r="H31" t="s">
        <v>25</v>
      </c>
      <c r="I31" t="s">
        <v>38</v>
      </c>
      <c r="J31" s="1">
        <v>44630</v>
      </c>
      <c r="K31" t="b">
        <v>0</v>
      </c>
    </row>
    <row r="32" spans="1:11" x14ac:dyDescent="0.3">
      <c r="A32" t="s">
        <v>93</v>
      </c>
      <c r="B32" t="s">
        <v>31</v>
      </c>
      <c r="C32" t="s">
        <v>32</v>
      </c>
      <c r="D32" t="s">
        <v>94</v>
      </c>
      <c r="E32">
        <v>20</v>
      </c>
      <c r="F32">
        <v>10</v>
      </c>
      <c r="G32">
        <v>200</v>
      </c>
      <c r="H32" t="s">
        <v>15</v>
      </c>
      <c r="I32" t="s">
        <v>16</v>
      </c>
      <c r="J32" s="1">
        <v>44677</v>
      </c>
      <c r="K32" t="b">
        <v>0</v>
      </c>
    </row>
    <row r="33" spans="1:11" x14ac:dyDescent="0.3">
      <c r="A33" t="s">
        <v>95</v>
      </c>
      <c r="B33" t="s">
        <v>18</v>
      </c>
      <c r="C33" t="s">
        <v>13</v>
      </c>
      <c r="D33" t="s">
        <v>96</v>
      </c>
      <c r="E33">
        <v>12.5</v>
      </c>
      <c r="F33">
        <v>8</v>
      </c>
      <c r="G33">
        <v>100</v>
      </c>
      <c r="H33" t="s">
        <v>25</v>
      </c>
      <c r="I33" t="s">
        <v>16</v>
      </c>
      <c r="J33" s="1">
        <v>44656</v>
      </c>
      <c r="K33" t="b">
        <v>1</v>
      </c>
    </row>
    <row r="34" spans="1:11" x14ac:dyDescent="0.3">
      <c r="A34" t="s">
        <v>97</v>
      </c>
      <c r="B34" t="s">
        <v>98</v>
      </c>
      <c r="C34" t="s">
        <v>32</v>
      </c>
      <c r="F34">
        <v>8</v>
      </c>
      <c r="G34">
        <v>196</v>
      </c>
      <c r="H34" t="s">
        <v>25</v>
      </c>
      <c r="I34" t="s">
        <v>16</v>
      </c>
      <c r="J34" s="1">
        <v>45590</v>
      </c>
      <c r="K34" t="b">
        <v>1</v>
      </c>
    </row>
    <row r="35" spans="1:11" x14ac:dyDescent="0.3">
      <c r="A35" t="s">
        <v>99</v>
      </c>
      <c r="B35" t="s">
        <v>100</v>
      </c>
      <c r="C35" t="s">
        <v>66</v>
      </c>
      <c r="D35" t="s">
        <v>101</v>
      </c>
      <c r="E35">
        <v>35</v>
      </c>
      <c r="F35">
        <v>9</v>
      </c>
      <c r="G35">
        <v>315</v>
      </c>
      <c r="H35" t="s">
        <v>25</v>
      </c>
      <c r="I35" t="s">
        <v>38</v>
      </c>
      <c r="J35" s="1">
        <v>45358</v>
      </c>
    </row>
    <row r="36" spans="1:11" x14ac:dyDescent="0.3">
      <c r="A36" t="s">
        <v>102</v>
      </c>
      <c r="B36" t="s">
        <v>27</v>
      </c>
      <c r="C36" t="s">
        <v>13</v>
      </c>
      <c r="E36">
        <v>23</v>
      </c>
      <c r="H36" t="s">
        <v>48</v>
      </c>
      <c r="I36" t="s">
        <v>38</v>
      </c>
      <c r="J36" s="1">
        <v>44975</v>
      </c>
    </row>
    <row r="37" spans="1:11" x14ac:dyDescent="0.3">
      <c r="A37" t="s">
        <v>103</v>
      </c>
      <c r="B37" t="s">
        <v>63</v>
      </c>
      <c r="C37" t="s">
        <v>28</v>
      </c>
      <c r="D37" t="s">
        <v>104</v>
      </c>
      <c r="E37">
        <v>41</v>
      </c>
      <c r="F37">
        <v>7</v>
      </c>
      <c r="G37">
        <v>287</v>
      </c>
      <c r="H37" t="s">
        <v>25</v>
      </c>
      <c r="I37" t="s">
        <v>38</v>
      </c>
      <c r="J37" s="1">
        <v>45446</v>
      </c>
      <c r="K37" t="b">
        <v>1</v>
      </c>
    </row>
    <row r="38" spans="1:11" x14ac:dyDescent="0.3">
      <c r="A38" t="s">
        <v>105</v>
      </c>
      <c r="B38" t="s">
        <v>22</v>
      </c>
      <c r="C38" t="s">
        <v>32</v>
      </c>
      <c r="D38" t="s">
        <v>106</v>
      </c>
      <c r="E38">
        <v>38</v>
      </c>
      <c r="F38">
        <v>2</v>
      </c>
      <c r="G38">
        <v>76</v>
      </c>
      <c r="H38" t="s">
        <v>15</v>
      </c>
      <c r="I38" t="s">
        <v>38</v>
      </c>
      <c r="J38" s="1">
        <v>45361</v>
      </c>
      <c r="K38" t="b">
        <v>0</v>
      </c>
    </row>
    <row r="39" spans="1:11" x14ac:dyDescent="0.3">
      <c r="A39" t="s">
        <v>107</v>
      </c>
      <c r="B39" t="s">
        <v>108</v>
      </c>
      <c r="C39" t="s">
        <v>41</v>
      </c>
      <c r="D39" t="s">
        <v>109</v>
      </c>
      <c r="E39">
        <v>18.5</v>
      </c>
      <c r="F39">
        <v>5</v>
      </c>
      <c r="G39">
        <v>92.5</v>
      </c>
      <c r="H39" t="s">
        <v>25</v>
      </c>
      <c r="I39" t="s">
        <v>16</v>
      </c>
      <c r="J39" s="1">
        <v>45405</v>
      </c>
      <c r="K39" t="b">
        <v>1</v>
      </c>
    </row>
    <row r="40" spans="1:11" x14ac:dyDescent="0.3">
      <c r="A40" t="s">
        <v>110</v>
      </c>
      <c r="B40" t="s">
        <v>55</v>
      </c>
      <c r="C40" t="s">
        <v>28</v>
      </c>
      <c r="D40" t="s">
        <v>111</v>
      </c>
      <c r="E40">
        <v>20</v>
      </c>
      <c r="F40">
        <v>5</v>
      </c>
      <c r="G40">
        <v>100</v>
      </c>
      <c r="H40" t="s">
        <v>15</v>
      </c>
      <c r="I40" t="s">
        <v>16</v>
      </c>
      <c r="J40" s="1">
        <v>44715</v>
      </c>
    </row>
    <row r="41" spans="1:11" x14ac:dyDescent="0.3">
      <c r="A41" t="s">
        <v>112</v>
      </c>
      <c r="B41" t="s">
        <v>113</v>
      </c>
      <c r="C41" t="s">
        <v>23</v>
      </c>
      <c r="D41" t="s">
        <v>114</v>
      </c>
      <c r="E41">
        <v>38</v>
      </c>
      <c r="F41">
        <v>5</v>
      </c>
      <c r="G41">
        <v>190</v>
      </c>
      <c r="H41" t="s">
        <v>25</v>
      </c>
      <c r="I41" t="s">
        <v>38</v>
      </c>
      <c r="J41" s="1">
        <v>45584</v>
      </c>
      <c r="K41" t="b">
        <v>0</v>
      </c>
    </row>
    <row r="42" spans="1:11" x14ac:dyDescent="0.3">
      <c r="A42" t="s">
        <v>115</v>
      </c>
      <c r="B42" t="s">
        <v>116</v>
      </c>
      <c r="C42" t="s">
        <v>28</v>
      </c>
      <c r="D42" t="s">
        <v>117</v>
      </c>
      <c r="E42">
        <v>36.5</v>
      </c>
      <c r="F42">
        <v>7</v>
      </c>
      <c r="G42">
        <v>255.5</v>
      </c>
      <c r="H42" t="s">
        <v>48</v>
      </c>
      <c r="I42" t="s">
        <v>16</v>
      </c>
      <c r="J42" s="1">
        <v>45077</v>
      </c>
      <c r="K42" t="b">
        <v>1</v>
      </c>
    </row>
    <row r="43" spans="1:11" x14ac:dyDescent="0.3">
      <c r="A43" t="s">
        <v>118</v>
      </c>
      <c r="B43" t="s">
        <v>116</v>
      </c>
      <c r="C43" t="s">
        <v>66</v>
      </c>
      <c r="D43" t="s">
        <v>119</v>
      </c>
      <c r="E43">
        <v>18.5</v>
      </c>
      <c r="F43">
        <v>5</v>
      </c>
      <c r="G43">
        <v>92.5</v>
      </c>
      <c r="H43" t="s">
        <v>48</v>
      </c>
      <c r="I43" t="s">
        <v>16</v>
      </c>
      <c r="J43" s="1">
        <v>44774</v>
      </c>
    </row>
    <row r="44" spans="1:11" x14ac:dyDescent="0.3">
      <c r="A44" t="s">
        <v>120</v>
      </c>
      <c r="B44" t="s">
        <v>46</v>
      </c>
      <c r="C44" t="s">
        <v>23</v>
      </c>
      <c r="D44" t="s">
        <v>121</v>
      </c>
      <c r="E44">
        <v>39.5</v>
      </c>
      <c r="F44">
        <v>7</v>
      </c>
      <c r="G44">
        <v>276.5</v>
      </c>
      <c r="H44" t="s">
        <v>15</v>
      </c>
      <c r="I44" t="s">
        <v>38</v>
      </c>
      <c r="J44" s="1">
        <v>44855</v>
      </c>
    </row>
    <row r="45" spans="1:11" x14ac:dyDescent="0.3">
      <c r="A45" t="s">
        <v>122</v>
      </c>
      <c r="B45" t="s">
        <v>123</v>
      </c>
      <c r="C45" t="s">
        <v>28</v>
      </c>
      <c r="D45" t="s">
        <v>124</v>
      </c>
      <c r="E45">
        <v>15.5</v>
      </c>
      <c r="F45">
        <v>3</v>
      </c>
      <c r="G45">
        <v>46.5</v>
      </c>
      <c r="H45" t="s">
        <v>48</v>
      </c>
      <c r="I45" t="s">
        <v>38</v>
      </c>
      <c r="J45" s="1">
        <v>45390</v>
      </c>
    </row>
    <row r="46" spans="1:11" x14ac:dyDescent="0.3">
      <c r="A46" t="s">
        <v>125</v>
      </c>
      <c r="B46" t="s">
        <v>46</v>
      </c>
      <c r="C46" t="s">
        <v>32</v>
      </c>
      <c r="D46" t="s">
        <v>126</v>
      </c>
      <c r="E46">
        <v>8</v>
      </c>
      <c r="F46">
        <v>1</v>
      </c>
      <c r="G46">
        <v>8</v>
      </c>
      <c r="H46" t="s">
        <v>15</v>
      </c>
      <c r="I46" t="s">
        <v>38</v>
      </c>
      <c r="J46" s="1">
        <v>44670</v>
      </c>
    </row>
    <row r="47" spans="1:11" x14ac:dyDescent="0.3">
      <c r="A47" t="s">
        <v>127</v>
      </c>
      <c r="B47" t="s">
        <v>98</v>
      </c>
      <c r="C47" t="s">
        <v>32</v>
      </c>
      <c r="D47" t="s">
        <v>128</v>
      </c>
      <c r="E47">
        <v>21.5</v>
      </c>
      <c r="F47">
        <v>5</v>
      </c>
      <c r="G47">
        <v>107.5</v>
      </c>
      <c r="H47" t="s">
        <v>15</v>
      </c>
      <c r="I47" t="s">
        <v>16</v>
      </c>
      <c r="J47" s="1">
        <v>44985</v>
      </c>
      <c r="K47" t="b">
        <v>1</v>
      </c>
    </row>
    <row r="48" spans="1:11" x14ac:dyDescent="0.3">
      <c r="A48" t="s">
        <v>129</v>
      </c>
      <c r="B48" t="s">
        <v>77</v>
      </c>
      <c r="C48" t="s">
        <v>130</v>
      </c>
      <c r="D48" t="s">
        <v>131</v>
      </c>
      <c r="E48">
        <v>27.5</v>
      </c>
      <c r="F48">
        <v>6</v>
      </c>
      <c r="G48">
        <v>165</v>
      </c>
      <c r="H48" t="s">
        <v>25</v>
      </c>
      <c r="I48" t="s">
        <v>16</v>
      </c>
      <c r="J48" s="1">
        <v>44657</v>
      </c>
      <c r="K48" t="b">
        <v>0</v>
      </c>
    </row>
    <row r="49" spans="1:11" x14ac:dyDescent="0.3">
      <c r="A49" t="s">
        <v>132</v>
      </c>
      <c r="B49" t="s">
        <v>100</v>
      </c>
      <c r="C49" t="s">
        <v>13</v>
      </c>
      <c r="D49" t="s">
        <v>133</v>
      </c>
      <c r="E49">
        <v>20</v>
      </c>
      <c r="F49">
        <v>4</v>
      </c>
      <c r="G49">
        <v>80</v>
      </c>
      <c r="H49" t="s">
        <v>25</v>
      </c>
      <c r="I49" t="s">
        <v>16</v>
      </c>
      <c r="J49" s="1">
        <v>44748</v>
      </c>
      <c r="K49" t="b">
        <v>1</v>
      </c>
    </row>
    <row r="50" spans="1:11" x14ac:dyDescent="0.3">
      <c r="A50" t="s">
        <v>134</v>
      </c>
      <c r="B50" t="s">
        <v>80</v>
      </c>
      <c r="C50" t="s">
        <v>23</v>
      </c>
      <c r="D50" t="s">
        <v>135</v>
      </c>
      <c r="E50">
        <v>27.5</v>
      </c>
      <c r="F50">
        <v>6</v>
      </c>
      <c r="G50">
        <v>165</v>
      </c>
      <c r="H50" t="s">
        <v>25</v>
      </c>
      <c r="I50" t="s">
        <v>16</v>
      </c>
      <c r="J50" s="1">
        <v>45657</v>
      </c>
      <c r="K50" t="b">
        <v>1</v>
      </c>
    </row>
    <row r="51" spans="1:11" x14ac:dyDescent="0.3">
      <c r="A51" t="s">
        <v>136</v>
      </c>
      <c r="B51" t="s">
        <v>46</v>
      </c>
      <c r="C51" t="s">
        <v>19</v>
      </c>
      <c r="D51" t="s">
        <v>58</v>
      </c>
      <c r="E51">
        <v>27.5</v>
      </c>
      <c r="F51">
        <v>7</v>
      </c>
      <c r="G51">
        <v>192.5</v>
      </c>
      <c r="H51" t="s">
        <v>48</v>
      </c>
      <c r="I51" t="s">
        <v>38</v>
      </c>
      <c r="J51" s="1">
        <v>44632</v>
      </c>
    </row>
    <row r="52" spans="1:11" x14ac:dyDescent="0.3">
      <c r="A52" t="s">
        <v>137</v>
      </c>
      <c r="B52" t="s">
        <v>31</v>
      </c>
      <c r="C52" t="s">
        <v>23</v>
      </c>
      <c r="D52" t="s">
        <v>85</v>
      </c>
      <c r="E52">
        <v>33.5</v>
      </c>
      <c r="F52">
        <v>10</v>
      </c>
      <c r="G52">
        <v>335</v>
      </c>
      <c r="H52" t="s">
        <v>25</v>
      </c>
      <c r="I52" t="s">
        <v>38</v>
      </c>
      <c r="J52" s="1">
        <v>45028</v>
      </c>
      <c r="K52" t="b">
        <v>0</v>
      </c>
    </row>
    <row r="53" spans="1:11" x14ac:dyDescent="0.3">
      <c r="A53" t="s">
        <v>138</v>
      </c>
      <c r="B53" t="s">
        <v>43</v>
      </c>
      <c r="C53" t="s">
        <v>130</v>
      </c>
      <c r="D53" t="s">
        <v>139</v>
      </c>
      <c r="E53">
        <v>11</v>
      </c>
      <c r="F53">
        <v>6</v>
      </c>
      <c r="G53">
        <v>66</v>
      </c>
      <c r="H53" t="s">
        <v>25</v>
      </c>
      <c r="I53" t="s">
        <v>16</v>
      </c>
      <c r="J53" s="1">
        <v>45360</v>
      </c>
      <c r="K53" t="b">
        <v>1</v>
      </c>
    </row>
    <row r="54" spans="1:11" x14ac:dyDescent="0.3">
      <c r="A54" t="s">
        <v>140</v>
      </c>
      <c r="B54" t="s">
        <v>40</v>
      </c>
      <c r="C54" t="s">
        <v>32</v>
      </c>
      <c r="D54" t="s">
        <v>128</v>
      </c>
      <c r="E54">
        <v>21.5</v>
      </c>
      <c r="F54">
        <v>10</v>
      </c>
      <c r="G54">
        <v>215</v>
      </c>
      <c r="H54" t="s">
        <v>15</v>
      </c>
      <c r="I54" t="s">
        <v>38</v>
      </c>
      <c r="J54" s="1">
        <v>44940</v>
      </c>
      <c r="K54" t="b">
        <v>0</v>
      </c>
    </row>
    <row r="55" spans="1:11" x14ac:dyDescent="0.3">
      <c r="A55" t="s">
        <v>141</v>
      </c>
      <c r="B55" t="s">
        <v>123</v>
      </c>
      <c r="C55" t="s">
        <v>19</v>
      </c>
      <c r="D55" t="s">
        <v>142</v>
      </c>
      <c r="E55">
        <v>32</v>
      </c>
      <c r="F55">
        <v>3</v>
      </c>
      <c r="G55">
        <v>96</v>
      </c>
      <c r="H55" t="s">
        <v>25</v>
      </c>
      <c r="I55" t="s">
        <v>16</v>
      </c>
      <c r="J55" s="1">
        <v>45319</v>
      </c>
    </row>
    <row r="56" spans="1:11" x14ac:dyDescent="0.3">
      <c r="A56" t="s">
        <v>143</v>
      </c>
      <c r="B56" t="s">
        <v>69</v>
      </c>
      <c r="C56" t="s">
        <v>41</v>
      </c>
      <c r="D56" t="s">
        <v>144</v>
      </c>
      <c r="E56">
        <v>38</v>
      </c>
      <c r="F56">
        <v>5</v>
      </c>
      <c r="G56">
        <v>190</v>
      </c>
      <c r="H56" t="s">
        <v>15</v>
      </c>
      <c r="I56" t="s">
        <v>16</v>
      </c>
      <c r="J56" s="1">
        <v>45045</v>
      </c>
      <c r="K56" t="b">
        <v>0</v>
      </c>
    </row>
    <row r="57" spans="1:11" x14ac:dyDescent="0.3">
      <c r="A57" t="s">
        <v>145</v>
      </c>
      <c r="B57" t="s">
        <v>63</v>
      </c>
      <c r="C57" t="s">
        <v>41</v>
      </c>
      <c r="D57" t="s">
        <v>146</v>
      </c>
      <c r="E57">
        <v>14</v>
      </c>
      <c r="F57">
        <v>3</v>
      </c>
      <c r="G57">
        <v>42</v>
      </c>
      <c r="H57" t="s">
        <v>15</v>
      </c>
      <c r="I57" t="s">
        <v>38</v>
      </c>
      <c r="J57" s="1">
        <v>45018</v>
      </c>
    </row>
    <row r="58" spans="1:11" x14ac:dyDescent="0.3">
      <c r="A58" t="s">
        <v>147</v>
      </c>
      <c r="B58" t="s">
        <v>100</v>
      </c>
      <c r="C58" t="s">
        <v>130</v>
      </c>
      <c r="D58" t="s">
        <v>139</v>
      </c>
      <c r="E58">
        <v>11</v>
      </c>
      <c r="F58">
        <v>1</v>
      </c>
      <c r="G58">
        <v>11</v>
      </c>
      <c r="H58" t="s">
        <v>25</v>
      </c>
      <c r="I58" t="s">
        <v>16</v>
      </c>
      <c r="J58" s="1">
        <v>45277</v>
      </c>
      <c r="K58" t="b">
        <v>1</v>
      </c>
    </row>
    <row r="59" spans="1:11" x14ac:dyDescent="0.3">
      <c r="A59" t="s">
        <v>148</v>
      </c>
      <c r="B59" t="s">
        <v>36</v>
      </c>
      <c r="C59" t="s">
        <v>130</v>
      </c>
      <c r="D59" t="s">
        <v>149</v>
      </c>
      <c r="E59">
        <v>26</v>
      </c>
      <c r="F59">
        <v>9</v>
      </c>
      <c r="G59">
        <v>234</v>
      </c>
      <c r="H59" t="s">
        <v>48</v>
      </c>
      <c r="I59" t="s">
        <v>16</v>
      </c>
      <c r="J59" s="1">
        <v>45495</v>
      </c>
      <c r="K59" t="b">
        <v>1</v>
      </c>
    </row>
    <row r="60" spans="1:11" x14ac:dyDescent="0.3">
      <c r="A60" t="s">
        <v>150</v>
      </c>
      <c r="B60" t="s">
        <v>22</v>
      </c>
      <c r="C60" t="s">
        <v>41</v>
      </c>
      <c r="D60" t="s">
        <v>44</v>
      </c>
      <c r="E60">
        <v>27.5</v>
      </c>
      <c r="F60">
        <v>9</v>
      </c>
      <c r="G60">
        <v>247.5</v>
      </c>
      <c r="H60" t="s">
        <v>48</v>
      </c>
      <c r="I60" t="s">
        <v>16</v>
      </c>
      <c r="J60" s="1">
        <v>45541</v>
      </c>
    </row>
    <row r="61" spans="1:11" x14ac:dyDescent="0.3">
      <c r="A61" t="s">
        <v>151</v>
      </c>
      <c r="B61" t="s">
        <v>12</v>
      </c>
      <c r="C61" t="s">
        <v>19</v>
      </c>
      <c r="D61" t="s">
        <v>152</v>
      </c>
      <c r="E61">
        <v>12.5</v>
      </c>
      <c r="F61">
        <v>7</v>
      </c>
      <c r="G61">
        <v>87.5</v>
      </c>
      <c r="H61" t="s">
        <v>25</v>
      </c>
      <c r="I61" t="s">
        <v>16</v>
      </c>
      <c r="J61" s="1">
        <v>44939</v>
      </c>
      <c r="K61" t="b">
        <v>0</v>
      </c>
    </row>
    <row r="62" spans="1:11" x14ac:dyDescent="0.3">
      <c r="A62" t="s">
        <v>153</v>
      </c>
      <c r="B62" t="s">
        <v>74</v>
      </c>
      <c r="C62" t="s">
        <v>130</v>
      </c>
      <c r="D62" t="s">
        <v>154</v>
      </c>
      <c r="E62">
        <v>39.5</v>
      </c>
      <c r="F62">
        <v>8</v>
      </c>
      <c r="G62">
        <v>316</v>
      </c>
      <c r="H62" t="s">
        <v>25</v>
      </c>
      <c r="I62" t="s">
        <v>38</v>
      </c>
      <c r="J62" s="1">
        <v>45034</v>
      </c>
      <c r="K62" t="b">
        <v>0</v>
      </c>
    </row>
    <row r="63" spans="1:11" x14ac:dyDescent="0.3">
      <c r="A63" t="s">
        <v>155</v>
      </c>
      <c r="B63" t="s">
        <v>46</v>
      </c>
      <c r="C63" t="s">
        <v>19</v>
      </c>
      <c r="D63" t="s">
        <v>58</v>
      </c>
      <c r="E63">
        <v>27.5</v>
      </c>
      <c r="F63">
        <v>3</v>
      </c>
      <c r="G63">
        <v>82.5</v>
      </c>
      <c r="H63" t="s">
        <v>15</v>
      </c>
      <c r="I63" t="s">
        <v>16</v>
      </c>
      <c r="J63" s="1">
        <v>45603</v>
      </c>
      <c r="K63" t="b">
        <v>1</v>
      </c>
    </row>
    <row r="64" spans="1:11" x14ac:dyDescent="0.3">
      <c r="A64" t="s">
        <v>156</v>
      </c>
      <c r="B64" t="s">
        <v>123</v>
      </c>
      <c r="C64" t="s">
        <v>13</v>
      </c>
      <c r="D64" t="s">
        <v>133</v>
      </c>
      <c r="E64">
        <v>20</v>
      </c>
      <c r="F64">
        <v>9</v>
      </c>
      <c r="G64">
        <v>180</v>
      </c>
      <c r="H64" t="s">
        <v>25</v>
      </c>
      <c r="I64" t="s">
        <v>38</v>
      </c>
      <c r="J64" s="1">
        <v>45064</v>
      </c>
      <c r="K64" t="b">
        <v>1</v>
      </c>
    </row>
    <row r="65" spans="1:11" x14ac:dyDescent="0.3">
      <c r="A65" t="s">
        <v>157</v>
      </c>
      <c r="B65" t="s">
        <v>77</v>
      </c>
      <c r="C65" t="s">
        <v>130</v>
      </c>
      <c r="D65" t="s">
        <v>158</v>
      </c>
      <c r="E65">
        <v>36.5</v>
      </c>
      <c r="F65">
        <v>7</v>
      </c>
      <c r="G65">
        <v>255.5</v>
      </c>
      <c r="H65" t="s">
        <v>48</v>
      </c>
      <c r="I65" t="s">
        <v>38</v>
      </c>
      <c r="J65" s="1">
        <v>44636</v>
      </c>
      <c r="K65" t="b">
        <v>0</v>
      </c>
    </row>
    <row r="66" spans="1:11" x14ac:dyDescent="0.3">
      <c r="A66" t="s">
        <v>159</v>
      </c>
      <c r="B66" t="s">
        <v>69</v>
      </c>
      <c r="C66" t="s">
        <v>32</v>
      </c>
      <c r="D66" t="s">
        <v>160</v>
      </c>
      <c r="E66">
        <v>36.5</v>
      </c>
      <c r="F66">
        <v>10</v>
      </c>
      <c r="G66">
        <v>365</v>
      </c>
      <c r="H66" t="s">
        <v>25</v>
      </c>
      <c r="I66" t="s">
        <v>16</v>
      </c>
      <c r="J66" s="1">
        <v>45506</v>
      </c>
      <c r="K66" t="b">
        <v>1</v>
      </c>
    </row>
    <row r="67" spans="1:11" x14ac:dyDescent="0.3">
      <c r="A67" t="s">
        <v>161</v>
      </c>
      <c r="B67" t="s">
        <v>65</v>
      </c>
      <c r="C67" t="s">
        <v>23</v>
      </c>
      <c r="D67" t="s">
        <v>162</v>
      </c>
      <c r="E67">
        <v>6.5</v>
      </c>
      <c r="F67">
        <v>6</v>
      </c>
      <c r="G67">
        <v>39</v>
      </c>
      <c r="H67" t="s">
        <v>25</v>
      </c>
      <c r="I67" t="s">
        <v>38</v>
      </c>
      <c r="J67" s="1">
        <v>44846</v>
      </c>
    </row>
    <row r="68" spans="1:11" x14ac:dyDescent="0.3">
      <c r="A68" t="s">
        <v>163</v>
      </c>
      <c r="B68" t="s">
        <v>69</v>
      </c>
      <c r="C68" t="s">
        <v>13</v>
      </c>
      <c r="D68" t="s">
        <v>164</v>
      </c>
      <c r="E68">
        <v>24.5</v>
      </c>
      <c r="F68">
        <v>10</v>
      </c>
      <c r="G68">
        <v>245</v>
      </c>
      <c r="H68" t="s">
        <v>25</v>
      </c>
      <c r="I68" t="s">
        <v>38</v>
      </c>
      <c r="J68" s="1">
        <v>44601</v>
      </c>
      <c r="K68" t="b">
        <v>0</v>
      </c>
    </row>
    <row r="69" spans="1:11" x14ac:dyDescent="0.3">
      <c r="A69" t="s">
        <v>165</v>
      </c>
      <c r="B69" t="s">
        <v>84</v>
      </c>
      <c r="C69" t="s">
        <v>13</v>
      </c>
      <c r="D69" t="s">
        <v>166</v>
      </c>
      <c r="E69">
        <v>21.5</v>
      </c>
      <c r="F69">
        <v>8</v>
      </c>
      <c r="G69">
        <v>172</v>
      </c>
      <c r="H69" t="s">
        <v>48</v>
      </c>
      <c r="I69" t="s">
        <v>38</v>
      </c>
      <c r="J69" s="1">
        <v>45257</v>
      </c>
      <c r="K69" t="b">
        <v>0</v>
      </c>
    </row>
    <row r="70" spans="1:11" x14ac:dyDescent="0.3">
      <c r="A70" t="s">
        <v>167</v>
      </c>
      <c r="B70" t="s">
        <v>168</v>
      </c>
      <c r="C70" t="s">
        <v>23</v>
      </c>
      <c r="D70" t="s">
        <v>85</v>
      </c>
      <c r="E70">
        <v>33.5</v>
      </c>
      <c r="F70">
        <v>4</v>
      </c>
      <c r="G70">
        <v>134</v>
      </c>
      <c r="H70" t="s">
        <v>25</v>
      </c>
      <c r="I70" t="s">
        <v>16</v>
      </c>
      <c r="J70" s="1">
        <v>45251</v>
      </c>
    </row>
    <row r="71" spans="1:11" x14ac:dyDescent="0.3">
      <c r="A71" t="s">
        <v>169</v>
      </c>
      <c r="B71" t="s">
        <v>113</v>
      </c>
      <c r="C71" t="s">
        <v>32</v>
      </c>
      <c r="D71" t="s">
        <v>170</v>
      </c>
      <c r="E71">
        <v>30.5</v>
      </c>
      <c r="F71">
        <v>4</v>
      </c>
      <c r="G71">
        <v>122</v>
      </c>
      <c r="H71" t="s">
        <v>25</v>
      </c>
      <c r="I71" t="s">
        <v>16</v>
      </c>
      <c r="J71" s="1">
        <v>44833</v>
      </c>
      <c r="K71" t="b">
        <v>1</v>
      </c>
    </row>
    <row r="72" spans="1:11" x14ac:dyDescent="0.3">
      <c r="A72" t="s">
        <v>171</v>
      </c>
      <c r="B72" t="s">
        <v>65</v>
      </c>
      <c r="C72" t="s">
        <v>13</v>
      </c>
      <c r="D72" t="s">
        <v>172</v>
      </c>
      <c r="E72">
        <v>5</v>
      </c>
      <c r="F72">
        <v>6</v>
      </c>
      <c r="G72">
        <v>30</v>
      </c>
      <c r="H72" t="s">
        <v>15</v>
      </c>
      <c r="I72" t="s">
        <v>16</v>
      </c>
      <c r="J72" s="1">
        <v>44912</v>
      </c>
      <c r="K72" t="b">
        <v>1</v>
      </c>
    </row>
    <row r="73" spans="1:11" x14ac:dyDescent="0.3">
      <c r="A73" t="s">
        <v>173</v>
      </c>
      <c r="B73" t="s">
        <v>46</v>
      </c>
      <c r="C73" t="s">
        <v>28</v>
      </c>
      <c r="D73" t="s">
        <v>174</v>
      </c>
      <c r="E73">
        <v>9.5</v>
      </c>
      <c r="F73">
        <v>7</v>
      </c>
      <c r="G73">
        <v>66.5</v>
      </c>
      <c r="H73" t="s">
        <v>15</v>
      </c>
      <c r="I73" t="s">
        <v>38</v>
      </c>
      <c r="J73" s="1">
        <v>45010</v>
      </c>
    </row>
    <row r="74" spans="1:11" x14ac:dyDescent="0.3">
      <c r="A74" t="s">
        <v>175</v>
      </c>
      <c r="B74" t="s">
        <v>46</v>
      </c>
      <c r="C74" t="s">
        <v>41</v>
      </c>
      <c r="D74" t="s">
        <v>176</v>
      </c>
      <c r="E74">
        <v>36.5</v>
      </c>
      <c r="F74">
        <v>10</v>
      </c>
      <c r="G74">
        <v>365</v>
      </c>
      <c r="H74" t="s">
        <v>15</v>
      </c>
      <c r="I74" t="s">
        <v>38</v>
      </c>
      <c r="J74" s="1">
        <v>45284</v>
      </c>
      <c r="K74" t="b">
        <v>1</v>
      </c>
    </row>
    <row r="75" spans="1:11" x14ac:dyDescent="0.3">
      <c r="A75" t="s">
        <v>177</v>
      </c>
      <c r="B75" t="s">
        <v>40</v>
      </c>
      <c r="C75" t="s">
        <v>13</v>
      </c>
      <c r="D75" t="s">
        <v>178</v>
      </c>
      <c r="E75">
        <v>14</v>
      </c>
      <c r="F75">
        <v>9</v>
      </c>
      <c r="G75">
        <v>126</v>
      </c>
      <c r="H75" t="s">
        <v>15</v>
      </c>
      <c r="I75" t="s">
        <v>38</v>
      </c>
      <c r="J75" s="1">
        <v>45669</v>
      </c>
      <c r="K75" t="b">
        <v>0</v>
      </c>
    </row>
    <row r="76" spans="1:11" x14ac:dyDescent="0.3">
      <c r="A76" t="s">
        <v>179</v>
      </c>
      <c r="B76" t="s">
        <v>100</v>
      </c>
      <c r="C76" t="s">
        <v>28</v>
      </c>
      <c r="D76" t="s">
        <v>71</v>
      </c>
      <c r="E76">
        <v>14</v>
      </c>
      <c r="F76">
        <v>6</v>
      </c>
      <c r="G76">
        <v>84</v>
      </c>
      <c r="H76" t="s">
        <v>15</v>
      </c>
      <c r="I76" t="s">
        <v>16</v>
      </c>
      <c r="J76" s="1">
        <v>45285</v>
      </c>
      <c r="K76" t="b">
        <v>1</v>
      </c>
    </row>
    <row r="77" spans="1:11" x14ac:dyDescent="0.3">
      <c r="A77" t="s">
        <v>180</v>
      </c>
      <c r="B77" t="s">
        <v>22</v>
      </c>
      <c r="C77" t="s">
        <v>19</v>
      </c>
      <c r="D77" t="s">
        <v>142</v>
      </c>
      <c r="E77">
        <v>32</v>
      </c>
      <c r="F77">
        <v>10</v>
      </c>
      <c r="G77">
        <v>320</v>
      </c>
      <c r="H77" t="s">
        <v>15</v>
      </c>
      <c r="I77" t="s">
        <v>38</v>
      </c>
      <c r="J77" s="1">
        <v>44945</v>
      </c>
    </row>
    <row r="78" spans="1:11" x14ac:dyDescent="0.3">
      <c r="A78" t="s">
        <v>181</v>
      </c>
      <c r="B78" t="s">
        <v>22</v>
      </c>
      <c r="C78" t="s">
        <v>28</v>
      </c>
      <c r="D78" t="s">
        <v>117</v>
      </c>
      <c r="E78">
        <v>36.5</v>
      </c>
      <c r="F78">
        <v>6</v>
      </c>
      <c r="G78">
        <v>219</v>
      </c>
      <c r="H78" t="s">
        <v>48</v>
      </c>
      <c r="I78" t="s">
        <v>38</v>
      </c>
      <c r="J78" s="1">
        <v>44964</v>
      </c>
      <c r="K78" t="b">
        <v>1</v>
      </c>
    </row>
    <row r="79" spans="1:11" x14ac:dyDescent="0.3">
      <c r="A79" t="s">
        <v>182</v>
      </c>
      <c r="B79" t="s">
        <v>12</v>
      </c>
      <c r="C79" t="s">
        <v>130</v>
      </c>
      <c r="D79" t="s">
        <v>183</v>
      </c>
      <c r="E79">
        <v>33.5</v>
      </c>
      <c r="F79">
        <v>10</v>
      </c>
      <c r="G79">
        <v>335</v>
      </c>
      <c r="H79" t="s">
        <v>25</v>
      </c>
      <c r="I79" t="s">
        <v>16</v>
      </c>
      <c r="J79" s="1">
        <v>44666</v>
      </c>
    </row>
    <row r="80" spans="1:11" x14ac:dyDescent="0.3">
      <c r="A80" t="s">
        <v>184</v>
      </c>
      <c r="B80" t="s">
        <v>123</v>
      </c>
      <c r="C80" t="s">
        <v>32</v>
      </c>
      <c r="D80" t="s">
        <v>185</v>
      </c>
      <c r="E80">
        <v>33.5</v>
      </c>
      <c r="F80">
        <v>2</v>
      </c>
      <c r="G80">
        <v>67</v>
      </c>
      <c r="H80" t="s">
        <v>15</v>
      </c>
      <c r="I80" t="s">
        <v>16</v>
      </c>
      <c r="J80" s="1">
        <v>45040</v>
      </c>
    </row>
    <row r="81" spans="1:11" x14ac:dyDescent="0.3">
      <c r="A81" t="s">
        <v>186</v>
      </c>
      <c r="B81" t="s">
        <v>98</v>
      </c>
      <c r="C81" t="s">
        <v>130</v>
      </c>
      <c r="D81" t="s">
        <v>158</v>
      </c>
      <c r="E81">
        <v>36.5</v>
      </c>
      <c r="F81">
        <v>4</v>
      </c>
      <c r="G81">
        <v>146</v>
      </c>
      <c r="H81" t="s">
        <v>15</v>
      </c>
      <c r="I81" t="s">
        <v>16</v>
      </c>
      <c r="J81" s="1">
        <v>45487</v>
      </c>
      <c r="K81" t="b">
        <v>1</v>
      </c>
    </row>
    <row r="82" spans="1:11" x14ac:dyDescent="0.3">
      <c r="A82" t="s">
        <v>187</v>
      </c>
      <c r="B82" t="s">
        <v>36</v>
      </c>
      <c r="C82" t="s">
        <v>13</v>
      </c>
      <c r="D82" t="s">
        <v>61</v>
      </c>
      <c r="E82">
        <v>29</v>
      </c>
      <c r="F82">
        <v>10</v>
      </c>
      <c r="G82">
        <v>290</v>
      </c>
      <c r="H82" t="s">
        <v>25</v>
      </c>
      <c r="I82" t="s">
        <v>38</v>
      </c>
      <c r="J82" s="1">
        <v>45643</v>
      </c>
    </row>
    <row r="83" spans="1:11" x14ac:dyDescent="0.3">
      <c r="A83" t="s">
        <v>188</v>
      </c>
      <c r="B83" t="s">
        <v>74</v>
      </c>
      <c r="C83" t="s">
        <v>66</v>
      </c>
      <c r="D83" t="s">
        <v>101</v>
      </c>
      <c r="E83">
        <v>35</v>
      </c>
      <c r="F83">
        <v>2</v>
      </c>
      <c r="G83">
        <v>70</v>
      </c>
      <c r="H83" t="s">
        <v>15</v>
      </c>
      <c r="I83" t="s">
        <v>38</v>
      </c>
      <c r="J83" s="1">
        <v>45055</v>
      </c>
      <c r="K83" t="b">
        <v>0</v>
      </c>
    </row>
    <row r="84" spans="1:11" x14ac:dyDescent="0.3">
      <c r="A84" t="s">
        <v>189</v>
      </c>
      <c r="B84" t="s">
        <v>12</v>
      </c>
      <c r="C84" t="s">
        <v>41</v>
      </c>
      <c r="D84" t="s">
        <v>190</v>
      </c>
      <c r="E84">
        <v>20</v>
      </c>
      <c r="F84">
        <v>8</v>
      </c>
      <c r="G84">
        <v>160</v>
      </c>
      <c r="H84" t="s">
        <v>15</v>
      </c>
      <c r="I84" t="s">
        <v>38</v>
      </c>
      <c r="J84" s="1">
        <v>45526</v>
      </c>
      <c r="K84" t="b">
        <v>0</v>
      </c>
    </row>
    <row r="85" spans="1:11" x14ac:dyDescent="0.3">
      <c r="A85" t="s">
        <v>191</v>
      </c>
      <c r="B85" t="s">
        <v>46</v>
      </c>
      <c r="C85" t="s">
        <v>13</v>
      </c>
      <c r="E85">
        <v>15.5</v>
      </c>
      <c r="H85" t="s">
        <v>25</v>
      </c>
      <c r="I85" t="s">
        <v>38</v>
      </c>
      <c r="J85" s="1">
        <v>45376</v>
      </c>
      <c r="K85" t="b">
        <v>0</v>
      </c>
    </row>
    <row r="86" spans="1:11" x14ac:dyDescent="0.3">
      <c r="A86" t="s">
        <v>192</v>
      </c>
      <c r="B86" t="s">
        <v>77</v>
      </c>
      <c r="C86" t="s">
        <v>13</v>
      </c>
      <c r="D86" t="s">
        <v>193</v>
      </c>
      <c r="E86">
        <v>41</v>
      </c>
      <c r="F86">
        <v>2</v>
      </c>
      <c r="G86">
        <v>82</v>
      </c>
      <c r="H86" t="s">
        <v>25</v>
      </c>
      <c r="I86" t="s">
        <v>16</v>
      </c>
      <c r="J86" s="1">
        <v>45113</v>
      </c>
      <c r="K86" t="b">
        <v>1</v>
      </c>
    </row>
    <row r="87" spans="1:11" x14ac:dyDescent="0.3">
      <c r="A87" t="s">
        <v>194</v>
      </c>
      <c r="B87" t="s">
        <v>89</v>
      </c>
      <c r="C87" t="s">
        <v>32</v>
      </c>
      <c r="D87" t="s">
        <v>195</v>
      </c>
      <c r="E87">
        <v>14</v>
      </c>
      <c r="F87">
        <v>1</v>
      </c>
      <c r="G87">
        <v>14</v>
      </c>
      <c r="H87" t="s">
        <v>25</v>
      </c>
      <c r="I87" t="s">
        <v>38</v>
      </c>
      <c r="J87" s="1">
        <v>45409</v>
      </c>
    </row>
    <row r="88" spans="1:11" x14ac:dyDescent="0.3">
      <c r="A88" t="s">
        <v>196</v>
      </c>
      <c r="B88" t="s">
        <v>65</v>
      </c>
      <c r="C88" t="s">
        <v>41</v>
      </c>
      <c r="D88" t="s">
        <v>197</v>
      </c>
      <c r="E88">
        <v>35</v>
      </c>
      <c r="F88">
        <v>3</v>
      </c>
      <c r="G88">
        <v>105</v>
      </c>
      <c r="H88" t="s">
        <v>15</v>
      </c>
      <c r="I88" t="s">
        <v>16</v>
      </c>
      <c r="J88" s="1">
        <v>45017</v>
      </c>
    </row>
    <row r="89" spans="1:11" x14ac:dyDescent="0.3">
      <c r="A89" t="s">
        <v>198</v>
      </c>
      <c r="B89" t="s">
        <v>84</v>
      </c>
      <c r="C89" t="s">
        <v>41</v>
      </c>
      <c r="D89" t="s">
        <v>199</v>
      </c>
      <c r="E89">
        <v>39.5</v>
      </c>
      <c r="F89">
        <v>9</v>
      </c>
      <c r="G89">
        <v>355.5</v>
      </c>
      <c r="H89" t="s">
        <v>25</v>
      </c>
      <c r="I89" t="s">
        <v>38</v>
      </c>
      <c r="J89" s="1">
        <v>44902</v>
      </c>
      <c r="K89" t="b">
        <v>0</v>
      </c>
    </row>
    <row r="90" spans="1:11" x14ac:dyDescent="0.3">
      <c r="A90" t="s">
        <v>200</v>
      </c>
      <c r="B90" t="s">
        <v>123</v>
      </c>
      <c r="C90" t="s">
        <v>19</v>
      </c>
      <c r="D90" t="s">
        <v>201</v>
      </c>
      <c r="E90">
        <v>15.5</v>
      </c>
      <c r="F90">
        <v>8</v>
      </c>
      <c r="G90">
        <v>124</v>
      </c>
      <c r="H90" t="s">
        <v>48</v>
      </c>
      <c r="I90" t="s">
        <v>16</v>
      </c>
      <c r="J90" s="1">
        <v>45463</v>
      </c>
    </row>
    <row r="91" spans="1:11" x14ac:dyDescent="0.3">
      <c r="A91" t="s">
        <v>202</v>
      </c>
      <c r="B91" t="s">
        <v>18</v>
      </c>
      <c r="C91" t="s">
        <v>32</v>
      </c>
      <c r="D91" t="s">
        <v>203</v>
      </c>
      <c r="E91">
        <v>9.5</v>
      </c>
      <c r="F91">
        <v>3</v>
      </c>
      <c r="G91">
        <v>28.5</v>
      </c>
      <c r="H91" t="s">
        <v>48</v>
      </c>
      <c r="I91" t="s">
        <v>38</v>
      </c>
      <c r="J91" s="1">
        <v>45524</v>
      </c>
      <c r="K91" t="b">
        <v>0</v>
      </c>
    </row>
    <row r="92" spans="1:11" x14ac:dyDescent="0.3">
      <c r="A92" t="s">
        <v>204</v>
      </c>
      <c r="B92" t="s">
        <v>113</v>
      </c>
      <c r="C92" t="s">
        <v>28</v>
      </c>
      <c r="D92" t="s">
        <v>205</v>
      </c>
      <c r="E92">
        <v>24.5</v>
      </c>
      <c r="F92">
        <v>2</v>
      </c>
      <c r="G92">
        <v>49</v>
      </c>
      <c r="H92" t="s">
        <v>25</v>
      </c>
      <c r="I92" t="s">
        <v>38</v>
      </c>
      <c r="J92" s="1">
        <v>45119</v>
      </c>
      <c r="K92" t="b">
        <v>1</v>
      </c>
    </row>
    <row r="93" spans="1:11" x14ac:dyDescent="0.3">
      <c r="A93" t="s">
        <v>206</v>
      </c>
      <c r="B93" t="s">
        <v>84</v>
      </c>
      <c r="C93" t="s">
        <v>13</v>
      </c>
      <c r="D93" t="s">
        <v>207</v>
      </c>
      <c r="E93">
        <v>9.5</v>
      </c>
      <c r="F93">
        <v>5</v>
      </c>
      <c r="G93">
        <v>47.5</v>
      </c>
      <c r="H93" t="s">
        <v>48</v>
      </c>
      <c r="I93" t="s">
        <v>16</v>
      </c>
      <c r="J93" s="1">
        <v>45547</v>
      </c>
    </row>
    <row r="94" spans="1:11" x14ac:dyDescent="0.3">
      <c r="A94" t="s">
        <v>208</v>
      </c>
      <c r="B94" t="s">
        <v>98</v>
      </c>
      <c r="C94" t="s">
        <v>13</v>
      </c>
      <c r="D94" t="s">
        <v>166</v>
      </c>
      <c r="E94">
        <v>21.5</v>
      </c>
      <c r="F94">
        <v>9</v>
      </c>
      <c r="G94">
        <v>193.5</v>
      </c>
      <c r="H94" t="s">
        <v>48</v>
      </c>
      <c r="I94" t="s">
        <v>38</v>
      </c>
      <c r="J94" s="1">
        <v>45048</v>
      </c>
      <c r="K94" t="b">
        <v>1</v>
      </c>
    </row>
    <row r="95" spans="1:11" x14ac:dyDescent="0.3">
      <c r="A95" t="s">
        <v>209</v>
      </c>
      <c r="B95" t="s">
        <v>113</v>
      </c>
      <c r="C95" t="s">
        <v>19</v>
      </c>
      <c r="D95" t="s">
        <v>210</v>
      </c>
      <c r="E95">
        <v>9.5</v>
      </c>
      <c r="F95">
        <v>4</v>
      </c>
      <c r="G95">
        <v>38</v>
      </c>
      <c r="H95" t="s">
        <v>15</v>
      </c>
      <c r="I95" t="s">
        <v>16</v>
      </c>
      <c r="J95" s="1">
        <v>45378</v>
      </c>
      <c r="K95" t="b">
        <v>1</v>
      </c>
    </row>
    <row r="96" spans="1:11" x14ac:dyDescent="0.3">
      <c r="A96" t="s">
        <v>211</v>
      </c>
      <c r="B96" t="s">
        <v>84</v>
      </c>
      <c r="C96" t="s">
        <v>130</v>
      </c>
      <c r="D96" t="s">
        <v>212</v>
      </c>
      <c r="E96">
        <v>14</v>
      </c>
      <c r="F96">
        <v>1</v>
      </c>
      <c r="G96">
        <v>14</v>
      </c>
      <c r="H96" t="s">
        <v>15</v>
      </c>
      <c r="I96" t="s">
        <v>16</v>
      </c>
      <c r="J96" s="1">
        <v>44977</v>
      </c>
      <c r="K96" t="b">
        <v>1</v>
      </c>
    </row>
    <row r="97" spans="1:11" x14ac:dyDescent="0.3">
      <c r="A97" t="s">
        <v>213</v>
      </c>
      <c r="B97" t="s">
        <v>89</v>
      </c>
      <c r="C97" t="s">
        <v>66</v>
      </c>
      <c r="D97" t="s">
        <v>75</v>
      </c>
      <c r="E97">
        <v>9.5</v>
      </c>
      <c r="F97">
        <v>8</v>
      </c>
      <c r="G97">
        <v>76</v>
      </c>
      <c r="H97" t="s">
        <v>48</v>
      </c>
      <c r="I97" t="s">
        <v>38</v>
      </c>
      <c r="J97" s="1">
        <v>45471</v>
      </c>
    </row>
    <row r="98" spans="1:11" x14ac:dyDescent="0.3">
      <c r="A98" t="s">
        <v>214</v>
      </c>
      <c r="B98" t="s">
        <v>63</v>
      </c>
      <c r="C98" t="s">
        <v>66</v>
      </c>
      <c r="D98" t="s">
        <v>215</v>
      </c>
      <c r="E98">
        <v>12.5</v>
      </c>
      <c r="F98">
        <v>1</v>
      </c>
      <c r="G98">
        <v>12.5</v>
      </c>
      <c r="H98" t="s">
        <v>25</v>
      </c>
      <c r="I98" t="s">
        <v>38</v>
      </c>
      <c r="J98" s="1">
        <v>45552</v>
      </c>
    </row>
    <row r="99" spans="1:11" x14ac:dyDescent="0.3">
      <c r="A99" t="s">
        <v>216</v>
      </c>
      <c r="B99" t="s">
        <v>69</v>
      </c>
      <c r="C99" t="s">
        <v>23</v>
      </c>
      <c r="D99" t="s">
        <v>217</v>
      </c>
      <c r="E99">
        <v>35</v>
      </c>
      <c r="F99">
        <v>4</v>
      </c>
      <c r="G99">
        <v>140</v>
      </c>
      <c r="H99" t="s">
        <v>48</v>
      </c>
      <c r="I99" t="s">
        <v>38</v>
      </c>
      <c r="J99" s="1">
        <v>45387</v>
      </c>
      <c r="K99" t="b">
        <v>0</v>
      </c>
    </row>
    <row r="100" spans="1:11" x14ac:dyDescent="0.3">
      <c r="A100" t="s">
        <v>218</v>
      </c>
      <c r="B100" t="s">
        <v>40</v>
      </c>
      <c r="C100" t="s">
        <v>32</v>
      </c>
      <c r="D100" t="s">
        <v>94</v>
      </c>
      <c r="E100">
        <v>20</v>
      </c>
      <c r="F100">
        <v>6</v>
      </c>
      <c r="G100">
        <v>120</v>
      </c>
      <c r="H100" t="s">
        <v>48</v>
      </c>
      <c r="I100" t="s">
        <v>16</v>
      </c>
      <c r="J100" s="1">
        <v>44590</v>
      </c>
      <c r="K100" t="b">
        <v>1</v>
      </c>
    </row>
    <row r="101" spans="1:11" x14ac:dyDescent="0.3">
      <c r="A101" t="s">
        <v>219</v>
      </c>
      <c r="B101" t="s">
        <v>46</v>
      </c>
      <c r="C101" t="s">
        <v>32</v>
      </c>
      <c r="D101" t="s">
        <v>170</v>
      </c>
      <c r="E101">
        <v>30.5</v>
      </c>
      <c r="F101">
        <v>6</v>
      </c>
      <c r="G101">
        <v>183</v>
      </c>
      <c r="H101" t="s">
        <v>25</v>
      </c>
      <c r="I101" t="s">
        <v>38</v>
      </c>
      <c r="J101" s="1">
        <v>45163</v>
      </c>
    </row>
    <row r="102" spans="1:11" x14ac:dyDescent="0.3">
      <c r="A102" t="s">
        <v>220</v>
      </c>
      <c r="B102" t="s">
        <v>36</v>
      </c>
      <c r="C102" t="s">
        <v>32</v>
      </c>
      <c r="D102" t="s">
        <v>185</v>
      </c>
      <c r="E102">
        <v>33.5</v>
      </c>
      <c r="F102">
        <v>10</v>
      </c>
      <c r="G102">
        <v>335</v>
      </c>
      <c r="H102" t="s">
        <v>48</v>
      </c>
      <c r="I102" t="s">
        <v>16</v>
      </c>
      <c r="J102" s="1">
        <v>45481</v>
      </c>
      <c r="K102" t="b">
        <v>0</v>
      </c>
    </row>
    <row r="103" spans="1:11" x14ac:dyDescent="0.3">
      <c r="A103" t="s">
        <v>221</v>
      </c>
      <c r="B103" t="s">
        <v>69</v>
      </c>
      <c r="C103" t="s">
        <v>13</v>
      </c>
      <c r="D103" t="s">
        <v>222</v>
      </c>
      <c r="E103">
        <v>27.5</v>
      </c>
      <c r="F103">
        <v>6</v>
      </c>
      <c r="G103">
        <v>165</v>
      </c>
      <c r="H103" t="s">
        <v>48</v>
      </c>
      <c r="I103" t="s">
        <v>38</v>
      </c>
      <c r="J103" s="1">
        <v>45237</v>
      </c>
      <c r="K103" t="b">
        <v>0</v>
      </c>
    </row>
    <row r="104" spans="1:11" x14ac:dyDescent="0.3">
      <c r="A104" t="s">
        <v>223</v>
      </c>
      <c r="B104" t="s">
        <v>77</v>
      </c>
      <c r="C104" t="s">
        <v>32</v>
      </c>
      <c r="D104" t="s">
        <v>170</v>
      </c>
      <c r="E104">
        <v>30.5</v>
      </c>
      <c r="F104">
        <v>10</v>
      </c>
      <c r="G104">
        <v>305</v>
      </c>
      <c r="H104" t="s">
        <v>48</v>
      </c>
      <c r="I104" t="s">
        <v>16</v>
      </c>
      <c r="J104" s="1">
        <v>45247</v>
      </c>
    </row>
    <row r="105" spans="1:11" x14ac:dyDescent="0.3">
      <c r="A105" t="s">
        <v>224</v>
      </c>
      <c r="B105" t="s">
        <v>27</v>
      </c>
      <c r="C105" t="s">
        <v>130</v>
      </c>
      <c r="D105" t="s">
        <v>225</v>
      </c>
      <c r="E105">
        <v>41</v>
      </c>
      <c r="F105">
        <v>1</v>
      </c>
      <c r="G105">
        <v>41</v>
      </c>
      <c r="H105" t="s">
        <v>48</v>
      </c>
      <c r="I105" t="s">
        <v>38</v>
      </c>
      <c r="J105" s="1">
        <v>45601</v>
      </c>
      <c r="K105" t="b">
        <v>0</v>
      </c>
    </row>
    <row r="106" spans="1:11" x14ac:dyDescent="0.3">
      <c r="A106" t="s">
        <v>226</v>
      </c>
      <c r="B106" t="s">
        <v>12</v>
      </c>
      <c r="C106" t="s">
        <v>23</v>
      </c>
      <c r="D106" t="s">
        <v>227</v>
      </c>
      <c r="E106">
        <v>15.5</v>
      </c>
      <c r="F106">
        <v>10</v>
      </c>
      <c r="G106">
        <v>155</v>
      </c>
      <c r="H106" t="s">
        <v>15</v>
      </c>
      <c r="I106" t="s">
        <v>38</v>
      </c>
      <c r="J106" s="1">
        <v>45022</v>
      </c>
      <c r="K106" t="b">
        <v>0</v>
      </c>
    </row>
    <row r="107" spans="1:11" x14ac:dyDescent="0.3">
      <c r="A107" t="s">
        <v>228</v>
      </c>
      <c r="B107" t="s">
        <v>65</v>
      </c>
      <c r="C107" t="s">
        <v>130</v>
      </c>
      <c r="D107" t="s">
        <v>229</v>
      </c>
      <c r="E107">
        <v>18.5</v>
      </c>
      <c r="F107">
        <v>5</v>
      </c>
      <c r="G107">
        <v>92.5</v>
      </c>
      <c r="H107" t="s">
        <v>48</v>
      </c>
      <c r="I107" t="s">
        <v>16</v>
      </c>
      <c r="J107" s="1">
        <v>44708</v>
      </c>
      <c r="K107" t="b">
        <v>0</v>
      </c>
    </row>
    <row r="108" spans="1:11" x14ac:dyDescent="0.3">
      <c r="A108" t="s">
        <v>230</v>
      </c>
      <c r="B108" t="s">
        <v>55</v>
      </c>
      <c r="C108" t="s">
        <v>23</v>
      </c>
      <c r="D108" t="s">
        <v>162</v>
      </c>
      <c r="E108">
        <v>6.5</v>
      </c>
      <c r="F108">
        <v>3</v>
      </c>
      <c r="G108">
        <v>19.5</v>
      </c>
      <c r="H108" t="s">
        <v>15</v>
      </c>
      <c r="I108" t="s">
        <v>38</v>
      </c>
      <c r="J108" s="1">
        <v>44797</v>
      </c>
      <c r="K108" t="b">
        <v>0</v>
      </c>
    </row>
    <row r="109" spans="1:11" x14ac:dyDescent="0.3">
      <c r="A109" t="s">
        <v>231</v>
      </c>
      <c r="B109" t="s">
        <v>69</v>
      </c>
      <c r="C109" t="s">
        <v>41</v>
      </c>
      <c r="D109" t="s">
        <v>87</v>
      </c>
      <c r="E109">
        <v>41</v>
      </c>
      <c r="F109">
        <v>7</v>
      </c>
      <c r="G109">
        <v>287</v>
      </c>
      <c r="H109" t="s">
        <v>15</v>
      </c>
      <c r="I109" t="s">
        <v>38</v>
      </c>
      <c r="J109" s="1">
        <v>44622</v>
      </c>
      <c r="K109" t="b">
        <v>0</v>
      </c>
    </row>
    <row r="110" spans="1:11" x14ac:dyDescent="0.3">
      <c r="A110" t="s">
        <v>232</v>
      </c>
      <c r="B110" t="s">
        <v>46</v>
      </c>
      <c r="C110" t="s">
        <v>41</v>
      </c>
      <c r="D110" t="s">
        <v>233</v>
      </c>
      <c r="E110">
        <v>11</v>
      </c>
      <c r="F110">
        <v>3</v>
      </c>
      <c r="G110">
        <v>33</v>
      </c>
      <c r="H110" t="s">
        <v>25</v>
      </c>
      <c r="I110" t="s">
        <v>38</v>
      </c>
      <c r="J110" s="1">
        <v>44597</v>
      </c>
      <c r="K110" t="b">
        <v>0</v>
      </c>
    </row>
    <row r="111" spans="1:11" x14ac:dyDescent="0.3">
      <c r="A111" t="s">
        <v>234</v>
      </c>
      <c r="B111" t="s">
        <v>27</v>
      </c>
      <c r="C111" t="s">
        <v>23</v>
      </c>
      <c r="D111" t="s">
        <v>227</v>
      </c>
      <c r="E111">
        <v>15.5</v>
      </c>
      <c r="F111">
        <v>7</v>
      </c>
      <c r="G111">
        <v>108.5</v>
      </c>
      <c r="H111" t="s">
        <v>25</v>
      </c>
      <c r="I111" t="s">
        <v>38</v>
      </c>
      <c r="J111" s="1">
        <v>45412</v>
      </c>
    </row>
    <row r="112" spans="1:11" x14ac:dyDescent="0.3">
      <c r="A112" t="s">
        <v>235</v>
      </c>
      <c r="B112" t="s">
        <v>77</v>
      </c>
      <c r="C112" t="s">
        <v>32</v>
      </c>
      <c r="D112" t="s">
        <v>160</v>
      </c>
      <c r="E112">
        <v>36.5</v>
      </c>
      <c r="F112">
        <v>3</v>
      </c>
      <c r="G112">
        <v>109.5</v>
      </c>
      <c r="H112" t="s">
        <v>25</v>
      </c>
      <c r="I112" t="s">
        <v>16</v>
      </c>
      <c r="J112" s="1">
        <v>45230</v>
      </c>
    </row>
    <row r="113" spans="1:11" x14ac:dyDescent="0.3">
      <c r="A113" t="s">
        <v>236</v>
      </c>
      <c r="B113" t="s">
        <v>89</v>
      </c>
      <c r="C113" t="s">
        <v>32</v>
      </c>
      <c r="D113" t="s">
        <v>237</v>
      </c>
      <c r="E113">
        <v>17</v>
      </c>
      <c r="F113">
        <v>7</v>
      </c>
      <c r="G113">
        <v>119</v>
      </c>
      <c r="H113" t="s">
        <v>48</v>
      </c>
      <c r="I113" t="s">
        <v>38</v>
      </c>
      <c r="J113" s="1">
        <v>45599</v>
      </c>
      <c r="K113" t="b">
        <v>0</v>
      </c>
    </row>
    <row r="114" spans="1:11" x14ac:dyDescent="0.3">
      <c r="A114" t="s">
        <v>238</v>
      </c>
      <c r="B114" t="s">
        <v>43</v>
      </c>
      <c r="C114" t="s">
        <v>130</v>
      </c>
      <c r="E114">
        <v>20</v>
      </c>
      <c r="H114" t="s">
        <v>15</v>
      </c>
      <c r="I114" t="s">
        <v>16</v>
      </c>
      <c r="J114" s="1">
        <v>45307</v>
      </c>
      <c r="K114" t="b">
        <v>0</v>
      </c>
    </row>
    <row r="115" spans="1:11" x14ac:dyDescent="0.3">
      <c r="A115" t="s">
        <v>239</v>
      </c>
      <c r="B115" t="s">
        <v>108</v>
      </c>
      <c r="C115" t="s">
        <v>130</v>
      </c>
      <c r="D115" t="s">
        <v>240</v>
      </c>
      <c r="E115">
        <v>35</v>
      </c>
      <c r="F115">
        <v>8</v>
      </c>
      <c r="G115">
        <v>280</v>
      </c>
      <c r="H115" t="s">
        <v>15</v>
      </c>
      <c r="I115" t="s">
        <v>16</v>
      </c>
      <c r="J115" s="1">
        <v>44781</v>
      </c>
      <c r="K115" t="b">
        <v>1</v>
      </c>
    </row>
    <row r="116" spans="1:11" x14ac:dyDescent="0.3">
      <c r="A116" t="s">
        <v>241</v>
      </c>
      <c r="B116" t="s">
        <v>168</v>
      </c>
      <c r="C116" t="s">
        <v>28</v>
      </c>
      <c r="E116">
        <v>39.5</v>
      </c>
      <c r="H116" t="s">
        <v>15</v>
      </c>
      <c r="I116" t="s">
        <v>16</v>
      </c>
      <c r="J116" s="1">
        <v>45294</v>
      </c>
      <c r="K116" t="b">
        <v>0</v>
      </c>
    </row>
    <row r="117" spans="1:11" x14ac:dyDescent="0.3">
      <c r="A117" t="s">
        <v>242</v>
      </c>
      <c r="B117" t="s">
        <v>46</v>
      </c>
      <c r="C117" t="s">
        <v>130</v>
      </c>
      <c r="D117" t="s">
        <v>243</v>
      </c>
      <c r="E117">
        <v>15.5</v>
      </c>
      <c r="F117">
        <v>10</v>
      </c>
      <c r="G117">
        <v>155</v>
      </c>
      <c r="H117" t="s">
        <v>48</v>
      </c>
      <c r="I117" t="s">
        <v>38</v>
      </c>
      <c r="J117" s="1">
        <v>45129</v>
      </c>
      <c r="K117" t="b">
        <v>0</v>
      </c>
    </row>
    <row r="118" spans="1:11" x14ac:dyDescent="0.3">
      <c r="A118" t="s">
        <v>244</v>
      </c>
      <c r="B118" t="s">
        <v>36</v>
      </c>
      <c r="C118" t="s">
        <v>130</v>
      </c>
      <c r="D118" t="s">
        <v>225</v>
      </c>
      <c r="E118">
        <v>41</v>
      </c>
      <c r="F118">
        <v>7</v>
      </c>
      <c r="G118">
        <v>287</v>
      </c>
      <c r="H118" t="s">
        <v>48</v>
      </c>
      <c r="I118" t="s">
        <v>16</v>
      </c>
      <c r="J118" s="1">
        <v>44625</v>
      </c>
    </row>
    <row r="119" spans="1:11" x14ac:dyDescent="0.3">
      <c r="A119" t="s">
        <v>245</v>
      </c>
      <c r="B119" t="s">
        <v>46</v>
      </c>
      <c r="C119" t="s">
        <v>66</v>
      </c>
      <c r="D119" t="s">
        <v>246</v>
      </c>
      <c r="E119">
        <v>15.5</v>
      </c>
      <c r="F119">
        <v>4</v>
      </c>
      <c r="G119">
        <v>62</v>
      </c>
      <c r="H119" t="s">
        <v>15</v>
      </c>
      <c r="I119" t="s">
        <v>38</v>
      </c>
      <c r="J119" s="1">
        <v>45304</v>
      </c>
      <c r="K119" t="b">
        <v>0</v>
      </c>
    </row>
    <row r="120" spans="1:11" x14ac:dyDescent="0.3">
      <c r="A120" t="s">
        <v>247</v>
      </c>
      <c r="B120" t="s">
        <v>108</v>
      </c>
      <c r="C120" t="s">
        <v>130</v>
      </c>
      <c r="E120">
        <v>27.5</v>
      </c>
      <c r="H120" t="s">
        <v>25</v>
      </c>
      <c r="I120" t="s">
        <v>16</v>
      </c>
      <c r="J120" s="1">
        <v>44600</v>
      </c>
      <c r="K120" t="b">
        <v>0</v>
      </c>
    </row>
    <row r="121" spans="1:11" x14ac:dyDescent="0.3">
      <c r="A121" t="s">
        <v>248</v>
      </c>
      <c r="B121" t="s">
        <v>12</v>
      </c>
      <c r="C121" t="s">
        <v>32</v>
      </c>
      <c r="D121" t="s">
        <v>126</v>
      </c>
      <c r="E121">
        <v>8</v>
      </c>
      <c r="F121">
        <v>4</v>
      </c>
      <c r="G121">
        <v>32</v>
      </c>
      <c r="H121" t="s">
        <v>25</v>
      </c>
      <c r="I121" t="s">
        <v>38</v>
      </c>
      <c r="J121" s="1">
        <v>44924</v>
      </c>
      <c r="K121" t="b">
        <v>0</v>
      </c>
    </row>
    <row r="122" spans="1:11" x14ac:dyDescent="0.3">
      <c r="A122" t="s">
        <v>249</v>
      </c>
      <c r="B122" t="s">
        <v>65</v>
      </c>
      <c r="C122" t="s">
        <v>19</v>
      </c>
      <c r="D122" t="s">
        <v>250</v>
      </c>
      <c r="E122">
        <v>38</v>
      </c>
      <c r="F122">
        <v>10</v>
      </c>
      <c r="G122">
        <v>380</v>
      </c>
      <c r="H122" t="s">
        <v>15</v>
      </c>
      <c r="I122" t="s">
        <v>38</v>
      </c>
      <c r="J122" s="1">
        <v>45367</v>
      </c>
    </row>
    <row r="123" spans="1:11" x14ac:dyDescent="0.3">
      <c r="A123" t="s">
        <v>251</v>
      </c>
      <c r="B123" t="s">
        <v>46</v>
      </c>
      <c r="C123" t="s">
        <v>28</v>
      </c>
      <c r="D123" t="s">
        <v>252</v>
      </c>
      <c r="E123">
        <v>38</v>
      </c>
      <c r="F123">
        <v>8</v>
      </c>
      <c r="G123">
        <v>304</v>
      </c>
      <c r="H123" t="s">
        <v>48</v>
      </c>
      <c r="I123" t="s">
        <v>16</v>
      </c>
      <c r="J123" s="1">
        <v>45562</v>
      </c>
      <c r="K123" t="b">
        <v>1</v>
      </c>
    </row>
    <row r="124" spans="1:11" x14ac:dyDescent="0.3">
      <c r="A124" t="s">
        <v>253</v>
      </c>
      <c r="B124" t="s">
        <v>84</v>
      </c>
      <c r="C124" t="s">
        <v>23</v>
      </c>
      <c r="D124" t="s">
        <v>227</v>
      </c>
      <c r="E124">
        <v>15.5</v>
      </c>
      <c r="F124">
        <v>9</v>
      </c>
      <c r="G124">
        <v>139.5</v>
      </c>
      <c r="H124" t="s">
        <v>25</v>
      </c>
      <c r="I124" t="s">
        <v>38</v>
      </c>
      <c r="J124" s="1">
        <v>45422</v>
      </c>
    </row>
    <row r="125" spans="1:11" x14ac:dyDescent="0.3">
      <c r="A125" t="s">
        <v>254</v>
      </c>
      <c r="B125" t="s">
        <v>63</v>
      </c>
      <c r="C125" t="s">
        <v>41</v>
      </c>
      <c r="D125" t="s">
        <v>144</v>
      </c>
      <c r="E125">
        <v>38</v>
      </c>
      <c r="F125">
        <v>3</v>
      </c>
      <c r="G125">
        <v>114</v>
      </c>
      <c r="H125" t="s">
        <v>15</v>
      </c>
      <c r="I125" t="s">
        <v>16</v>
      </c>
      <c r="J125" s="1">
        <v>44780</v>
      </c>
    </row>
    <row r="126" spans="1:11" x14ac:dyDescent="0.3">
      <c r="A126" t="s">
        <v>255</v>
      </c>
      <c r="B126" t="s">
        <v>46</v>
      </c>
      <c r="C126" t="s">
        <v>28</v>
      </c>
      <c r="D126" t="s">
        <v>256</v>
      </c>
      <c r="E126">
        <v>32</v>
      </c>
      <c r="F126">
        <v>6</v>
      </c>
      <c r="G126">
        <v>192</v>
      </c>
      <c r="H126" t="s">
        <v>25</v>
      </c>
      <c r="I126" t="s">
        <v>38</v>
      </c>
      <c r="J126" s="1">
        <v>44580</v>
      </c>
      <c r="K126" t="b">
        <v>1</v>
      </c>
    </row>
    <row r="127" spans="1:11" x14ac:dyDescent="0.3">
      <c r="A127" t="s">
        <v>257</v>
      </c>
      <c r="B127" t="s">
        <v>80</v>
      </c>
      <c r="C127" t="s">
        <v>28</v>
      </c>
      <c r="D127" t="s">
        <v>258</v>
      </c>
      <c r="E127">
        <v>33.5</v>
      </c>
      <c r="F127">
        <v>5</v>
      </c>
      <c r="G127">
        <v>167.5</v>
      </c>
      <c r="H127" t="s">
        <v>48</v>
      </c>
      <c r="I127" t="s">
        <v>16</v>
      </c>
      <c r="J127" s="1">
        <v>45513</v>
      </c>
      <c r="K127" t="b">
        <v>0</v>
      </c>
    </row>
    <row r="128" spans="1:11" x14ac:dyDescent="0.3">
      <c r="A128" t="s">
        <v>259</v>
      </c>
      <c r="B128" t="s">
        <v>80</v>
      </c>
      <c r="C128" t="s">
        <v>13</v>
      </c>
      <c r="D128" t="s">
        <v>14</v>
      </c>
      <c r="E128">
        <v>18.5</v>
      </c>
      <c r="F128">
        <v>5</v>
      </c>
      <c r="G128">
        <v>92.5</v>
      </c>
      <c r="H128" t="s">
        <v>48</v>
      </c>
      <c r="I128" t="s">
        <v>38</v>
      </c>
      <c r="J128" s="1">
        <v>45428</v>
      </c>
      <c r="K128" t="b">
        <v>0</v>
      </c>
    </row>
    <row r="129" spans="1:11" x14ac:dyDescent="0.3">
      <c r="A129" t="s">
        <v>260</v>
      </c>
      <c r="B129" t="s">
        <v>40</v>
      </c>
      <c r="C129" t="s">
        <v>23</v>
      </c>
      <c r="F129">
        <v>10</v>
      </c>
      <c r="G129">
        <v>275</v>
      </c>
      <c r="H129" t="s">
        <v>15</v>
      </c>
      <c r="I129" t="s">
        <v>16</v>
      </c>
      <c r="J129" s="1">
        <v>44835</v>
      </c>
      <c r="K129" t="b">
        <v>0</v>
      </c>
    </row>
    <row r="130" spans="1:11" x14ac:dyDescent="0.3">
      <c r="A130" t="s">
        <v>261</v>
      </c>
      <c r="B130" t="s">
        <v>65</v>
      </c>
      <c r="C130" t="s">
        <v>41</v>
      </c>
      <c r="D130" t="s">
        <v>233</v>
      </c>
      <c r="E130">
        <v>11</v>
      </c>
      <c r="F130">
        <v>8</v>
      </c>
      <c r="G130">
        <v>88</v>
      </c>
      <c r="H130" t="s">
        <v>15</v>
      </c>
      <c r="I130" t="s">
        <v>16</v>
      </c>
      <c r="J130" s="1">
        <v>44740</v>
      </c>
      <c r="K130" t="b">
        <v>0</v>
      </c>
    </row>
    <row r="131" spans="1:11" x14ac:dyDescent="0.3">
      <c r="A131" t="s">
        <v>262</v>
      </c>
      <c r="B131" t="s">
        <v>113</v>
      </c>
      <c r="C131" t="s">
        <v>32</v>
      </c>
      <c r="D131" t="s">
        <v>263</v>
      </c>
      <c r="E131">
        <v>39.5</v>
      </c>
      <c r="F131">
        <v>10</v>
      </c>
      <c r="G131">
        <v>395</v>
      </c>
      <c r="H131" t="s">
        <v>48</v>
      </c>
      <c r="I131" t="s">
        <v>16</v>
      </c>
      <c r="J131" s="1">
        <v>45193</v>
      </c>
    </row>
    <row r="132" spans="1:11" x14ac:dyDescent="0.3">
      <c r="A132" t="s">
        <v>264</v>
      </c>
      <c r="B132" t="s">
        <v>108</v>
      </c>
      <c r="C132" t="s">
        <v>19</v>
      </c>
      <c r="D132" t="s">
        <v>265</v>
      </c>
      <c r="E132">
        <v>35</v>
      </c>
      <c r="F132">
        <v>2</v>
      </c>
      <c r="G132">
        <v>70</v>
      </c>
      <c r="H132" t="s">
        <v>25</v>
      </c>
      <c r="I132" t="s">
        <v>38</v>
      </c>
      <c r="J132" s="1">
        <v>44578</v>
      </c>
      <c r="K132" t="b">
        <v>0</v>
      </c>
    </row>
    <row r="133" spans="1:11" x14ac:dyDescent="0.3">
      <c r="A133" t="s">
        <v>266</v>
      </c>
      <c r="B133" t="s">
        <v>100</v>
      </c>
      <c r="C133" t="s">
        <v>41</v>
      </c>
      <c r="D133" t="s">
        <v>199</v>
      </c>
      <c r="E133">
        <v>39.5</v>
      </c>
      <c r="F133">
        <v>4</v>
      </c>
      <c r="G133">
        <v>158</v>
      </c>
      <c r="H133" t="s">
        <v>15</v>
      </c>
      <c r="I133" t="s">
        <v>38</v>
      </c>
      <c r="J133" s="1">
        <v>44665</v>
      </c>
      <c r="K133" t="b">
        <v>1</v>
      </c>
    </row>
    <row r="134" spans="1:11" x14ac:dyDescent="0.3">
      <c r="A134" t="s">
        <v>267</v>
      </c>
      <c r="B134" t="s">
        <v>84</v>
      </c>
      <c r="C134" t="s">
        <v>28</v>
      </c>
      <c r="D134" t="s">
        <v>268</v>
      </c>
      <c r="E134">
        <v>12.5</v>
      </c>
      <c r="F134">
        <v>2</v>
      </c>
      <c r="G134">
        <v>25</v>
      </c>
      <c r="H134" t="s">
        <v>48</v>
      </c>
      <c r="I134" t="s">
        <v>38</v>
      </c>
      <c r="J134" s="1">
        <v>44931</v>
      </c>
      <c r="K134" t="b">
        <v>0</v>
      </c>
    </row>
    <row r="135" spans="1:11" x14ac:dyDescent="0.3">
      <c r="A135" t="s">
        <v>269</v>
      </c>
      <c r="B135" t="s">
        <v>46</v>
      </c>
      <c r="C135" t="s">
        <v>41</v>
      </c>
      <c r="D135" t="s">
        <v>87</v>
      </c>
      <c r="E135">
        <v>41</v>
      </c>
      <c r="F135">
        <v>10</v>
      </c>
      <c r="G135">
        <v>410</v>
      </c>
      <c r="H135" t="s">
        <v>25</v>
      </c>
      <c r="I135" t="s">
        <v>38</v>
      </c>
      <c r="J135" s="1">
        <v>45148</v>
      </c>
    </row>
    <row r="136" spans="1:11" x14ac:dyDescent="0.3">
      <c r="A136" t="s">
        <v>270</v>
      </c>
      <c r="B136" t="s">
        <v>84</v>
      </c>
      <c r="C136" t="s">
        <v>19</v>
      </c>
      <c r="D136" t="s">
        <v>271</v>
      </c>
      <c r="E136">
        <v>5</v>
      </c>
      <c r="F136">
        <v>10</v>
      </c>
      <c r="G136">
        <v>50</v>
      </c>
      <c r="H136" t="s">
        <v>15</v>
      </c>
      <c r="I136" t="s">
        <v>16</v>
      </c>
      <c r="J136" s="1">
        <v>44603</v>
      </c>
      <c r="K136" t="b">
        <v>1</v>
      </c>
    </row>
    <row r="137" spans="1:11" x14ac:dyDescent="0.3">
      <c r="A137" t="s">
        <v>272</v>
      </c>
      <c r="B137" t="s">
        <v>31</v>
      </c>
      <c r="C137" t="s">
        <v>19</v>
      </c>
      <c r="D137" t="s">
        <v>273</v>
      </c>
      <c r="E137">
        <v>39.5</v>
      </c>
      <c r="F137">
        <v>10</v>
      </c>
      <c r="G137">
        <v>395</v>
      </c>
      <c r="H137" t="s">
        <v>15</v>
      </c>
      <c r="I137" t="s">
        <v>16</v>
      </c>
      <c r="J137" s="1">
        <v>45372</v>
      </c>
    </row>
    <row r="138" spans="1:11" x14ac:dyDescent="0.3">
      <c r="A138" t="s">
        <v>274</v>
      </c>
      <c r="B138" t="s">
        <v>80</v>
      </c>
      <c r="C138" t="s">
        <v>130</v>
      </c>
      <c r="D138" t="s">
        <v>275</v>
      </c>
      <c r="E138">
        <v>6.5</v>
      </c>
      <c r="F138">
        <v>5</v>
      </c>
      <c r="G138">
        <v>32.5</v>
      </c>
      <c r="H138" t="s">
        <v>15</v>
      </c>
      <c r="I138" t="s">
        <v>16</v>
      </c>
      <c r="J138" s="1">
        <v>45163</v>
      </c>
    </row>
    <row r="139" spans="1:11" x14ac:dyDescent="0.3">
      <c r="A139" t="s">
        <v>276</v>
      </c>
      <c r="B139" t="s">
        <v>18</v>
      </c>
      <c r="C139" t="s">
        <v>23</v>
      </c>
      <c r="D139" t="s">
        <v>277</v>
      </c>
      <c r="E139">
        <v>30.5</v>
      </c>
      <c r="F139">
        <v>4</v>
      </c>
      <c r="G139">
        <v>122</v>
      </c>
      <c r="H139" t="s">
        <v>15</v>
      </c>
      <c r="I139" t="s">
        <v>16</v>
      </c>
      <c r="J139" s="1">
        <v>44726</v>
      </c>
      <c r="K139" t="b">
        <v>1</v>
      </c>
    </row>
    <row r="140" spans="1:11" x14ac:dyDescent="0.3">
      <c r="A140" t="s">
        <v>278</v>
      </c>
      <c r="B140" t="s">
        <v>46</v>
      </c>
      <c r="C140" t="s">
        <v>41</v>
      </c>
      <c r="E140">
        <v>35</v>
      </c>
      <c r="H140" t="s">
        <v>25</v>
      </c>
      <c r="I140" t="s">
        <v>16</v>
      </c>
      <c r="J140" s="1">
        <v>44913</v>
      </c>
      <c r="K140" t="b">
        <v>0</v>
      </c>
    </row>
    <row r="141" spans="1:11" x14ac:dyDescent="0.3">
      <c r="A141" t="s">
        <v>279</v>
      </c>
      <c r="B141" t="s">
        <v>63</v>
      </c>
      <c r="C141" t="s">
        <v>41</v>
      </c>
      <c r="E141">
        <v>24.5</v>
      </c>
      <c r="H141" t="s">
        <v>48</v>
      </c>
      <c r="I141" t="s">
        <v>38</v>
      </c>
      <c r="J141" s="1">
        <v>45565</v>
      </c>
      <c r="K141" t="b">
        <v>1</v>
      </c>
    </row>
    <row r="142" spans="1:11" x14ac:dyDescent="0.3">
      <c r="A142" t="s">
        <v>280</v>
      </c>
      <c r="B142" t="s">
        <v>116</v>
      </c>
      <c r="C142" t="s">
        <v>41</v>
      </c>
      <c r="D142" t="s">
        <v>281</v>
      </c>
      <c r="E142">
        <v>5</v>
      </c>
      <c r="F142">
        <v>3</v>
      </c>
      <c r="G142">
        <v>15</v>
      </c>
      <c r="H142" t="s">
        <v>15</v>
      </c>
      <c r="I142" t="s">
        <v>16</v>
      </c>
      <c r="J142" s="1">
        <v>45443</v>
      </c>
      <c r="K142" t="b">
        <v>0</v>
      </c>
    </row>
    <row r="143" spans="1:11" x14ac:dyDescent="0.3">
      <c r="A143" t="s">
        <v>282</v>
      </c>
      <c r="B143" t="s">
        <v>12</v>
      </c>
      <c r="C143" t="s">
        <v>28</v>
      </c>
      <c r="D143" t="s">
        <v>258</v>
      </c>
      <c r="E143">
        <v>33.5</v>
      </c>
      <c r="F143">
        <v>1</v>
      </c>
      <c r="G143">
        <v>33.5</v>
      </c>
      <c r="H143" t="s">
        <v>25</v>
      </c>
      <c r="I143" t="s">
        <v>16</v>
      </c>
      <c r="J143" s="1">
        <v>44948</v>
      </c>
    </row>
    <row r="144" spans="1:11" x14ac:dyDescent="0.3">
      <c r="A144" t="s">
        <v>283</v>
      </c>
      <c r="B144" t="s">
        <v>43</v>
      </c>
      <c r="C144" t="s">
        <v>19</v>
      </c>
      <c r="D144" t="s">
        <v>284</v>
      </c>
      <c r="E144">
        <v>8</v>
      </c>
      <c r="F144">
        <v>3</v>
      </c>
      <c r="G144">
        <v>24</v>
      </c>
      <c r="H144" t="s">
        <v>48</v>
      </c>
      <c r="I144" t="s">
        <v>38</v>
      </c>
      <c r="J144" s="1">
        <v>44936</v>
      </c>
    </row>
    <row r="145" spans="1:11" x14ac:dyDescent="0.3">
      <c r="A145" t="s">
        <v>285</v>
      </c>
      <c r="B145" t="s">
        <v>168</v>
      </c>
      <c r="C145" t="s">
        <v>66</v>
      </c>
      <c r="D145" t="s">
        <v>119</v>
      </c>
      <c r="E145">
        <v>18.5</v>
      </c>
      <c r="F145">
        <v>6</v>
      </c>
      <c r="G145">
        <v>111</v>
      </c>
      <c r="H145" t="s">
        <v>25</v>
      </c>
      <c r="I145" t="s">
        <v>16</v>
      </c>
      <c r="J145" s="1">
        <v>45600</v>
      </c>
    </row>
    <row r="146" spans="1:11" x14ac:dyDescent="0.3">
      <c r="A146" t="s">
        <v>286</v>
      </c>
      <c r="B146" t="s">
        <v>113</v>
      </c>
      <c r="C146" t="s">
        <v>19</v>
      </c>
      <c r="D146" t="s">
        <v>287</v>
      </c>
      <c r="E146">
        <v>20</v>
      </c>
      <c r="F146">
        <v>6</v>
      </c>
      <c r="G146">
        <v>120</v>
      </c>
      <c r="H146" t="s">
        <v>25</v>
      </c>
      <c r="I146" t="s">
        <v>16</v>
      </c>
      <c r="J146" s="1">
        <v>45491</v>
      </c>
      <c r="K146" t="b">
        <v>1</v>
      </c>
    </row>
    <row r="147" spans="1:11" x14ac:dyDescent="0.3">
      <c r="A147" t="s">
        <v>288</v>
      </c>
      <c r="B147" t="s">
        <v>36</v>
      </c>
      <c r="C147" t="s">
        <v>23</v>
      </c>
      <c r="D147" t="s">
        <v>50</v>
      </c>
      <c r="E147">
        <v>8</v>
      </c>
      <c r="F147">
        <v>5</v>
      </c>
      <c r="G147">
        <v>40</v>
      </c>
      <c r="H147" t="s">
        <v>25</v>
      </c>
      <c r="I147" t="s">
        <v>38</v>
      </c>
      <c r="J147" s="1">
        <v>44910</v>
      </c>
      <c r="K147" t="b">
        <v>1</v>
      </c>
    </row>
    <row r="148" spans="1:11" x14ac:dyDescent="0.3">
      <c r="A148" t="s">
        <v>289</v>
      </c>
      <c r="B148" t="s">
        <v>40</v>
      </c>
      <c r="C148" t="s">
        <v>32</v>
      </c>
      <c r="D148" t="s">
        <v>263</v>
      </c>
      <c r="E148">
        <v>39.5</v>
      </c>
      <c r="F148">
        <v>10</v>
      </c>
      <c r="G148">
        <v>395</v>
      </c>
      <c r="H148" t="s">
        <v>25</v>
      </c>
      <c r="I148" t="s">
        <v>16</v>
      </c>
      <c r="J148" s="1">
        <v>44610</v>
      </c>
      <c r="K148" t="b">
        <v>0</v>
      </c>
    </row>
    <row r="149" spans="1:11" x14ac:dyDescent="0.3">
      <c r="A149" t="s">
        <v>290</v>
      </c>
      <c r="B149" t="s">
        <v>55</v>
      </c>
      <c r="C149" t="s">
        <v>130</v>
      </c>
      <c r="D149" t="s">
        <v>291</v>
      </c>
      <c r="E149">
        <v>23</v>
      </c>
      <c r="F149">
        <v>2</v>
      </c>
      <c r="G149">
        <v>46</v>
      </c>
      <c r="H149" t="s">
        <v>15</v>
      </c>
      <c r="I149" t="s">
        <v>38</v>
      </c>
      <c r="J149" s="1">
        <v>45331</v>
      </c>
      <c r="K149" t="b">
        <v>0</v>
      </c>
    </row>
    <row r="150" spans="1:11" x14ac:dyDescent="0.3">
      <c r="A150" t="s">
        <v>292</v>
      </c>
      <c r="B150" t="s">
        <v>89</v>
      </c>
      <c r="C150" t="s">
        <v>130</v>
      </c>
      <c r="D150" t="s">
        <v>293</v>
      </c>
      <c r="E150">
        <v>12.5</v>
      </c>
      <c r="F150">
        <v>2</v>
      </c>
      <c r="G150">
        <v>25</v>
      </c>
      <c r="H150" t="s">
        <v>15</v>
      </c>
      <c r="I150" t="s">
        <v>38</v>
      </c>
      <c r="J150" s="1">
        <v>45576</v>
      </c>
      <c r="K150" t="b">
        <v>0</v>
      </c>
    </row>
    <row r="151" spans="1:11" x14ac:dyDescent="0.3">
      <c r="A151" t="s">
        <v>294</v>
      </c>
      <c r="B151" t="s">
        <v>46</v>
      </c>
      <c r="C151" t="s">
        <v>41</v>
      </c>
      <c r="D151" t="s">
        <v>295</v>
      </c>
      <c r="E151">
        <v>6.5</v>
      </c>
      <c r="F151">
        <v>5</v>
      </c>
      <c r="G151">
        <v>32.5</v>
      </c>
      <c r="H151" t="s">
        <v>15</v>
      </c>
      <c r="I151" t="s">
        <v>38</v>
      </c>
      <c r="J151" s="1">
        <v>45126</v>
      </c>
    </row>
    <row r="152" spans="1:11" x14ac:dyDescent="0.3">
      <c r="A152" t="s">
        <v>296</v>
      </c>
      <c r="B152" t="s">
        <v>80</v>
      </c>
      <c r="C152" t="s">
        <v>32</v>
      </c>
      <c r="D152" t="s">
        <v>170</v>
      </c>
      <c r="E152">
        <v>30.5</v>
      </c>
      <c r="F152">
        <v>10</v>
      </c>
      <c r="G152">
        <v>305</v>
      </c>
      <c r="H152" t="s">
        <v>48</v>
      </c>
      <c r="I152" t="s">
        <v>16</v>
      </c>
      <c r="J152" s="1">
        <v>45608</v>
      </c>
      <c r="K152" t="b">
        <v>0</v>
      </c>
    </row>
    <row r="153" spans="1:11" x14ac:dyDescent="0.3">
      <c r="A153" t="s">
        <v>297</v>
      </c>
      <c r="B153" t="s">
        <v>65</v>
      </c>
      <c r="C153" t="s">
        <v>28</v>
      </c>
      <c r="D153" t="s">
        <v>117</v>
      </c>
      <c r="E153">
        <v>36.5</v>
      </c>
      <c r="F153">
        <v>1</v>
      </c>
      <c r="G153">
        <v>36.5</v>
      </c>
      <c r="H153" t="s">
        <v>25</v>
      </c>
      <c r="I153" t="s">
        <v>16</v>
      </c>
      <c r="J153" s="1">
        <v>45439</v>
      </c>
      <c r="K153" t="b">
        <v>0</v>
      </c>
    </row>
    <row r="154" spans="1:11" x14ac:dyDescent="0.3">
      <c r="A154" t="s">
        <v>298</v>
      </c>
      <c r="B154" t="s">
        <v>89</v>
      </c>
      <c r="C154" t="s">
        <v>28</v>
      </c>
      <c r="D154" t="s">
        <v>268</v>
      </c>
      <c r="E154">
        <v>12.5</v>
      </c>
      <c r="F154">
        <v>5</v>
      </c>
      <c r="G154">
        <v>62.5</v>
      </c>
      <c r="H154" t="s">
        <v>48</v>
      </c>
      <c r="I154" t="s">
        <v>16</v>
      </c>
      <c r="J154" s="1">
        <v>44965</v>
      </c>
      <c r="K154" t="b">
        <v>0</v>
      </c>
    </row>
    <row r="155" spans="1:11" x14ac:dyDescent="0.3">
      <c r="A155" t="s">
        <v>299</v>
      </c>
      <c r="B155" t="s">
        <v>12</v>
      </c>
      <c r="C155" t="s">
        <v>13</v>
      </c>
      <c r="D155" t="s">
        <v>96</v>
      </c>
      <c r="E155">
        <v>12.5</v>
      </c>
      <c r="F155">
        <v>2</v>
      </c>
      <c r="G155">
        <v>25</v>
      </c>
      <c r="H155" t="s">
        <v>15</v>
      </c>
      <c r="I155" t="s">
        <v>38</v>
      </c>
      <c r="J155" s="1">
        <v>45381</v>
      </c>
    </row>
    <row r="156" spans="1:11" x14ac:dyDescent="0.3">
      <c r="A156" t="s">
        <v>300</v>
      </c>
      <c r="B156" t="s">
        <v>12</v>
      </c>
      <c r="C156" t="s">
        <v>28</v>
      </c>
      <c r="D156" t="s">
        <v>301</v>
      </c>
      <c r="E156">
        <v>35</v>
      </c>
      <c r="F156">
        <v>8</v>
      </c>
      <c r="G156">
        <v>280</v>
      </c>
      <c r="H156" t="s">
        <v>25</v>
      </c>
      <c r="I156" t="s">
        <v>16</v>
      </c>
      <c r="J156" s="1">
        <v>45017</v>
      </c>
      <c r="K156" t="b">
        <v>1</v>
      </c>
    </row>
    <row r="157" spans="1:11" x14ac:dyDescent="0.3">
      <c r="A157" t="s">
        <v>302</v>
      </c>
      <c r="B157" t="s">
        <v>98</v>
      </c>
      <c r="C157" t="s">
        <v>41</v>
      </c>
      <c r="D157" t="s">
        <v>303</v>
      </c>
      <c r="E157">
        <v>15.5</v>
      </c>
      <c r="F157">
        <v>9</v>
      </c>
      <c r="G157">
        <v>139.5</v>
      </c>
      <c r="H157" t="s">
        <v>48</v>
      </c>
      <c r="I157" t="s">
        <v>16</v>
      </c>
      <c r="J157" s="1">
        <v>45450</v>
      </c>
    </row>
    <row r="158" spans="1:11" x14ac:dyDescent="0.3">
      <c r="A158" t="s">
        <v>304</v>
      </c>
      <c r="B158" t="s">
        <v>22</v>
      </c>
      <c r="C158" t="s">
        <v>23</v>
      </c>
      <c r="D158" t="s">
        <v>47</v>
      </c>
      <c r="E158">
        <v>36.5</v>
      </c>
      <c r="F158">
        <v>6</v>
      </c>
      <c r="G158">
        <v>219</v>
      </c>
      <c r="H158" t="s">
        <v>15</v>
      </c>
      <c r="I158" t="s">
        <v>38</v>
      </c>
      <c r="J158" s="1">
        <v>45476</v>
      </c>
      <c r="K158" t="b">
        <v>0</v>
      </c>
    </row>
    <row r="159" spans="1:11" x14ac:dyDescent="0.3">
      <c r="A159" t="s">
        <v>305</v>
      </c>
      <c r="B159" t="s">
        <v>123</v>
      </c>
      <c r="C159" t="s">
        <v>23</v>
      </c>
      <c r="D159" t="s">
        <v>306</v>
      </c>
      <c r="E159">
        <v>23</v>
      </c>
      <c r="F159">
        <v>7</v>
      </c>
      <c r="G159">
        <v>161</v>
      </c>
      <c r="H159" t="s">
        <v>25</v>
      </c>
      <c r="I159" t="s">
        <v>16</v>
      </c>
      <c r="J159" s="1">
        <v>45161</v>
      </c>
      <c r="K159" t="b">
        <v>0</v>
      </c>
    </row>
    <row r="160" spans="1:11" x14ac:dyDescent="0.3">
      <c r="A160" t="s">
        <v>307</v>
      </c>
      <c r="B160" t="s">
        <v>46</v>
      </c>
      <c r="C160" t="s">
        <v>28</v>
      </c>
      <c r="D160" t="s">
        <v>308</v>
      </c>
      <c r="E160">
        <v>6.5</v>
      </c>
      <c r="F160">
        <v>4</v>
      </c>
      <c r="G160">
        <v>26</v>
      </c>
      <c r="H160" t="s">
        <v>15</v>
      </c>
      <c r="I160" t="s">
        <v>16</v>
      </c>
      <c r="J160" s="1">
        <v>44831</v>
      </c>
      <c r="K160" t="b">
        <v>0</v>
      </c>
    </row>
    <row r="161" spans="1:11" x14ac:dyDescent="0.3">
      <c r="A161" t="s">
        <v>309</v>
      </c>
      <c r="B161" t="s">
        <v>40</v>
      </c>
      <c r="C161" t="s">
        <v>23</v>
      </c>
      <c r="F161">
        <v>9</v>
      </c>
      <c r="G161">
        <v>126</v>
      </c>
      <c r="H161" t="s">
        <v>15</v>
      </c>
      <c r="I161" t="s">
        <v>38</v>
      </c>
      <c r="J161" s="1">
        <v>45355</v>
      </c>
      <c r="K161" t="b">
        <v>0</v>
      </c>
    </row>
    <row r="162" spans="1:11" x14ac:dyDescent="0.3">
      <c r="A162" t="s">
        <v>310</v>
      </c>
      <c r="B162" t="s">
        <v>80</v>
      </c>
      <c r="C162" t="s">
        <v>32</v>
      </c>
      <c r="D162" t="s">
        <v>90</v>
      </c>
      <c r="E162">
        <v>24.5</v>
      </c>
      <c r="F162">
        <v>4</v>
      </c>
      <c r="G162">
        <v>98</v>
      </c>
      <c r="H162" t="s">
        <v>15</v>
      </c>
      <c r="I162" t="s">
        <v>38</v>
      </c>
      <c r="J162" s="1">
        <v>44622</v>
      </c>
    </row>
    <row r="163" spans="1:11" x14ac:dyDescent="0.3">
      <c r="A163" t="s">
        <v>311</v>
      </c>
      <c r="B163" t="s">
        <v>100</v>
      </c>
      <c r="C163" t="s">
        <v>66</v>
      </c>
      <c r="D163" t="s">
        <v>312</v>
      </c>
      <c r="E163">
        <v>14</v>
      </c>
      <c r="F163">
        <v>9</v>
      </c>
      <c r="G163">
        <v>126</v>
      </c>
      <c r="H163" t="s">
        <v>25</v>
      </c>
      <c r="I163" t="s">
        <v>38</v>
      </c>
      <c r="J163" s="1">
        <v>45551</v>
      </c>
      <c r="K163" t="b">
        <v>0</v>
      </c>
    </row>
    <row r="164" spans="1:11" x14ac:dyDescent="0.3">
      <c r="A164" t="s">
        <v>313</v>
      </c>
      <c r="B164" t="s">
        <v>108</v>
      </c>
      <c r="C164" t="s">
        <v>23</v>
      </c>
      <c r="D164" t="s">
        <v>217</v>
      </c>
      <c r="E164">
        <v>35</v>
      </c>
      <c r="F164">
        <v>9</v>
      </c>
      <c r="G164">
        <v>315</v>
      </c>
      <c r="H164" t="s">
        <v>48</v>
      </c>
      <c r="I164" t="s">
        <v>38</v>
      </c>
      <c r="J164" s="1">
        <v>45330</v>
      </c>
      <c r="K164" t="b">
        <v>1</v>
      </c>
    </row>
    <row r="165" spans="1:11" x14ac:dyDescent="0.3">
      <c r="A165" t="s">
        <v>314</v>
      </c>
      <c r="B165" t="s">
        <v>18</v>
      </c>
      <c r="C165" t="s">
        <v>32</v>
      </c>
      <c r="D165" t="s">
        <v>237</v>
      </c>
      <c r="E165">
        <v>17</v>
      </c>
      <c r="F165">
        <v>5</v>
      </c>
      <c r="G165">
        <v>85</v>
      </c>
      <c r="H165" t="s">
        <v>15</v>
      </c>
      <c r="I165" t="s">
        <v>38</v>
      </c>
      <c r="J165" s="1">
        <v>45402</v>
      </c>
      <c r="K165" t="b">
        <v>0</v>
      </c>
    </row>
    <row r="166" spans="1:11" x14ac:dyDescent="0.3">
      <c r="A166" t="s">
        <v>315</v>
      </c>
      <c r="B166" t="s">
        <v>18</v>
      </c>
      <c r="C166" t="s">
        <v>41</v>
      </c>
      <c r="D166" t="s">
        <v>87</v>
      </c>
      <c r="E166">
        <v>41</v>
      </c>
      <c r="F166">
        <v>1</v>
      </c>
      <c r="G166">
        <v>41</v>
      </c>
      <c r="H166" t="s">
        <v>25</v>
      </c>
      <c r="I166" t="s">
        <v>38</v>
      </c>
      <c r="J166" s="1">
        <v>45367</v>
      </c>
      <c r="K166" t="b">
        <v>0</v>
      </c>
    </row>
    <row r="167" spans="1:11" x14ac:dyDescent="0.3">
      <c r="A167" t="s">
        <v>316</v>
      </c>
      <c r="B167" t="s">
        <v>22</v>
      </c>
      <c r="C167" t="s">
        <v>28</v>
      </c>
      <c r="D167" t="s">
        <v>71</v>
      </c>
      <c r="E167">
        <v>14</v>
      </c>
      <c r="F167">
        <v>9</v>
      </c>
      <c r="G167">
        <v>126</v>
      </c>
      <c r="H167" t="s">
        <v>15</v>
      </c>
      <c r="I167" t="s">
        <v>16</v>
      </c>
      <c r="J167" s="1">
        <v>44897</v>
      </c>
      <c r="K167" t="b">
        <v>1</v>
      </c>
    </row>
    <row r="168" spans="1:11" x14ac:dyDescent="0.3">
      <c r="A168" t="s">
        <v>317</v>
      </c>
      <c r="B168" t="s">
        <v>113</v>
      </c>
      <c r="C168" t="s">
        <v>28</v>
      </c>
      <c r="D168" t="s">
        <v>71</v>
      </c>
      <c r="E168">
        <v>14</v>
      </c>
      <c r="F168">
        <v>6</v>
      </c>
      <c r="G168">
        <v>84</v>
      </c>
      <c r="H168" t="s">
        <v>15</v>
      </c>
      <c r="I168" t="s">
        <v>16</v>
      </c>
      <c r="J168" s="1">
        <v>45651</v>
      </c>
    </row>
    <row r="169" spans="1:11" x14ac:dyDescent="0.3">
      <c r="A169" t="s">
        <v>318</v>
      </c>
      <c r="B169" t="s">
        <v>74</v>
      </c>
      <c r="C169" t="s">
        <v>13</v>
      </c>
      <c r="D169" t="s">
        <v>193</v>
      </c>
      <c r="E169">
        <v>41</v>
      </c>
      <c r="F169">
        <v>7</v>
      </c>
      <c r="G169">
        <v>287</v>
      </c>
      <c r="H169" t="s">
        <v>25</v>
      </c>
      <c r="I169" t="s">
        <v>38</v>
      </c>
      <c r="J169" s="1">
        <v>45143</v>
      </c>
    </row>
    <row r="170" spans="1:11" x14ac:dyDescent="0.3">
      <c r="A170" t="s">
        <v>319</v>
      </c>
      <c r="B170" t="s">
        <v>46</v>
      </c>
      <c r="C170" t="s">
        <v>130</v>
      </c>
      <c r="D170" t="s">
        <v>320</v>
      </c>
      <c r="E170">
        <v>24.5</v>
      </c>
      <c r="F170">
        <v>4</v>
      </c>
      <c r="G170">
        <v>98</v>
      </c>
      <c r="H170" t="s">
        <v>48</v>
      </c>
      <c r="I170" t="s">
        <v>38</v>
      </c>
      <c r="J170" s="1">
        <v>44683</v>
      </c>
    </row>
    <row r="171" spans="1:11" x14ac:dyDescent="0.3">
      <c r="A171" t="s">
        <v>321</v>
      </c>
      <c r="B171" t="s">
        <v>74</v>
      </c>
      <c r="C171" t="s">
        <v>66</v>
      </c>
      <c r="D171" t="s">
        <v>322</v>
      </c>
      <c r="E171">
        <v>32</v>
      </c>
      <c r="F171">
        <v>6</v>
      </c>
      <c r="G171">
        <v>192</v>
      </c>
      <c r="H171" t="s">
        <v>25</v>
      </c>
      <c r="I171" t="s">
        <v>38</v>
      </c>
      <c r="J171" s="1">
        <v>44581</v>
      </c>
    </row>
    <row r="172" spans="1:11" x14ac:dyDescent="0.3">
      <c r="A172" t="s">
        <v>323</v>
      </c>
      <c r="B172" t="s">
        <v>69</v>
      </c>
      <c r="C172" t="s">
        <v>28</v>
      </c>
      <c r="D172" t="s">
        <v>111</v>
      </c>
      <c r="E172">
        <v>20</v>
      </c>
      <c r="F172">
        <v>4</v>
      </c>
      <c r="G172">
        <v>80</v>
      </c>
      <c r="H172" t="s">
        <v>25</v>
      </c>
      <c r="I172" t="s">
        <v>16</v>
      </c>
      <c r="J172" s="1">
        <v>45119</v>
      </c>
    </row>
    <row r="173" spans="1:11" x14ac:dyDescent="0.3">
      <c r="A173" t="s">
        <v>324</v>
      </c>
      <c r="B173" t="s">
        <v>116</v>
      </c>
      <c r="C173" t="s">
        <v>28</v>
      </c>
      <c r="D173" t="s">
        <v>252</v>
      </c>
      <c r="E173">
        <v>38</v>
      </c>
      <c r="F173">
        <v>6</v>
      </c>
      <c r="G173">
        <v>228</v>
      </c>
      <c r="H173" t="s">
        <v>48</v>
      </c>
      <c r="I173" t="s">
        <v>16</v>
      </c>
      <c r="J173" s="1">
        <v>45243</v>
      </c>
      <c r="K173" t="b">
        <v>0</v>
      </c>
    </row>
    <row r="174" spans="1:11" x14ac:dyDescent="0.3">
      <c r="A174" t="s">
        <v>325</v>
      </c>
      <c r="B174" t="s">
        <v>84</v>
      </c>
      <c r="C174" t="s">
        <v>130</v>
      </c>
      <c r="D174" t="s">
        <v>326</v>
      </c>
      <c r="E174">
        <v>30.5</v>
      </c>
      <c r="F174">
        <v>3</v>
      </c>
      <c r="G174">
        <v>91.5</v>
      </c>
      <c r="H174" t="s">
        <v>48</v>
      </c>
      <c r="I174" t="s">
        <v>16</v>
      </c>
      <c r="J174" s="1">
        <v>45346</v>
      </c>
    </row>
    <row r="175" spans="1:11" x14ac:dyDescent="0.3">
      <c r="A175" t="s">
        <v>327</v>
      </c>
      <c r="B175" t="s">
        <v>65</v>
      </c>
      <c r="C175" t="s">
        <v>13</v>
      </c>
      <c r="D175" t="s">
        <v>133</v>
      </c>
      <c r="E175">
        <v>20</v>
      </c>
      <c r="F175">
        <v>7</v>
      </c>
      <c r="G175">
        <v>140</v>
      </c>
      <c r="H175" t="s">
        <v>48</v>
      </c>
      <c r="I175" t="s">
        <v>38</v>
      </c>
      <c r="J175" s="1">
        <v>45103</v>
      </c>
      <c r="K175" t="b">
        <v>1</v>
      </c>
    </row>
    <row r="176" spans="1:11" x14ac:dyDescent="0.3">
      <c r="A176" t="s">
        <v>328</v>
      </c>
      <c r="B176" t="s">
        <v>168</v>
      </c>
      <c r="C176" t="s">
        <v>19</v>
      </c>
      <c r="D176" t="s">
        <v>201</v>
      </c>
      <c r="E176">
        <v>15.5</v>
      </c>
      <c r="F176">
        <v>6</v>
      </c>
      <c r="G176">
        <v>93</v>
      </c>
      <c r="H176" t="s">
        <v>25</v>
      </c>
      <c r="I176" t="s">
        <v>16</v>
      </c>
      <c r="J176" s="1">
        <v>44727</v>
      </c>
      <c r="K176" t="b">
        <v>0</v>
      </c>
    </row>
    <row r="177" spans="1:11" x14ac:dyDescent="0.3">
      <c r="A177" t="s">
        <v>329</v>
      </c>
      <c r="B177" t="s">
        <v>98</v>
      </c>
      <c r="C177" t="s">
        <v>13</v>
      </c>
      <c r="D177" t="s">
        <v>222</v>
      </c>
      <c r="E177">
        <v>27.5</v>
      </c>
      <c r="F177">
        <v>2</v>
      </c>
      <c r="G177">
        <v>55</v>
      </c>
      <c r="H177" t="s">
        <v>15</v>
      </c>
      <c r="I177" t="s">
        <v>16</v>
      </c>
      <c r="J177" s="1">
        <v>44711</v>
      </c>
      <c r="K177" t="b">
        <v>1</v>
      </c>
    </row>
    <row r="178" spans="1:11" x14ac:dyDescent="0.3">
      <c r="A178" t="s">
        <v>330</v>
      </c>
      <c r="B178" t="s">
        <v>116</v>
      </c>
      <c r="C178" t="s">
        <v>32</v>
      </c>
      <c r="D178" t="s">
        <v>185</v>
      </c>
      <c r="E178">
        <v>33.5</v>
      </c>
      <c r="F178">
        <v>10</v>
      </c>
      <c r="G178">
        <v>335</v>
      </c>
      <c r="H178" t="s">
        <v>15</v>
      </c>
      <c r="I178" t="s">
        <v>16</v>
      </c>
      <c r="J178" s="1">
        <v>45441</v>
      </c>
      <c r="K178" t="b">
        <v>0</v>
      </c>
    </row>
    <row r="179" spans="1:11" x14ac:dyDescent="0.3">
      <c r="A179" t="s">
        <v>331</v>
      </c>
      <c r="B179" t="s">
        <v>12</v>
      </c>
      <c r="C179" t="s">
        <v>19</v>
      </c>
      <c r="D179" t="s">
        <v>271</v>
      </c>
      <c r="E179">
        <v>5</v>
      </c>
      <c r="F179">
        <v>7</v>
      </c>
      <c r="G179">
        <v>35</v>
      </c>
      <c r="H179" t="s">
        <v>15</v>
      </c>
      <c r="I179" t="s">
        <v>16</v>
      </c>
      <c r="J179" s="1">
        <v>45644</v>
      </c>
      <c r="K179" t="b">
        <v>0</v>
      </c>
    </row>
    <row r="180" spans="1:11" x14ac:dyDescent="0.3">
      <c r="A180" t="s">
        <v>332</v>
      </c>
      <c r="B180" t="s">
        <v>18</v>
      </c>
      <c r="C180" t="s">
        <v>41</v>
      </c>
      <c r="D180" t="s">
        <v>87</v>
      </c>
      <c r="E180">
        <v>41</v>
      </c>
      <c r="F180">
        <v>2</v>
      </c>
      <c r="G180">
        <v>82</v>
      </c>
      <c r="H180" t="s">
        <v>25</v>
      </c>
      <c r="I180" t="s">
        <v>16</v>
      </c>
      <c r="J180" s="1">
        <v>44574</v>
      </c>
    </row>
    <row r="181" spans="1:11" x14ac:dyDescent="0.3">
      <c r="A181" t="s">
        <v>333</v>
      </c>
      <c r="B181" t="s">
        <v>80</v>
      </c>
      <c r="C181" t="s">
        <v>23</v>
      </c>
      <c r="E181">
        <v>23</v>
      </c>
      <c r="H181" t="s">
        <v>48</v>
      </c>
      <c r="I181" t="s">
        <v>38</v>
      </c>
      <c r="J181" s="1">
        <v>45065</v>
      </c>
      <c r="K181" t="b">
        <v>0</v>
      </c>
    </row>
    <row r="182" spans="1:11" x14ac:dyDescent="0.3">
      <c r="A182" t="s">
        <v>334</v>
      </c>
      <c r="B182" t="s">
        <v>36</v>
      </c>
      <c r="C182" t="s">
        <v>130</v>
      </c>
      <c r="D182" t="s">
        <v>335</v>
      </c>
      <c r="E182">
        <v>20</v>
      </c>
      <c r="F182">
        <v>9</v>
      </c>
      <c r="G182">
        <v>180</v>
      </c>
      <c r="H182" t="s">
        <v>15</v>
      </c>
      <c r="I182" t="s">
        <v>38</v>
      </c>
      <c r="J182" s="1">
        <v>44932</v>
      </c>
      <c r="K182" t="b">
        <v>1</v>
      </c>
    </row>
    <row r="183" spans="1:11" x14ac:dyDescent="0.3">
      <c r="A183" t="s">
        <v>336</v>
      </c>
      <c r="B183" t="s">
        <v>63</v>
      </c>
      <c r="C183" t="s">
        <v>41</v>
      </c>
      <c r="D183" t="s">
        <v>233</v>
      </c>
      <c r="E183">
        <v>11</v>
      </c>
      <c r="F183">
        <v>8</v>
      </c>
      <c r="G183">
        <v>88</v>
      </c>
      <c r="H183" t="s">
        <v>15</v>
      </c>
      <c r="I183" t="s">
        <v>16</v>
      </c>
      <c r="J183" s="1">
        <v>44597</v>
      </c>
    </row>
    <row r="184" spans="1:11" x14ac:dyDescent="0.3">
      <c r="A184" t="s">
        <v>337</v>
      </c>
      <c r="B184" t="s">
        <v>63</v>
      </c>
      <c r="C184" t="s">
        <v>28</v>
      </c>
      <c r="E184">
        <v>6.5</v>
      </c>
      <c r="H184" t="s">
        <v>48</v>
      </c>
      <c r="I184" t="s">
        <v>38</v>
      </c>
      <c r="J184" s="1">
        <v>44880</v>
      </c>
      <c r="K184" t="b">
        <v>0</v>
      </c>
    </row>
    <row r="185" spans="1:11" x14ac:dyDescent="0.3">
      <c r="A185" t="s">
        <v>338</v>
      </c>
      <c r="B185" t="s">
        <v>36</v>
      </c>
      <c r="C185" t="s">
        <v>19</v>
      </c>
      <c r="D185" t="s">
        <v>58</v>
      </c>
      <c r="E185">
        <v>27.5</v>
      </c>
      <c r="F185">
        <v>7</v>
      </c>
      <c r="G185">
        <v>192.5</v>
      </c>
      <c r="H185" t="s">
        <v>15</v>
      </c>
      <c r="I185" t="s">
        <v>38</v>
      </c>
      <c r="J185" s="1">
        <v>44858</v>
      </c>
      <c r="K185" t="b">
        <v>0</v>
      </c>
    </row>
    <row r="186" spans="1:11" x14ac:dyDescent="0.3">
      <c r="A186" t="s">
        <v>339</v>
      </c>
      <c r="B186" t="s">
        <v>36</v>
      </c>
      <c r="C186" t="s">
        <v>19</v>
      </c>
      <c r="D186" t="s">
        <v>284</v>
      </c>
      <c r="E186">
        <v>8</v>
      </c>
      <c r="F186">
        <v>5</v>
      </c>
      <c r="G186">
        <v>40</v>
      </c>
      <c r="H186" t="s">
        <v>48</v>
      </c>
      <c r="I186" t="s">
        <v>38</v>
      </c>
      <c r="J186" s="1">
        <v>45263</v>
      </c>
    </row>
    <row r="187" spans="1:11" x14ac:dyDescent="0.3">
      <c r="A187" t="s">
        <v>340</v>
      </c>
      <c r="B187" t="s">
        <v>98</v>
      </c>
      <c r="C187" t="s">
        <v>23</v>
      </c>
      <c r="D187" t="s">
        <v>85</v>
      </c>
      <c r="E187">
        <v>33.5</v>
      </c>
      <c r="F187">
        <v>5</v>
      </c>
      <c r="G187">
        <v>167.5</v>
      </c>
      <c r="H187" t="s">
        <v>15</v>
      </c>
      <c r="I187" t="s">
        <v>16</v>
      </c>
      <c r="J187" s="1">
        <v>44765</v>
      </c>
      <c r="K187" t="b">
        <v>0</v>
      </c>
    </row>
    <row r="188" spans="1:11" x14ac:dyDescent="0.3">
      <c r="A188" t="s">
        <v>341</v>
      </c>
      <c r="B188" t="s">
        <v>12</v>
      </c>
      <c r="C188" t="s">
        <v>41</v>
      </c>
      <c r="D188" t="s">
        <v>342</v>
      </c>
      <c r="E188">
        <v>29</v>
      </c>
      <c r="F188">
        <v>9</v>
      </c>
      <c r="G188">
        <v>261</v>
      </c>
      <c r="H188" t="s">
        <v>48</v>
      </c>
      <c r="I188" t="s">
        <v>16</v>
      </c>
      <c r="J188" s="1">
        <v>45145</v>
      </c>
      <c r="K188" t="b">
        <v>1</v>
      </c>
    </row>
    <row r="189" spans="1:11" x14ac:dyDescent="0.3">
      <c r="A189" t="s">
        <v>343</v>
      </c>
      <c r="B189" t="s">
        <v>77</v>
      </c>
      <c r="C189" t="s">
        <v>19</v>
      </c>
      <c r="D189" t="s">
        <v>344</v>
      </c>
      <c r="E189">
        <v>26</v>
      </c>
      <c r="F189">
        <v>8</v>
      </c>
      <c r="G189">
        <v>208</v>
      </c>
      <c r="H189" t="s">
        <v>48</v>
      </c>
      <c r="I189" t="s">
        <v>38</v>
      </c>
      <c r="J189" s="1">
        <v>44962</v>
      </c>
    </row>
    <row r="190" spans="1:11" x14ac:dyDescent="0.3">
      <c r="A190" t="s">
        <v>345</v>
      </c>
      <c r="B190" t="s">
        <v>74</v>
      </c>
      <c r="C190" t="s">
        <v>66</v>
      </c>
      <c r="D190" t="s">
        <v>346</v>
      </c>
      <c r="E190">
        <v>33.5</v>
      </c>
      <c r="F190">
        <v>3</v>
      </c>
      <c r="G190">
        <v>100.5</v>
      </c>
      <c r="H190" t="s">
        <v>15</v>
      </c>
      <c r="I190" t="s">
        <v>16</v>
      </c>
      <c r="J190" s="1">
        <v>44924</v>
      </c>
      <c r="K190" t="b">
        <v>1</v>
      </c>
    </row>
    <row r="191" spans="1:11" x14ac:dyDescent="0.3">
      <c r="A191" t="s">
        <v>347</v>
      </c>
      <c r="B191" t="s">
        <v>123</v>
      </c>
      <c r="C191" t="s">
        <v>32</v>
      </c>
      <c r="D191" t="s">
        <v>185</v>
      </c>
      <c r="E191">
        <v>33.5</v>
      </c>
      <c r="F191">
        <v>5</v>
      </c>
      <c r="G191">
        <v>167.5</v>
      </c>
      <c r="H191" t="s">
        <v>25</v>
      </c>
      <c r="I191" t="s">
        <v>16</v>
      </c>
      <c r="J191" s="1">
        <v>45034</v>
      </c>
    </row>
    <row r="192" spans="1:11" x14ac:dyDescent="0.3">
      <c r="A192" t="s">
        <v>348</v>
      </c>
      <c r="B192" t="s">
        <v>108</v>
      </c>
      <c r="C192" t="s">
        <v>66</v>
      </c>
      <c r="D192" t="s">
        <v>349</v>
      </c>
      <c r="E192">
        <v>27.5</v>
      </c>
      <c r="F192">
        <v>10</v>
      </c>
      <c r="G192">
        <v>275</v>
      </c>
      <c r="H192" t="s">
        <v>48</v>
      </c>
      <c r="I192" t="s">
        <v>16</v>
      </c>
      <c r="J192" s="1">
        <v>44831</v>
      </c>
      <c r="K192" t="b">
        <v>1</v>
      </c>
    </row>
    <row r="193" spans="1:11" x14ac:dyDescent="0.3">
      <c r="A193" t="s">
        <v>350</v>
      </c>
      <c r="B193" t="s">
        <v>80</v>
      </c>
      <c r="C193" t="s">
        <v>130</v>
      </c>
      <c r="D193" t="s">
        <v>183</v>
      </c>
      <c r="E193">
        <v>33.5</v>
      </c>
      <c r="F193">
        <v>4</v>
      </c>
      <c r="G193">
        <v>134</v>
      </c>
      <c r="H193" t="s">
        <v>15</v>
      </c>
      <c r="I193" t="s">
        <v>16</v>
      </c>
      <c r="J193" s="1">
        <v>45080</v>
      </c>
      <c r="K193" t="b">
        <v>0</v>
      </c>
    </row>
    <row r="194" spans="1:11" x14ac:dyDescent="0.3">
      <c r="A194" t="s">
        <v>351</v>
      </c>
      <c r="B194" t="s">
        <v>116</v>
      </c>
      <c r="C194" t="s">
        <v>66</v>
      </c>
      <c r="D194" t="s">
        <v>352</v>
      </c>
      <c r="E194">
        <v>38</v>
      </c>
      <c r="F194">
        <v>1</v>
      </c>
      <c r="G194">
        <v>38</v>
      </c>
      <c r="H194" t="s">
        <v>48</v>
      </c>
      <c r="I194" t="s">
        <v>38</v>
      </c>
      <c r="J194" s="1">
        <v>44641</v>
      </c>
      <c r="K194" t="b">
        <v>1</v>
      </c>
    </row>
    <row r="195" spans="1:11" x14ac:dyDescent="0.3">
      <c r="A195" t="s">
        <v>353</v>
      </c>
      <c r="B195" t="s">
        <v>40</v>
      </c>
      <c r="C195" t="s">
        <v>19</v>
      </c>
      <c r="D195" t="s">
        <v>210</v>
      </c>
      <c r="E195">
        <v>9.5</v>
      </c>
      <c r="F195">
        <v>1</v>
      </c>
      <c r="G195">
        <v>9.5</v>
      </c>
      <c r="H195" t="s">
        <v>15</v>
      </c>
      <c r="I195" t="s">
        <v>16</v>
      </c>
      <c r="J195" s="1">
        <v>45279</v>
      </c>
      <c r="K195" t="b">
        <v>0</v>
      </c>
    </row>
    <row r="196" spans="1:11" x14ac:dyDescent="0.3">
      <c r="A196" t="s">
        <v>354</v>
      </c>
      <c r="B196" t="s">
        <v>69</v>
      </c>
      <c r="C196" t="s">
        <v>23</v>
      </c>
      <c r="D196" t="s">
        <v>355</v>
      </c>
      <c r="E196">
        <v>14</v>
      </c>
      <c r="F196">
        <v>3</v>
      </c>
      <c r="G196">
        <v>42</v>
      </c>
      <c r="H196" t="s">
        <v>48</v>
      </c>
      <c r="I196" t="s">
        <v>16</v>
      </c>
      <c r="J196" s="1">
        <v>45004</v>
      </c>
    </row>
    <row r="197" spans="1:11" x14ac:dyDescent="0.3">
      <c r="A197" t="s">
        <v>356</v>
      </c>
      <c r="B197" t="s">
        <v>40</v>
      </c>
      <c r="C197" t="s">
        <v>130</v>
      </c>
      <c r="D197" t="s">
        <v>131</v>
      </c>
      <c r="E197">
        <v>27.5</v>
      </c>
      <c r="F197">
        <v>9</v>
      </c>
      <c r="G197">
        <v>247.5</v>
      </c>
      <c r="H197" t="s">
        <v>15</v>
      </c>
      <c r="I197" t="s">
        <v>38</v>
      </c>
      <c r="J197" s="1">
        <v>45285</v>
      </c>
    </row>
    <row r="198" spans="1:11" x14ac:dyDescent="0.3">
      <c r="A198" t="s">
        <v>357</v>
      </c>
      <c r="B198" t="s">
        <v>46</v>
      </c>
      <c r="C198" t="s">
        <v>66</v>
      </c>
      <c r="D198" t="s">
        <v>358</v>
      </c>
      <c r="E198">
        <v>5</v>
      </c>
      <c r="F198">
        <v>2</v>
      </c>
      <c r="G198">
        <v>10</v>
      </c>
      <c r="H198" t="s">
        <v>48</v>
      </c>
      <c r="I198" t="s">
        <v>16</v>
      </c>
      <c r="J198" s="1">
        <v>45087</v>
      </c>
      <c r="K198" t="b">
        <v>0</v>
      </c>
    </row>
    <row r="199" spans="1:11" x14ac:dyDescent="0.3">
      <c r="A199" t="s">
        <v>359</v>
      </c>
      <c r="B199" t="s">
        <v>80</v>
      </c>
      <c r="C199" t="s">
        <v>23</v>
      </c>
      <c r="D199" t="s">
        <v>306</v>
      </c>
      <c r="E199">
        <v>23</v>
      </c>
      <c r="F199">
        <v>6</v>
      </c>
      <c r="G199">
        <v>138</v>
      </c>
      <c r="H199" t="s">
        <v>48</v>
      </c>
      <c r="I199" t="s">
        <v>38</v>
      </c>
      <c r="J199" s="1">
        <v>44814</v>
      </c>
      <c r="K199" t="b">
        <v>1</v>
      </c>
    </row>
    <row r="200" spans="1:11" x14ac:dyDescent="0.3">
      <c r="A200" t="s">
        <v>360</v>
      </c>
      <c r="B200" t="s">
        <v>18</v>
      </c>
      <c r="C200" t="s">
        <v>130</v>
      </c>
      <c r="D200" t="s">
        <v>361</v>
      </c>
      <c r="E200">
        <v>32</v>
      </c>
      <c r="F200">
        <v>9</v>
      </c>
      <c r="G200">
        <v>288</v>
      </c>
      <c r="H200" t="s">
        <v>48</v>
      </c>
      <c r="I200" t="s">
        <v>16</v>
      </c>
      <c r="J200" s="1">
        <v>44718</v>
      </c>
      <c r="K200" t="b">
        <v>0</v>
      </c>
    </row>
    <row r="201" spans="1:11" x14ac:dyDescent="0.3">
      <c r="A201" t="s">
        <v>362</v>
      </c>
      <c r="B201" t="s">
        <v>77</v>
      </c>
      <c r="C201" t="s">
        <v>23</v>
      </c>
      <c r="D201" t="s">
        <v>85</v>
      </c>
      <c r="E201">
        <v>33.5</v>
      </c>
      <c r="F201">
        <v>5</v>
      </c>
      <c r="G201">
        <v>167.5</v>
      </c>
      <c r="H201" t="s">
        <v>15</v>
      </c>
      <c r="I201" t="s">
        <v>38</v>
      </c>
      <c r="J201" s="1">
        <v>45515</v>
      </c>
      <c r="K201" t="b">
        <v>0</v>
      </c>
    </row>
    <row r="202" spans="1:11" x14ac:dyDescent="0.3">
      <c r="A202" t="s">
        <v>363</v>
      </c>
      <c r="B202" t="s">
        <v>65</v>
      </c>
      <c r="C202" t="s">
        <v>130</v>
      </c>
      <c r="D202" t="s">
        <v>335</v>
      </c>
      <c r="E202">
        <v>20</v>
      </c>
      <c r="F202">
        <v>3</v>
      </c>
      <c r="G202">
        <v>60</v>
      </c>
      <c r="H202" t="s">
        <v>48</v>
      </c>
      <c r="I202" t="s">
        <v>16</v>
      </c>
      <c r="J202" s="1">
        <v>45124</v>
      </c>
      <c r="K202" t="b">
        <v>0</v>
      </c>
    </row>
    <row r="203" spans="1:11" x14ac:dyDescent="0.3">
      <c r="A203" t="s">
        <v>364</v>
      </c>
      <c r="B203" t="s">
        <v>98</v>
      </c>
      <c r="C203" t="s">
        <v>32</v>
      </c>
      <c r="D203" t="s">
        <v>365</v>
      </c>
      <c r="E203">
        <v>41</v>
      </c>
      <c r="F203">
        <v>3</v>
      </c>
      <c r="G203">
        <v>123</v>
      </c>
      <c r="H203" t="s">
        <v>15</v>
      </c>
      <c r="I203" t="s">
        <v>38</v>
      </c>
      <c r="J203" s="1">
        <v>45036</v>
      </c>
      <c r="K203" t="b">
        <v>0</v>
      </c>
    </row>
    <row r="204" spans="1:11" x14ac:dyDescent="0.3">
      <c r="A204" t="s">
        <v>366</v>
      </c>
      <c r="B204" t="s">
        <v>100</v>
      </c>
      <c r="C204" t="s">
        <v>66</v>
      </c>
      <c r="D204" t="s">
        <v>367</v>
      </c>
      <c r="E204">
        <v>21.5</v>
      </c>
      <c r="F204">
        <v>2</v>
      </c>
      <c r="G204">
        <v>43</v>
      </c>
      <c r="H204" t="s">
        <v>15</v>
      </c>
      <c r="I204" t="s">
        <v>38</v>
      </c>
      <c r="J204" s="1">
        <v>45178</v>
      </c>
      <c r="K204" t="b">
        <v>1</v>
      </c>
    </row>
    <row r="205" spans="1:11" x14ac:dyDescent="0.3">
      <c r="A205" t="s">
        <v>368</v>
      </c>
      <c r="B205" t="s">
        <v>168</v>
      </c>
      <c r="C205" t="s">
        <v>66</v>
      </c>
      <c r="D205" t="s">
        <v>369</v>
      </c>
      <c r="E205">
        <v>36.5</v>
      </c>
      <c r="F205">
        <v>2</v>
      </c>
      <c r="G205">
        <v>73</v>
      </c>
      <c r="H205" t="s">
        <v>15</v>
      </c>
      <c r="I205" t="s">
        <v>38</v>
      </c>
      <c r="J205" s="1">
        <v>45488</v>
      </c>
      <c r="K205" t="b">
        <v>0</v>
      </c>
    </row>
    <row r="206" spans="1:11" x14ac:dyDescent="0.3">
      <c r="A206" t="s">
        <v>370</v>
      </c>
      <c r="B206" t="s">
        <v>123</v>
      </c>
      <c r="C206" t="s">
        <v>41</v>
      </c>
      <c r="D206" t="s">
        <v>199</v>
      </c>
      <c r="E206">
        <v>39.5</v>
      </c>
      <c r="F206">
        <v>5</v>
      </c>
      <c r="G206">
        <v>197.5</v>
      </c>
      <c r="H206" t="s">
        <v>25</v>
      </c>
      <c r="I206" t="s">
        <v>38</v>
      </c>
      <c r="J206" s="1">
        <v>45623</v>
      </c>
    </row>
    <row r="207" spans="1:11" x14ac:dyDescent="0.3">
      <c r="A207" t="s">
        <v>371</v>
      </c>
      <c r="B207" t="s">
        <v>63</v>
      </c>
      <c r="C207" t="s">
        <v>13</v>
      </c>
      <c r="D207" t="s">
        <v>372</v>
      </c>
      <c r="E207">
        <v>23</v>
      </c>
      <c r="F207">
        <v>3</v>
      </c>
      <c r="G207">
        <v>69</v>
      </c>
      <c r="H207" t="s">
        <v>15</v>
      </c>
      <c r="I207" t="s">
        <v>16</v>
      </c>
      <c r="J207" s="1">
        <v>45335</v>
      </c>
      <c r="K207" t="b">
        <v>1</v>
      </c>
    </row>
    <row r="208" spans="1:11" x14ac:dyDescent="0.3">
      <c r="A208" t="s">
        <v>373</v>
      </c>
      <c r="B208" t="s">
        <v>77</v>
      </c>
      <c r="C208" t="s">
        <v>32</v>
      </c>
      <c r="D208" t="s">
        <v>170</v>
      </c>
      <c r="E208">
        <v>30.5</v>
      </c>
      <c r="F208">
        <v>2</v>
      </c>
      <c r="G208">
        <v>61</v>
      </c>
      <c r="H208" t="s">
        <v>48</v>
      </c>
      <c r="I208" t="s">
        <v>38</v>
      </c>
      <c r="J208" s="1">
        <v>44581</v>
      </c>
      <c r="K208" t="b">
        <v>0</v>
      </c>
    </row>
    <row r="209" spans="1:11" x14ac:dyDescent="0.3">
      <c r="A209" t="s">
        <v>374</v>
      </c>
      <c r="B209" t="s">
        <v>89</v>
      </c>
      <c r="C209" t="s">
        <v>130</v>
      </c>
      <c r="D209" t="s">
        <v>240</v>
      </c>
      <c r="E209">
        <v>35</v>
      </c>
      <c r="F209">
        <v>4</v>
      </c>
      <c r="G209">
        <v>140</v>
      </c>
      <c r="H209" t="s">
        <v>15</v>
      </c>
      <c r="I209" t="s">
        <v>38</v>
      </c>
      <c r="J209" s="1">
        <v>45582</v>
      </c>
      <c r="K209" t="b">
        <v>0</v>
      </c>
    </row>
    <row r="210" spans="1:11" x14ac:dyDescent="0.3">
      <c r="A210" t="s">
        <v>375</v>
      </c>
      <c r="B210" t="s">
        <v>80</v>
      </c>
      <c r="C210" t="s">
        <v>130</v>
      </c>
      <c r="D210" t="s">
        <v>275</v>
      </c>
      <c r="E210">
        <v>6.5</v>
      </c>
      <c r="F210">
        <v>8</v>
      </c>
      <c r="G210">
        <v>52</v>
      </c>
      <c r="H210" t="s">
        <v>25</v>
      </c>
      <c r="I210" t="s">
        <v>16</v>
      </c>
      <c r="J210" s="1">
        <v>45269</v>
      </c>
      <c r="K210" t="b">
        <v>0</v>
      </c>
    </row>
    <row r="211" spans="1:11" x14ac:dyDescent="0.3">
      <c r="A211" t="s">
        <v>376</v>
      </c>
      <c r="B211" t="s">
        <v>108</v>
      </c>
      <c r="C211" t="s">
        <v>66</v>
      </c>
      <c r="D211" t="s">
        <v>377</v>
      </c>
      <c r="E211">
        <v>29</v>
      </c>
      <c r="F211">
        <v>4</v>
      </c>
      <c r="G211">
        <v>116</v>
      </c>
      <c r="H211" t="s">
        <v>48</v>
      </c>
      <c r="I211" t="s">
        <v>16</v>
      </c>
      <c r="J211" s="1">
        <v>44707</v>
      </c>
      <c r="K211" t="b">
        <v>0</v>
      </c>
    </row>
    <row r="212" spans="1:11" x14ac:dyDescent="0.3">
      <c r="A212" t="s">
        <v>378</v>
      </c>
      <c r="B212" t="s">
        <v>116</v>
      </c>
      <c r="C212" t="s">
        <v>130</v>
      </c>
      <c r="D212" t="s">
        <v>240</v>
      </c>
      <c r="E212">
        <v>35</v>
      </c>
      <c r="F212">
        <v>2</v>
      </c>
      <c r="G212">
        <v>70</v>
      </c>
      <c r="H212" t="s">
        <v>25</v>
      </c>
      <c r="I212" t="s">
        <v>38</v>
      </c>
      <c r="J212" s="1">
        <v>45534</v>
      </c>
      <c r="K212" t="b">
        <v>0</v>
      </c>
    </row>
    <row r="213" spans="1:11" x14ac:dyDescent="0.3">
      <c r="A213" t="s">
        <v>379</v>
      </c>
      <c r="B213" t="s">
        <v>98</v>
      </c>
      <c r="C213" t="s">
        <v>23</v>
      </c>
      <c r="D213" t="s">
        <v>227</v>
      </c>
      <c r="E213">
        <v>15.5</v>
      </c>
      <c r="F213">
        <v>3</v>
      </c>
      <c r="G213">
        <v>46.5</v>
      </c>
      <c r="H213" t="s">
        <v>15</v>
      </c>
      <c r="I213" t="s">
        <v>38</v>
      </c>
      <c r="J213" s="1">
        <v>44842</v>
      </c>
    </row>
    <row r="214" spans="1:11" x14ac:dyDescent="0.3">
      <c r="A214" t="s">
        <v>380</v>
      </c>
      <c r="B214" t="s">
        <v>55</v>
      </c>
      <c r="C214" t="s">
        <v>13</v>
      </c>
      <c r="D214" t="s">
        <v>172</v>
      </c>
      <c r="E214">
        <v>5</v>
      </c>
      <c r="F214">
        <v>7</v>
      </c>
      <c r="G214">
        <v>35</v>
      </c>
      <c r="H214" t="s">
        <v>15</v>
      </c>
      <c r="I214" t="s">
        <v>16</v>
      </c>
      <c r="J214" s="1">
        <v>45637</v>
      </c>
      <c r="K214" t="b">
        <v>0</v>
      </c>
    </row>
    <row r="215" spans="1:11" x14ac:dyDescent="0.3">
      <c r="A215" t="s">
        <v>381</v>
      </c>
      <c r="B215" t="s">
        <v>98</v>
      </c>
      <c r="C215" t="s">
        <v>32</v>
      </c>
      <c r="D215" t="s">
        <v>33</v>
      </c>
      <c r="E215">
        <v>12.5</v>
      </c>
      <c r="F215">
        <v>4</v>
      </c>
      <c r="G215">
        <v>50</v>
      </c>
      <c r="H215" t="s">
        <v>48</v>
      </c>
      <c r="I215" t="s">
        <v>16</v>
      </c>
      <c r="J215" s="1">
        <v>45488</v>
      </c>
      <c r="K215" t="b">
        <v>0</v>
      </c>
    </row>
    <row r="216" spans="1:11" x14ac:dyDescent="0.3">
      <c r="A216" t="s">
        <v>382</v>
      </c>
      <c r="B216" t="s">
        <v>31</v>
      </c>
      <c r="C216" t="s">
        <v>23</v>
      </c>
      <c r="D216" t="s">
        <v>383</v>
      </c>
      <c r="E216">
        <v>41</v>
      </c>
      <c r="F216">
        <v>3</v>
      </c>
      <c r="G216">
        <v>123</v>
      </c>
      <c r="H216" t="s">
        <v>25</v>
      </c>
      <c r="I216" t="s">
        <v>16</v>
      </c>
      <c r="J216" s="1">
        <v>45571</v>
      </c>
      <c r="K216" t="b">
        <v>1</v>
      </c>
    </row>
    <row r="217" spans="1:11" x14ac:dyDescent="0.3">
      <c r="A217" t="s">
        <v>384</v>
      </c>
      <c r="B217" t="s">
        <v>46</v>
      </c>
      <c r="C217" t="s">
        <v>23</v>
      </c>
      <c r="D217" t="s">
        <v>114</v>
      </c>
      <c r="E217">
        <v>38</v>
      </c>
      <c r="F217">
        <v>2</v>
      </c>
      <c r="G217">
        <v>76</v>
      </c>
      <c r="H217" t="s">
        <v>15</v>
      </c>
      <c r="I217" t="s">
        <v>38</v>
      </c>
      <c r="J217" s="1">
        <v>45295</v>
      </c>
      <c r="K217" t="b">
        <v>0</v>
      </c>
    </row>
    <row r="218" spans="1:11" x14ac:dyDescent="0.3">
      <c r="A218" t="s">
        <v>385</v>
      </c>
      <c r="B218" t="s">
        <v>18</v>
      </c>
      <c r="C218" t="s">
        <v>13</v>
      </c>
      <c r="F218">
        <v>8</v>
      </c>
      <c r="G218">
        <v>40</v>
      </c>
      <c r="H218" t="s">
        <v>48</v>
      </c>
      <c r="I218" t="s">
        <v>16</v>
      </c>
      <c r="J218" s="1">
        <v>44967</v>
      </c>
    </row>
    <row r="219" spans="1:11" x14ac:dyDescent="0.3">
      <c r="A219" t="s">
        <v>386</v>
      </c>
      <c r="B219" t="s">
        <v>18</v>
      </c>
      <c r="C219" t="s">
        <v>130</v>
      </c>
      <c r="D219" t="s">
        <v>387</v>
      </c>
      <c r="E219">
        <v>9.5</v>
      </c>
      <c r="F219">
        <v>5</v>
      </c>
      <c r="G219">
        <v>47.5</v>
      </c>
      <c r="H219" t="s">
        <v>25</v>
      </c>
      <c r="I219" t="s">
        <v>16</v>
      </c>
      <c r="J219" s="1">
        <v>45581</v>
      </c>
    </row>
    <row r="220" spans="1:11" x14ac:dyDescent="0.3">
      <c r="A220" t="s">
        <v>388</v>
      </c>
      <c r="B220" t="s">
        <v>98</v>
      </c>
      <c r="C220" t="s">
        <v>130</v>
      </c>
      <c r="D220" t="s">
        <v>240</v>
      </c>
      <c r="E220">
        <v>35</v>
      </c>
      <c r="F220">
        <v>7</v>
      </c>
      <c r="G220">
        <v>245</v>
      </c>
      <c r="H220" t="s">
        <v>48</v>
      </c>
      <c r="I220" t="s">
        <v>16</v>
      </c>
      <c r="J220" s="1">
        <v>45150</v>
      </c>
      <c r="K220" t="b">
        <v>0</v>
      </c>
    </row>
    <row r="221" spans="1:11" x14ac:dyDescent="0.3">
      <c r="A221" t="s">
        <v>389</v>
      </c>
      <c r="B221" t="s">
        <v>31</v>
      </c>
      <c r="C221" t="s">
        <v>13</v>
      </c>
      <c r="D221" t="s">
        <v>14</v>
      </c>
      <c r="E221">
        <v>18.5</v>
      </c>
      <c r="F221">
        <v>3</v>
      </c>
      <c r="G221">
        <v>55.5</v>
      </c>
      <c r="H221" t="s">
        <v>48</v>
      </c>
      <c r="I221" t="s">
        <v>38</v>
      </c>
      <c r="J221" s="1">
        <v>45319</v>
      </c>
      <c r="K221" t="b">
        <v>0</v>
      </c>
    </row>
    <row r="222" spans="1:11" x14ac:dyDescent="0.3">
      <c r="A222" t="s">
        <v>390</v>
      </c>
      <c r="B222" t="s">
        <v>74</v>
      </c>
      <c r="C222" t="s">
        <v>19</v>
      </c>
      <c r="D222" t="s">
        <v>391</v>
      </c>
      <c r="E222">
        <v>6.5</v>
      </c>
      <c r="F222">
        <v>1</v>
      </c>
      <c r="G222">
        <v>6.5</v>
      </c>
      <c r="H222" t="s">
        <v>15</v>
      </c>
      <c r="I222" t="s">
        <v>16</v>
      </c>
      <c r="J222" s="1">
        <v>45446</v>
      </c>
      <c r="K222" t="b">
        <v>0</v>
      </c>
    </row>
    <row r="223" spans="1:11" x14ac:dyDescent="0.3">
      <c r="A223" t="s">
        <v>392</v>
      </c>
      <c r="B223" t="s">
        <v>77</v>
      </c>
      <c r="C223" t="s">
        <v>28</v>
      </c>
      <c r="D223" t="s">
        <v>104</v>
      </c>
      <c r="E223">
        <v>41</v>
      </c>
      <c r="F223">
        <v>2</v>
      </c>
      <c r="G223">
        <v>82</v>
      </c>
      <c r="H223" t="s">
        <v>15</v>
      </c>
      <c r="I223" t="s">
        <v>16</v>
      </c>
      <c r="J223" s="1">
        <v>45602</v>
      </c>
    </row>
    <row r="224" spans="1:11" x14ac:dyDescent="0.3">
      <c r="A224" t="s">
        <v>393</v>
      </c>
      <c r="B224" t="s">
        <v>116</v>
      </c>
      <c r="C224" t="s">
        <v>19</v>
      </c>
      <c r="D224" t="s">
        <v>201</v>
      </c>
      <c r="E224">
        <v>15.5</v>
      </c>
      <c r="F224">
        <v>6</v>
      </c>
      <c r="G224">
        <v>93</v>
      </c>
      <c r="H224" t="s">
        <v>15</v>
      </c>
      <c r="I224" t="s">
        <v>38</v>
      </c>
      <c r="J224" s="1">
        <v>44791</v>
      </c>
      <c r="K224" t="b">
        <v>0</v>
      </c>
    </row>
    <row r="225" spans="1:11" x14ac:dyDescent="0.3">
      <c r="A225" t="s">
        <v>394</v>
      </c>
      <c r="B225" t="s">
        <v>43</v>
      </c>
      <c r="C225" t="s">
        <v>130</v>
      </c>
      <c r="D225" t="s">
        <v>326</v>
      </c>
      <c r="E225">
        <v>30.5</v>
      </c>
      <c r="F225">
        <v>5</v>
      </c>
      <c r="G225">
        <v>152.5</v>
      </c>
      <c r="H225" t="s">
        <v>25</v>
      </c>
      <c r="I225" t="s">
        <v>16</v>
      </c>
      <c r="J225" s="1">
        <v>44843</v>
      </c>
      <c r="K225" t="b">
        <v>1</v>
      </c>
    </row>
    <row r="226" spans="1:11" x14ac:dyDescent="0.3">
      <c r="A226" t="s">
        <v>395</v>
      </c>
      <c r="B226" t="s">
        <v>116</v>
      </c>
      <c r="C226" t="s">
        <v>13</v>
      </c>
      <c r="D226" t="s">
        <v>56</v>
      </c>
      <c r="E226">
        <v>39.5</v>
      </c>
      <c r="F226">
        <v>3</v>
      </c>
      <c r="G226">
        <v>118.5</v>
      </c>
      <c r="H226" t="s">
        <v>25</v>
      </c>
      <c r="I226" t="s">
        <v>16</v>
      </c>
      <c r="J226" s="1">
        <v>44818</v>
      </c>
    </row>
    <row r="227" spans="1:11" x14ac:dyDescent="0.3">
      <c r="A227" t="s">
        <v>396</v>
      </c>
      <c r="B227" t="s">
        <v>113</v>
      </c>
      <c r="C227" t="s">
        <v>23</v>
      </c>
      <c r="D227" t="s">
        <v>397</v>
      </c>
      <c r="E227">
        <v>5</v>
      </c>
      <c r="F227">
        <v>7</v>
      </c>
      <c r="G227">
        <v>35</v>
      </c>
      <c r="H227" t="s">
        <v>15</v>
      </c>
      <c r="I227" t="s">
        <v>38</v>
      </c>
      <c r="J227" s="1">
        <v>45034</v>
      </c>
    </row>
    <row r="228" spans="1:11" x14ac:dyDescent="0.3">
      <c r="A228" t="s">
        <v>398</v>
      </c>
      <c r="B228" t="s">
        <v>100</v>
      </c>
      <c r="C228" t="s">
        <v>32</v>
      </c>
      <c r="D228" t="s">
        <v>365</v>
      </c>
      <c r="E228">
        <v>41</v>
      </c>
      <c r="F228">
        <v>3</v>
      </c>
      <c r="G228">
        <v>123</v>
      </c>
      <c r="H228" t="s">
        <v>25</v>
      </c>
      <c r="I228" t="s">
        <v>38</v>
      </c>
      <c r="J228" s="1">
        <v>44647</v>
      </c>
      <c r="K228" t="b">
        <v>0</v>
      </c>
    </row>
    <row r="229" spans="1:11" x14ac:dyDescent="0.3">
      <c r="A229" t="s">
        <v>399</v>
      </c>
      <c r="B229" t="s">
        <v>89</v>
      </c>
      <c r="C229" t="s">
        <v>13</v>
      </c>
      <c r="D229" t="s">
        <v>96</v>
      </c>
      <c r="E229">
        <v>12.5</v>
      </c>
      <c r="F229">
        <v>2</v>
      </c>
      <c r="G229">
        <v>25</v>
      </c>
      <c r="H229" t="s">
        <v>15</v>
      </c>
      <c r="I229" t="s">
        <v>38</v>
      </c>
      <c r="J229" s="1">
        <v>45233</v>
      </c>
      <c r="K229" t="b">
        <v>0</v>
      </c>
    </row>
    <row r="230" spans="1:11" x14ac:dyDescent="0.3">
      <c r="A230" t="s">
        <v>400</v>
      </c>
      <c r="B230" t="s">
        <v>18</v>
      </c>
      <c r="C230" t="s">
        <v>28</v>
      </c>
      <c r="D230" t="s">
        <v>401</v>
      </c>
      <c r="E230">
        <v>21.5</v>
      </c>
      <c r="F230">
        <v>8</v>
      </c>
      <c r="G230">
        <v>172</v>
      </c>
      <c r="H230" t="s">
        <v>15</v>
      </c>
      <c r="I230" t="s">
        <v>38</v>
      </c>
      <c r="J230" s="1">
        <v>45060</v>
      </c>
      <c r="K230" t="b">
        <v>0</v>
      </c>
    </row>
    <row r="231" spans="1:11" x14ac:dyDescent="0.3">
      <c r="A231" t="s">
        <v>402</v>
      </c>
      <c r="B231" t="s">
        <v>100</v>
      </c>
      <c r="C231" t="s">
        <v>23</v>
      </c>
      <c r="D231" t="s">
        <v>217</v>
      </c>
      <c r="E231">
        <v>35</v>
      </c>
      <c r="F231">
        <v>8</v>
      </c>
      <c r="G231">
        <v>280</v>
      </c>
      <c r="H231" t="s">
        <v>25</v>
      </c>
      <c r="I231" t="s">
        <v>38</v>
      </c>
      <c r="J231" s="1">
        <v>45258</v>
      </c>
      <c r="K231" t="b">
        <v>1</v>
      </c>
    </row>
    <row r="232" spans="1:11" x14ac:dyDescent="0.3">
      <c r="A232" t="s">
        <v>403</v>
      </c>
      <c r="B232" t="s">
        <v>31</v>
      </c>
      <c r="C232" t="s">
        <v>23</v>
      </c>
      <c r="D232" t="s">
        <v>114</v>
      </c>
      <c r="E232">
        <v>38</v>
      </c>
      <c r="F232">
        <v>5</v>
      </c>
      <c r="G232">
        <v>190</v>
      </c>
      <c r="H232" t="s">
        <v>25</v>
      </c>
      <c r="I232" t="s">
        <v>16</v>
      </c>
      <c r="J232" s="1">
        <v>45533</v>
      </c>
    </row>
    <row r="233" spans="1:11" x14ac:dyDescent="0.3">
      <c r="A233" t="s">
        <v>404</v>
      </c>
      <c r="B233" t="s">
        <v>40</v>
      </c>
      <c r="C233" t="s">
        <v>23</v>
      </c>
      <c r="D233" t="s">
        <v>135</v>
      </c>
      <c r="E233">
        <v>27.5</v>
      </c>
      <c r="F233">
        <v>7</v>
      </c>
      <c r="G233">
        <v>192.5</v>
      </c>
      <c r="H233" t="s">
        <v>15</v>
      </c>
      <c r="I233" t="s">
        <v>16</v>
      </c>
      <c r="J233" s="1">
        <v>44604</v>
      </c>
      <c r="K233" t="b">
        <v>0</v>
      </c>
    </row>
    <row r="234" spans="1:11" x14ac:dyDescent="0.3">
      <c r="A234" t="s">
        <v>405</v>
      </c>
      <c r="B234" t="s">
        <v>63</v>
      </c>
      <c r="C234" t="s">
        <v>32</v>
      </c>
      <c r="E234">
        <v>30.5</v>
      </c>
      <c r="H234" t="s">
        <v>48</v>
      </c>
      <c r="I234" t="s">
        <v>16</v>
      </c>
      <c r="J234" s="1">
        <v>45138</v>
      </c>
    </row>
    <row r="235" spans="1:11" x14ac:dyDescent="0.3">
      <c r="A235" t="s">
        <v>406</v>
      </c>
      <c r="B235" t="s">
        <v>22</v>
      </c>
      <c r="C235" t="s">
        <v>66</v>
      </c>
      <c r="D235" t="s">
        <v>119</v>
      </c>
      <c r="E235">
        <v>18.5</v>
      </c>
      <c r="F235">
        <v>4</v>
      </c>
      <c r="G235">
        <v>74</v>
      </c>
      <c r="H235" t="s">
        <v>15</v>
      </c>
      <c r="I235" t="s">
        <v>16</v>
      </c>
      <c r="J235" s="1">
        <v>44738</v>
      </c>
    </row>
    <row r="236" spans="1:11" x14ac:dyDescent="0.3">
      <c r="A236" t="s">
        <v>407</v>
      </c>
      <c r="B236" t="s">
        <v>55</v>
      </c>
      <c r="C236" t="s">
        <v>66</v>
      </c>
      <c r="E236">
        <v>38</v>
      </c>
      <c r="H236" t="s">
        <v>48</v>
      </c>
      <c r="I236" t="s">
        <v>16</v>
      </c>
      <c r="J236" s="1">
        <v>45154</v>
      </c>
      <c r="K236" t="b">
        <v>0</v>
      </c>
    </row>
    <row r="237" spans="1:11" x14ac:dyDescent="0.3">
      <c r="A237" t="s">
        <v>408</v>
      </c>
      <c r="B237" t="s">
        <v>27</v>
      </c>
      <c r="C237" t="s">
        <v>32</v>
      </c>
      <c r="D237" t="s">
        <v>409</v>
      </c>
      <c r="E237">
        <v>11</v>
      </c>
      <c r="F237">
        <v>6</v>
      </c>
      <c r="G237">
        <v>66</v>
      </c>
      <c r="H237" t="s">
        <v>25</v>
      </c>
      <c r="I237" t="s">
        <v>38</v>
      </c>
      <c r="J237" s="1">
        <v>44722</v>
      </c>
    </row>
    <row r="238" spans="1:11" x14ac:dyDescent="0.3">
      <c r="A238" t="s">
        <v>410</v>
      </c>
      <c r="B238" t="s">
        <v>100</v>
      </c>
      <c r="C238" t="s">
        <v>66</v>
      </c>
      <c r="D238" t="s">
        <v>101</v>
      </c>
      <c r="E238">
        <v>35</v>
      </c>
      <c r="F238">
        <v>3</v>
      </c>
      <c r="G238">
        <v>105</v>
      </c>
      <c r="H238" t="s">
        <v>25</v>
      </c>
      <c r="I238" t="s">
        <v>16</v>
      </c>
      <c r="J238" s="1">
        <v>44909</v>
      </c>
      <c r="K238" t="b">
        <v>1</v>
      </c>
    </row>
    <row r="239" spans="1:11" x14ac:dyDescent="0.3">
      <c r="A239" t="s">
        <v>411</v>
      </c>
      <c r="B239" t="s">
        <v>77</v>
      </c>
      <c r="C239" t="s">
        <v>28</v>
      </c>
      <c r="D239" t="s">
        <v>104</v>
      </c>
      <c r="E239">
        <v>41</v>
      </c>
      <c r="F239">
        <v>5</v>
      </c>
      <c r="G239">
        <v>205</v>
      </c>
      <c r="H239" t="s">
        <v>48</v>
      </c>
      <c r="I239" t="s">
        <v>38</v>
      </c>
      <c r="J239" s="1">
        <v>45211</v>
      </c>
    </row>
    <row r="240" spans="1:11" x14ac:dyDescent="0.3">
      <c r="A240" t="s">
        <v>412</v>
      </c>
      <c r="B240" t="s">
        <v>40</v>
      </c>
      <c r="C240" t="s">
        <v>32</v>
      </c>
      <c r="D240" t="s">
        <v>128</v>
      </c>
      <c r="E240">
        <v>21.5</v>
      </c>
      <c r="F240">
        <v>7</v>
      </c>
      <c r="G240">
        <v>150.5</v>
      </c>
      <c r="H240" t="s">
        <v>15</v>
      </c>
      <c r="I240" t="s">
        <v>38</v>
      </c>
      <c r="J240" s="1">
        <v>45548</v>
      </c>
      <c r="K240" t="b">
        <v>0</v>
      </c>
    </row>
    <row r="241" spans="1:11" x14ac:dyDescent="0.3">
      <c r="A241" t="s">
        <v>413</v>
      </c>
      <c r="B241" t="s">
        <v>108</v>
      </c>
      <c r="C241" t="s">
        <v>130</v>
      </c>
      <c r="D241" t="s">
        <v>139</v>
      </c>
      <c r="E241">
        <v>11</v>
      </c>
      <c r="F241">
        <v>10</v>
      </c>
      <c r="G241">
        <v>110</v>
      </c>
      <c r="H241" t="s">
        <v>48</v>
      </c>
      <c r="I241" t="s">
        <v>16</v>
      </c>
      <c r="J241" s="1">
        <v>45320</v>
      </c>
    </row>
    <row r="242" spans="1:11" x14ac:dyDescent="0.3">
      <c r="A242" t="s">
        <v>414</v>
      </c>
      <c r="B242" t="s">
        <v>89</v>
      </c>
      <c r="C242" t="s">
        <v>19</v>
      </c>
      <c r="D242" t="s">
        <v>271</v>
      </c>
      <c r="E242">
        <v>5</v>
      </c>
      <c r="F242">
        <v>2</v>
      </c>
      <c r="G242">
        <v>10</v>
      </c>
      <c r="H242" t="s">
        <v>15</v>
      </c>
      <c r="I242" t="s">
        <v>16</v>
      </c>
      <c r="J242" s="1">
        <v>45053</v>
      </c>
      <c r="K242" t="b">
        <v>1</v>
      </c>
    </row>
    <row r="243" spans="1:11" x14ac:dyDescent="0.3">
      <c r="A243" t="s">
        <v>415</v>
      </c>
      <c r="B243" t="s">
        <v>98</v>
      </c>
      <c r="C243" t="s">
        <v>19</v>
      </c>
      <c r="D243" t="s">
        <v>210</v>
      </c>
      <c r="E243">
        <v>9.5</v>
      </c>
      <c r="F243">
        <v>2</v>
      </c>
      <c r="G243">
        <v>19</v>
      </c>
      <c r="H243" t="s">
        <v>25</v>
      </c>
      <c r="I243" t="s">
        <v>38</v>
      </c>
      <c r="J243" s="1">
        <v>45585</v>
      </c>
      <c r="K243" t="b">
        <v>0</v>
      </c>
    </row>
    <row r="244" spans="1:11" x14ac:dyDescent="0.3">
      <c r="A244" t="s">
        <v>416</v>
      </c>
      <c r="B244" t="s">
        <v>12</v>
      </c>
      <c r="C244" t="s">
        <v>19</v>
      </c>
      <c r="D244" t="s">
        <v>391</v>
      </c>
      <c r="E244">
        <v>6.5</v>
      </c>
      <c r="F244">
        <v>1</v>
      </c>
      <c r="G244">
        <v>6.5</v>
      </c>
      <c r="H244" t="s">
        <v>48</v>
      </c>
      <c r="I244" t="s">
        <v>16</v>
      </c>
      <c r="J244" s="1">
        <v>44880</v>
      </c>
    </row>
    <row r="245" spans="1:11" x14ac:dyDescent="0.3">
      <c r="A245" t="s">
        <v>417</v>
      </c>
      <c r="B245" t="s">
        <v>89</v>
      </c>
      <c r="C245" t="s">
        <v>32</v>
      </c>
      <c r="D245" t="s">
        <v>126</v>
      </c>
      <c r="E245">
        <v>8</v>
      </c>
      <c r="F245">
        <v>6</v>
      </c>
      <c r="G245">
        <v>48</v>
      </c>
      <c r="H245" t="s">
        <v>25</v>
      </c>
      <c r="I245" t="s">
        <v>38</v>
      </c>
      <c r="J245" s="1">
        <v>45301</v>
      </c>
      <c r="K245" t="b">
        <v>0</v>
      </c>
    </row>
    <row r="246" spans="1:11" x14ac:dyDescent="0.3">
      <c r="A246" t="s">
        <v>418</v>
      </c>
      <c r="B246" t="s">
        <v>22</v>
      </c>
      <c r="C246" t="s">
        <v>66</v>
      </c>
      <c r="D246" t="s">
        <v>101</v>
      </c>
      <c r="E246">
        <v>35</v>
      </c>
      <c r="F246">
        <v>5</v>
      </c>
      <c r="G246">
        <v>175</v>
      </c>
      <c r="H246" t="s">
        <v>15</v>
      </c>
      <c r="I246" t="s">
        <v>16</v>
      </c>
      <c r="J246" s="1">
        <v>44663</v>
      </c>
      <c r="K246" t="b">
        <v>0</v>
      </c>
    </row>
    <row r="247" spans="1:11" x14ac:dyDescent="0.3">
      <c r="A247" t="s">
        <v>419</v>
      </c>
      <c r="B247" t="s">
        <v>84</v>
      </c>
      <c r="C247" t="s">
        <v>66</v>
      </c>
      <c r="D247" t="s">
        <v>420</v>
      </c>
      <c r="E247">
        <v>41</v>
      </c>
      <c r="F247">
        <v>9</v>
      </c>
      <c r="G247">
        <v>369</v>
      </c>
      <c r="H247" t="s">
        <v>15</v>
      </c>
      <c r="I247" t="s">
        <v>38</v>
      </c>
      <c r="J247" s="1">
        <v>45468</v>
      </c>
    </row>
    <row r="248" spans="1:11" x14ac:dyDescent="0.3">
      <c r="A248" t="s">
        <v>421</v>
      </c>
      <c r="B248" t="s">
        <v>108</v>
      </c>
      <c r="C248" t="s">
        <v>13</v>
      </c>
      <c r="D248" t="s">
        <v>92</v>
      </c>
      <c r="E248">
        <v>36.5</v>
      </c>
      <c r="F248">
        <v>7</v>
      </c>
      <c r="G248">
        <v>255.5</v>
      </c>
      <c r="H248" t="s">
        <v>15</v>
      </c>
      <c r="I248" t="s">
        <v>16</v>
      </c>
      <c r="J248" s="1">
        <v>45448</v>
      </c>
    </row>
    <row r="249" spans="1:11" x14ac:dyDescent="0.3">
      <c r="A249" t="s">
        <v>422</v>
      </c>
      <c r="B249" t="s">
        <v>123</v>
      </c>
      <c r="C249" t="s">
        <v>66</v>
      </c>
      <c r="F249">
        <v>7</v>
      </c>
      <c r="G249">
        <v>150.5</v>
      </c>
      <c r="H249" t="s">
        <v>48</v>
      </c>
      <c r="I249" t="s">
        <v>16</v>
      </c>
      <c r="J249" s="1">
        <v>45015</v>
      </c>
    </row>
    <row r="250" spans="1:11" x14ac:dyDescent="0.3">
      <c r="A250" t="s">
        <v>423</v>
      </c>
      <c r="B250" t="s">
        <v>65</v>
      </c>
      <c r="C250" t="s">
        <v>28</v>
      </c>
      <c r="D250" t="s">
        <v>268</v>
      </c>
      <c r="E250">
        <v>12.5</v>
      </c>
      <c r="F250">
        <v>3</v>
      </c>
      <c r="G250">
        <v>37.5</v>
      </c>
      <c r="H250" t="s">
        <v>25</v>
      </c>
      <c r="I250" t="s">
        <v>38</v>
      </c>
      <c r="J250" s="1">
        <v>45523</v>
      </c>
      <c r="K250" t="b">
        <v>0</v>
      </c>
    </row>
    <row r="251" spans="1:11" x14ac:dyDescent="0.3">
      <c r="A251" t="s">
        <v>424</v>
      </c>
      <c r="B251" t="s">
        <v>46</v>
      </c>
      <c r="C251" t="s">
        <v>23</v>
      </c>
      <c r="D251" t="s">
        <v>24</v>
      </c>
      <c r="E251">
        <v>21.5</v>
      </c>
      <c r="F251">
        <v>7</v>
      </c>
      <c r="G251">
        <v>150.5</v>
      </c>
      <c r="H251" t="s">
        <v>25</v>
      </c>
      <c r="I251" t="s">
        <v>38</v>
      </c>
      <c r="J251" s="1">
        <v>44652</v>
      </c>
    </row>
    <row r="252" spans="1:11" x14ac:dyDescent="0.3">
      <c r="A252" t="s">
        <v>425</v>
      </c>
      <c r="B252" t="s">
        <v>31</v>
      </c>
      <c r="C252" t="s">
        <v>19</v>
      </c>
      <c r="D252" t="s">
        <v>391</v>
      </c>
      <c r="E252">
        <v>6.5</v>
      </c>
      <c r="F252">
        <v>10</v>
      </c>
      <c r="G252">
        <v>65</v>
      </c>
      <c r="H252" t="s">
        <v>25</v>
      </c>
      <c r="I252" t="s">
        <v>38</v>
      </c>
      <c r="J252" s="1">
        <v>44770</v>
      </c>
    </row>
    <row r="253" spans="1:11" x14ac:dyDescent="0.3">
      <c r="A253" t="s">
        <v>426</v>
      </c>
      <c r="B253" t="s">
        <v>36</v>
      </c>
      <c r="C253" t="s">
        <v>130</v>
      </c>
      <c r="D253" t="s">
        <v>427</v>
      </c>
      <c r="E253">
        <v>17</v>
      </c>
      <c r="F253">
        <v>10</v>
      </c>
      <c r="G253">
        <v>170</v>
      </c>
      <c r="H253" t="s">
        <v>15</v>
      </c>
      <c r="I253" t="s">
        <v>38</v>
      </c>
      <c r="J253" s="1">
        <v>45216</v>
      </c>
    </row>
    <row r="254" spans="1:11" x14ac:dyDescent="0.3">
      <c r="A254" t="s">
        <v>428</v>
      </c>
      <c r="B254" t="s">
        <v>98</v>
      </c>
      <c r="C254" t="s">
        <v>28</v>
      </c>
      <c r="D254" t="s">
        <v>124</v>
      </c>
      <c r="E254">
        <v>15.5</v>
      </c>
      <c r="F254">
        <v>5</v>
      </c>
      <c r="G254">
        <v>77.5</v>
      </c>
      <c r="H254" t="s">
        <v>15</v>
      </c>
      <c r="I254" t="s">
        <v>16</v>
      </c>
      <c r="J254" s="1">
        <v>44976</v>
      </c>
      <c r="K254" t="b">
        <v>1</v>
      </c>
    </row>
    <row r="255" spans="1:11" x14ac:dyDescent="0.3">
      <c r="A255" t="s">
        <v>429</v>
      </c>
      <c r="B255" t="s">
        <v>123</v>
      </c>
      <c r="C255" t="s">
        <v>41</v>
      </c>
      <c r="E255">
        <v>12.5</v>
      </c>
      <c r="H255" t="s">
        <v>15</v>
      </c>
      <c r="I255" t="s">
        <v>16</v>
      </c>
      <c r="J255" s="1">
        <v>45305</v>
      </c>
      <c r="K255" t="b">
        <v>0</v>
      </c>
    </row>
    <row r="256" spans="1:11" x14ac:dyDescent="0.3">
      <c r="A256" t="s">
        <v>430</v>
      </c>
      <c r="B256" t="s">
        <v>55</v>
      </c>
      <c r="C256" t="s">
        <v>32</v>
      </c>
      <c r="D256" t="s">
        <v>78</v>
      </c>
      <c r="E256">
        <v>18.5</v>
      </c>
      <c r="F256">
        <v>7</v>
      </c>
      <c r="G256">
        <v>129.5</v>
      </c>
      <c r="H256" t="s">
        <v>48</v>
      </c>
      <c r="I256" t="s">
        <v>38</v>
      </c>
      <c r="J256" s="1">
        <v>45089</v>
      </c>
      <c r="K256" t="b">
        <v>0</v>
      </c>
    </row>
    <row r="257" spans="1:11" x14ac:dyDescent="0.3">
      <c r="A257" t="s">
        <v>431</v>
      </c>
      <c r="B257" t="s">
        <v>63</v>
      </c>
      <c r="C257" t="s">
        <v>41</v>
      </c>
      <c r="D257" t="s">
        <v>303</v>
      </c>
      <c r="E257">
        <v>15.5</v>
      </c>
      <c r="F257">
        <v>1</v>
      </c>
      <c r="G257">
        <v>15.5</v>
      </c>
      <c r="H257" t="s">
        <v>25</v>
      </c>
      <c r="I257" t="s">
        <v>38</v>
      </c>
      <c r="J257" s="1">
        <v>44843</v>
      </c>
    </row>
    <row r="258" spans="1:11" x14ac:dyDescent="0.3">
      <c r="A258" t="s">
        <v>432</v>
      </c>
      <c r="B258" t="s">
        <v>116</v>
      </c>
      <c r="C258" t="s">
        <v>41</v>
      </c>
      <c r="D258" t="s">
        <v>81</v>
      </c>
      <c r="E258">
        <v>24.5</v>
      </c>
      <c r="F258">
        <v>1</v>
      </c>
      <c r="G258">
        <v>24.5</v>
      </c>
      <c r="H258" t="s">
        <v>15</v>
      </c>
      <c r="I258" t="s">
        <v>38</v>
      </c>
      <c r="J258" s="1">
        <v>44732</v>
      </c>
    </row>
    <row r="259" spans="1:11" x14ac:dyDescent="0.3">
      <c r="A259" t="s">
        <v>433</v>
      </c>
      <c r="B259" t="s">
        <v>69</v>
      </c>
      <c r="C259" t="s">
        <v>19</v>
      </c>
      <c r="D259" t="s">
        <v>273</v>
      </c>
      <c r="E259">
        <v>39.5</v>
      </c>
      <c r="F259">
        <v>3</v>
      </c>
      <c r="G259">
        <v>118.5</v>
      </c>
      <c r="H259" t="s">
        <v>48</v>
      </c>
      <c r="I259" t="s">
        <v>16</v>
      </c>
      <c r="J259" s="1">
        <v>44993</v>
      </c>
    </row>
    <row r="260" spans="1:11" x14ac:dyDescent="0.3">
      <c r="A260" t="s">
        <v>434</v>
      </c>
      <c r="B260" t="s">
        <v>80</v>
      </c>
      <c r="C260" t="s">
        <v>32</v>
      </c>
      <c r="D260" t="s">
        <v>90</v>
      </c>
      <c r="E260">
        <v>24.5</v>
      </c>
      <c r="F260">
        <v>6</v>
      </c>
      <c r="G260">
        <v>147</v>
      </c>
      <c r="H260" t="s">
        <v>25</v>
      </c>
      <c r="I260" t="s">
        <v>16</v>
      </c>
      <c r="J260" s="1">
        <v>44986</v>
      </c>
      <c r="K260" t="b">
        <v>1</v>
      </c>
    </row>
    <row r="261" spans="1:11" x14ac:dyDescent="0.3">
      <c r="A261" t="s">
        <v>435</v>
      </c>
      <c r="B261" t="s">
        <v>168</v>
      </c>
      <c r="C261" t="s">
        <v>32</v>
      </c>
      <c r="E261">
        <v>20</v>
      </c>
      <c r="H261" t="s">
        <v>15</v>
      </c>
      <c r="I261" t="s">
        <v>38</v>
      </c>
      <c r="J261" s="1">
        <v>44698</v>
      </c>
    </row>
    <row r="262" spans="1:11" x14ac:dyDescent="0.3">
      <c r="A262" t="s">
        <v>436</v>
      </c>
      <c r="B262" t="s">
        <v>84</v>
      </c>
      <c r="C262" t="s">
        <v>13</v>
      </c>
      <c r="D262" t="s">
        <v>96</v>
      </c>
      <c r="E262">
        <v>12.5</v>
      </c>
      <c r="F262">
        <v>3</v>
      </c>
      <c r="G262">
        <v>37.5</v>
      </c>
      <c r="H262" t="s">
        <v>48</v>
      </c>
      <c r="I262" t="s">
        <v>38</v>
      </c>
      <c r="J262" s="1">
        <v>45378</v>
      </c>
      <c r="K262" t="b">
        <v>0</v>
      </c>
    </row>
    <row r="263" spans="1:11" x14ac:dyDescent="0.3">
      <c r="A263" t="s">
        <v>437</v>
      </c>
      <c r="B263" t="s">
        <v>108</v>
      </c>
      <c r="C263" t="s">
        <v>23</v>
      </c>
      <c r="D263" t="s">
        <v>24</v>
      </c>
      <c r="E263">
        <v>21.5</v>
      </c>
      <c r="F263">
        <v>1</v>
      </c>
      <c r="G263">
        <v>21.5</v>
      </c>
      <c r="H263" t="s">
        <v>25</v>
      </c>
      <c r="I263" t="s">
        <v>16</v>
      </c>
      <c r="J263" s="1">
        <v>45160</v>
      </c>
      <c r="K263" t="b">
        <v>0</v>
      </c>
    </row>
    <row r="264" spans="1:11" x14ac:dyDescent="0.3">
      <c r="A264" t="s">
        <v>438</v>
      </c>
      <c r="B264" t="s">
        <v>168</v>
      </c>
      <c r="C264" t="s">
        <v>23</v>
      </c>
      <c r="D264" t="s">
        <v>227</v>
      </c>
      <c r="E264">
        <v>15.5</v>
      </c>
      <c r="F264">
        <v>3</v>
      </c>
      <c r="G264">
        <v>46.5</v>
      </c>
      <c r="H264" t="s">
        <v>25</v>
      </c>
      <c r="I264" t="s">
        <v>38</v>
      </c>
      <c r="J264" s="1">
        <v>45524</v>
      </c>
      <c r="K264" t="b">
        <v>1</v>
      </c>
    </row>
    <row r="265" spans="1:11" x14ac:dyDescent="0.3">
      <c r="A265" t="s">
        <v>439</v>
      </c>
      <c r="B265" t="s">
        <v>116</v>
      </c>
      <c r="C265" t="s">
        <v>41</v>
      </c>
      <c r="D265" t="s">
        <v>303</v>
      </c>
      <c r="E265">
        <v>15.5</v>
      </c>
      <c r="F265">
        <v>5</v>
      </c>
      <c r="G265">
        <v>77.5</v>
      </c>
      <c r="H265" t="s">
        <v>25</v>
      </c>
      <c r="I265" t="s">
        <v>38</v>
      </c>
      <c r="J265" s="1">
        <v>45435</v>
      </c>
      <c r="K265" t="b">
        <v>1</v>
      </c>
    </row>
    <row r="266" spans="1:11" x14ac:dyDescent="0.3">
      <c r="A266" t="s">
        <v>440</v>
      </c>
      <c r="B266" t="s">
        <v>108</v>
      </c>
      <c r="C266" t="s">
        <v>19</v>
      </c>
      <c r="D266" t="s">
        <v>284</v>
      </c>
      <c r="E266">
        <v>8</v>
      </c>
      <c r="F266">
        <v>9</v>
      </c>
      <c r="G266">
        <v>72</v>
      </c>
      <c r="H266" t="s">
        <v>48</v>
      </c>
      <c r="I266" t="s">
        <v>38</v>
      </c>
      <c r="J266" s="1">
        <v>44564</v>
      </c>
      <c r="K266" t="b">
        <v>0</v>
      </c>
    </row>
    <row r="267" spans="1:11" x14ac:dyDescent="0.3">
      <c r="A267" t="s">
        <v>441</v>
      </c>
      <c r="B267" t="s">
        <v>74</v>
      </c>
      <c r="C267" t="s">
        <v>130</v>
      </c>
      <c r="D267" t="s">
        <v>139</v>
      </c>
      <c r="E267">
        <v>11</v>
      </c>
      <c r="F267">
        <v>5</v>
      </c>
      <c r="G267">
        <v>55</v>
      </c>
      <c r="H267" t="s">
        <v>48</v>
      </c>
      <c r="I267" t="s">
        <v>38</v>
      </c>
      <c r="J267" s="1">
        <v>44614</v>
      </c>
    </row>
    <row r="268" spans="1:11" x14ac:dyDescent="0.3">
      <c r="A268" t="s">
        <v>442</v>
      </c>
      <c r="B268" t="s">
        <v>80</v>
      </c>
      <c r="C268" t="s">
        <v>130</v>
      </c>
      <c r="D268" t="s">
        <v>443</v>
      </c>
      <c r="E268">
        <v>5</v>
      </c>
      <c r="F268">
        <v>7</v>
      </c>
      <c r="G268">
        <v>35</v>
      </c>
      <c r="H268" t="s">
        <v>25</v>
      </c>
      <c r="I268" t="s">
        <v>16</v>
      </c>
      <c r="J268" s="1">
        <v>44600</v>
      </c>
      <c r="K268" t="b">
        <v>1</v>
      </c>
    </row>
    <row r="269" spans="1:11" x14ac:dyDescent="0.3">
      <c r="A269" t="s">
        <v>444</v>
      </c>
      <c r="B269" t="s">
        <v>22</v>
      </c>
      <c r="C269" t="s">
        <v>13</v>
      </c>
      <c r="D269" t="s">
        <v>178</v>
      </c>
      <c r="E269">
        <v>14</v>
      </c>
      <c r="F269">
        <v>7</v>
      </c>
      <c r="G269">
        <v>98</v>
      </c>
      <c r="H269" t="s">
        <v>48</v>
      </c>
      <c r="I269" t="s">
        <v>16</v>
      </c>
      <c r="J269" s="1">
        <v>45600</v>
      </c>
    </row>
    <row r="270" spans="1:11" x14ac:dyDescent="0.3">
      <c r="A270" t="s">
        <v>445</v>
      </c>
      <c r="B270" t="s">
        <v>46</v>
      </c>
      <c r="C270" t="s">
        <v>19</v>
      </c>
      <c r="D270" t="s">
        <v>201</v>
      </c>
      <c r="E270">
        <v>15.5</v>
      </c>
      <c r="F270">
        <v>2</v>
      </c>
      <c r="G270">
        <v>31</v>
      </c>
      <c r="H270" t="s">
        <v>15</v>
      </c>
      <c r="I270" t="s">
        <v>38</v>
      </c>
      <c r="J270" s="1">
        <v>45474</v>
      </c>
    </row>
    <row r="271" spans="1:11" x14ac:dyDescent="0.3">
      <c r="A271" t="s">
        <v>446</v>
      </c>
      <c r="B271" t="s">
        <v>98</v>
      </c>
      <c r="C271" t="s">
        <v>23</v>
      </c>
      <c r="D271" t="s">
        <v>114</v>
      </c>
      <c r="E271">
        <v>38</v>
      </c>
      <c r="F271">
        <v>1</v>
      </c>
      <c r="G271">
        <v>38</v>
      </c>
      <c r="H271" t="s">
        <v>48</v>
      </c>
      <c r="I271" t="s">
        <v>38</v>
      </c>
      <c r="J271" s="1">
        <v>45549</v>
      </c>
    </row>
    <row r="272" spans="1:11" x14ac:dyDescent="0.3">
      <c r="A272" t="s">
        <v>447</v>
      </c>
      <c r="B272" t="s">
        <v>63</v>
      </c>
      <c r="C272" t="s">
        <v>130</v>
      </c>
      <c r="D272" t="s">
        <v>293</v>
      </c>
      <c r="E272">
        <v>12.5</v>
      </c>
      <c r="F272">
        <v>1</v>
      </c>
      <c r="G272">
        <v>12.5</v>
      </c>
      <c r="H272" t="s">
        <v>15</v>
      </c>
      <c r="I272" t="s">
        <v>38</v>
      </c>
      <c r="J272" s="1">
        <v>45327</v>
      </c>
      <c r="K272" t="b">
        <v>0</v>
      </c>
    </row>
    <row r="273" spans="1:11" x14ac:dyDescent="0.3">
      <c r="A273" t="s">
        <v>448</v>
      </c>
      <c r="B273" t="s">
        <v>65</v>
      </c>
      <c r="C273" t="s">
        <v>19</v>
      </c>
      <c r="F273">
        <v>9</v>
      </c>
      <c r="G273">
        <v>99</v>
      </c>
      <c r="H273" t="s">
        <v>15</v>
      </c>
      <c r="I273" t="s">
        <v>38</v>
      </c>
      <c r="J273" s="1">
        <v>44883</v>
      </c>
    </row>
    <row r="274" spans="1:11" x14ac:dyDescent="0.3">
      <c r="A274" t="s">
        <v>449</v>
      </c>
      <c r="B274" t="s">
        <v>80</v>
      </c>
      <c r="C274" t="s">
        <v>130</v>
      </c>
      <c r="D274" t="s">
        <v>427</v>
      </c>
      <c r="E274">
        <v>17</v>
      </c>
      <c r="F274">
        <v>10</v>
      </c>
      <c r="G274">
        <v>170</v>
      </c>
      <c r="H274" t="s">
        <v>25</v>
      </c>
      <c r="I274" t="s">
        <v>38</v>
      </c>
      <c r="J274" s="1">
        <v>45598</v>
      </c>
    </row>
    <row r="275" spans="1:11" x14ac:dyDescent="0.3">
      <c r="A275" t="s">
        <v>450</v>
      </c>
      <c r="B275" t="s">
        <v>43</v>
      </c>
      <c r="C275" t="s">
        <v>41</v>
      </c>
      <c r="D275" t="s">
        <v>87</v>
      </c>
      <c r="E275">
        <v>41</v>
      </c>
      <c r="F275">
        <v>3</v>
      </c>
      <c r="G275">
        <v>123</v>
      </c>
      <c r="H275" t="s">
        <v>48</v>
      </c>
      <c r="I275" t="s">
        <v>38</v>
      </c>
      <c r="J275" s="1">
        <v>45553</v>
      </c>
    </row>
    <row r="276" spans="1:11" x14ac:dyDescent="0.3">
      <c r="A276" t="s">
        <v>451</v>
      </c>
      <c r="B276" t="s">
        <v>31</v>
      </c>
      <c r="C276" t="s">
        <v>130</v>
      </c>
      <c r="D276" t="s">
        <v>361</v>
      </c>
      <c r="E276">
        <v>32</v>
      </c>
      <c r="F276">
        <v>4</v>
      </c>
      <c r="G276">
        <v>128</v>
      </c>
      <c r="H276" t="s">
        <v>48</v>
      </c>
      <c r="I276" t="s">
        <v>38</v>
      </c>
      <c r="J276" s="1">
        <v>45634</v>
      </c>
      <c r="K276" t="b">
        <v>0</v>
      </c>
    </row>
    <row r="277" spans="1:11" x14ac:dyDescent="0.3">
      <c r="A277" t="s">
        <v>452</v>
      </c>
      <c r="B277" t="s">
        <v>168</v>
      </c>
      <c r="C277" t="s">
        <v>41</v>
      </c>
      <c r="D277" t="s">
        <v>453</v>
      </c>
      <c r="E277">
        <v>26</v>
      </c>
      <c r="F277">
        <v>9</v>
      </c>
      <c r="G277">
        <v>234</v>
      </c>
      <c r="H277" t="s">
        <v>48</v>
      </c>
      <c r="I277" t="s">
        <v>38</v>
      </c>
      <c r="J277" s="1">
        <v>44575</v>
      </c>
      <c r="K277" t="b">
        <v>0</v>
      </c>
    </row>
    <row r="278" spans="1:11" x14ac:dyDescent="0.3">
      <c r="A278" t="s">
        <v>454</v>
      </c>
      <c r="B278" t="s">
        <v>69</v>
      </c>
      <c r="C278" t="s">
        <v>13</v>
      </c>
      <c r="D278" t="s">
        <v>455</v>
      </c>
      <c r="E278">
        <v>26</v>
      </c>
      <c r="F278">
        <v>9</v>
      </c>
      <c r="G278">
        <v>234</v>
      </c>
      <c r="H278" t="s">
        <v>15</v>
      </c>
      <c r="I278" t="s">
        <v>38</v>
      </c>
      <c r="J278" s="1">
        <v>45613</v>
      </c>
      <c r="K278" t="b">
        <v>0</v>
      </c>
    </row>
    <row r="279" spans="1:11" x14ac:dyDescent="0.3">
      <c r="A279" t="s">
        <v>456</v>
      </c>
      <c r="B279" t="s">
        <v>65</v>
      </c>
      <c r="C279" t="s">
        <v>130</v>
      </c>
      <c r="E279">
        <v>32</v>
      </c>
      <c r="H279" t="s">
        <v>15</v>
      </c>
      <c r="I279" t="s">
        <v>38</v>
      </c>
      <c r="J279" s="1">
        <v>45468</v>
      </c>
    </row>
    <row r="280" spans="1:11" x14ac:dyDescent="0.3">
      <c r="A280" t="s">
        <v>457</v>
      </c>
      <c r="B280" t="s">
        <v>168</v>
      </c>
      <c r="C280" t="s">
        <v>28</v>
      </c>
      <c r="D280" t="s">
        <v>308</v>
      </c>
      <c r="E280">
        <v>6.5</v>
      </c>
      <c r="F280">
        <v>9</v>
      </c>
      <c r="G280">
        <v>58.5</v>
      </c>
      <c r="H280" t="s">
        <v>15</v>
      </c>
      <c r="I280" t="s">
        <v>16</v>
      </c>
      <c r="J280" s="1">
        <v>45289</v>
      </c>
    </row>
    <row r="281" spans="1:11" x14ac:dyDescent="0.3">
      <c r="A281" t="s">
        <v>458</v>
      </c>
      <c r="B281" t="s">
        <v>113</v>
      </c>
      <c r="C281" t="s">
        <v>28</v>
      </c>
      <c r="D281" t="s">
        <v>308</v>
      </c>
      <c r="E281">
        <v>6.5</v>
      </c>
      <c r="F281">
        <v>1</v>
      </c>
      <c r="G281">
        <v>6.5</v>
      </c>
      <c r="H281" t="s">
        <v>48</v>
      </c>
      <c r="I281" t="s">
        <v>38</v>
      </c>
      <c r="J281" s="1">
        <v>45433</v>
      </c>
    </row>
    <row r="282" spans="1:11" x14ac:dyDescent="0.3">
      <c r="A282" t="s">
        <v>459</v>
      </c>
      <c r="B282" t="s">
        <v>89</v>
      </c>
      <c r="C282" t="s">
        <v>28</v>
      </c>
      <c r="F282">
        <v>6</v>
      </c>
      <c r="G282">
        <v>48</v>
      </c>
      <c r="H282" t="s">
        <v>48</v>
      </c>
      <c r="I282" t="s">
        <v>16</v>
      </c>
      <c r="J282" s="1">
        <v>45348</v>
      </c>
      <c r="K282" t="b">
        <v>0</v>
      </c>
    </row>
    <row r="283" spans="1:11" x14ac:dyDescent="0.3">
      <c r="A283" t="s">
        <v>460</v>
      </c>
      <c r="B283" t="s">
        <v>43</v>
      </c>
      <c r="C283" t="s">
        <v>130</v>
      </c>
      <c r="D283" t="s">
        <v>229</v>
      </c>
      <c r="E283">
        <v>18.5</v>
      </c>
      <c r="F283">
        <v>7</v>
      </c>
      <c r="G283">
        <v>129.5</v>
      </c>
      <c r="H283" t="s">
        <v>15</v>
      </c>
      <c r="I283" t="s">
        <v>16</v>
      </c>
      <c r="J283" s="1">
        <v>45556</v>
      </c>
      <c r="K283" t="b">
        <v>1</v>
      </c>
    </row>
    <row r="284" spans="1:11" x14ac:dyDescent="0.3">
      <c r="A284" t="s">
        <v>461</v>
      </c>
      <c r="B284" t="s">
        <v>113</v>
      </c>
      <c r="C284" t="s">
        <v>13</v>
      </c>
      <c r="D284" t="s">
        <v>56</v>
      </c>
      <c r="E284">
        <v>39.5</v>
      </c>
      <c r="F284">
        <v>6</v>
      </c>
      <c r="G284">
        <v>237</v>
      </c>
      <c r="H284" t="s">
        <v>15</v>
      </c>
      <c r="I284" t="s">
        <v>16</v>
      </c>
      <c r="J284" s="1">
        <v>45393</v>
      </c>
    </row>
    <row r="285" spans="1:11" x14ac:dyDescent="0.3">
      <c r="A285" t="s">
        <v>462</v>
      </c>
      <c r="B285" t="s">
        <v>98</v>
      </c>
      <c r="C285" t="s">
        <v>130</v>
      </c>
      <c r="D285" t="s">
        <v>139</v>
      </c>
      <c r="E285">
        <v>11</v>
      </c>
      <c r="F285">
        <v>5</v>
      </c>
      <c r="G285">
        <v>55</v>
      </c>
      <c r="H285" t="s">
        <v>48</v>
      </c>
      <c r="I285" t="s">
        <v>38</v>
      </c>
      <c r="J285" s="1">
        <v>44901</v>
      </c>
      <c r="K285" t="b">
        <v>0</v>
      </c>
    </row>
    <row r="286" spans="1:11" x14ac:dyDescent="0.3">
      <c r="A286" t="s">
        <v>463</v>
      </c>
      <c r="B286" t="s">
        <v>69</v>
      </c>
      <c r="C286" t="s">
        <v>66</v>
      </c>
      <c r="D286" t="s">
        <v>464</v>
      </c>
      <c r="E286">
        <v>11</v>
      </c>
      <c r="F286">
        <v>6</v>
      </c>
      <c r="G286">
        <v>66</v>
      </c>
      <c r="H286" t="s">
        <v>15</v>
      </c>
      <c r="I286" t="s">
        <v>38</v>
      </c>
      <c r="J286" s="1">
        <v>44825</v>
      </c>
      <c r="K286" t="b">
        <v>1</v>
      </c>
    </row>
    <row r="287" spans="1:11" x14ac:dyDescent="0.3">
      <c r="A287" t="s">
        <v>465</v>
      </c>
      <c r="B287" t="s">
        <v>31</v>
      </c>
      <c r="C287" t="s">
        <v>28</v>
      </c>
      <c r="D287" t="s">
        <v>466</v>
      </c>
      <c r="E287">
        <v>5</v>
      </c>
      <c r="F287">
        <v>10</v>
      </c>
      <c r="G287">
        <v>50</v>
      </c>
      <c r="H287" t="s">
        <v>15</v>
      </c>
      <c r="I287" t="s">
        <v>16</v>
      </c>
      <c r="J287" s="1">
        <v>45008</v>
      </c>
    </row>
    <row r="288" spans="1:11" x14ac:dyDescent="0.3">
      <c r="A288" t="s">
        <v>467</v>
      </c>
      <c r="B288" t="s">
        <v>89</v>
      </c>
      <c r="C288" t="s">
        <v>28</v>
      </c>
      <c r="D288" t="s">
        <v>252</v>
      </c>
      <c r="E288">
        <v>38</v>
      </c>
      <c r="F288">
        <v>7</v>
      </c>
      <c r="G288">
        <v>266</v>
      </c>
      <c r="H288" t="s">
        <v>15</v>
      </c>
      <c r="I288" t="s">
        <v>38</v>
      </c>
      <c r="J288" s="1">
        <v>44875</v>
      </c>
      <c r="K288" t="b">
        <v>0</v>
      </c>
    </row>
    <row r="289" spans="1:11" x14ac:dyDescent="0.3">
      <c r="A289" t="s">
        <v>468</v>
      </c>
      <c r="B289" t="s">
        <v>36</v>
      </c>
      <c r="C289" t="s">
        <v>23</v>
      </c>
      <c r="D289" t="s">
        <v>306</v>
      </c>
      <c r="E289">
        <v>23</v>
      </c>
      <c r="F289">
        <v>6</v>
      </c>
      <c r="G289">
        <v>138</v>
      </c>
      <c r="H289" t="s">
        <v>48</v>
      </c>
      <c r="I289" t="s">
        <v>38</v>
      </c>
      <c r="J289" s="1">
        <v>45114</v>
      </c>
      <c r="K289" t="b">
        <v>1</v>
      </c>
    </row>
    <row r="290" spans="1:11" x14ac:dyDescent="0.3">
      <c r="A290" t="s">
        <v>469</v>
      </c>
      <c r="B290" t="s">
        <v>80</v>
      </c>
      <c r="C290" t="s">
        <v>23</v>
      </c>
      <c r="D290" t="s">
        <v>470</v>
      </c>
      <c r="E290">
        <v>29</v>
      </c>
      <c r="F290">
        <v>1</v>
      </c>
      <c r="G290">
        <v>29</v>
      </c>
      <c r="H290" t="s">
        <v>15</v>
      </c>
      <c r="I290" t="s">
        <v>38</v>
      </c>
      <c r="J290" s="1">
        <v>44874</v>
      </c>
      <c r="K290" t="b">
        <v>0</v>
      </c>
    </row>
    <row r="291" spans="1:11" x14ac:dyDescent="0.3">
      <c r="A291" t="s">
        <v>471</v>
      </c>
      <c r="B291" t="s">
        <v>18</v>
      </c>
      <c r="C291" t="s">
        <v>23</v>
      </c>
      <c r="D291" t="s">
        <v>85</v>
      </c>
      <c r="E291">
        <v>33.5</v>
      </c>
      <c r="F291">
        <v>5</v>
      </c>
      <c r="G291">
        <v>167.5</v>
      </c>
      <c r="H291" t="s">
        <v>25</v>
      </c>
      <c r="I291" t="s">
        <v>16</v>
      </c>
      <c r="J291" s="1">
        <v>45409</v>
      </c>
      <c r="K291" t="b">
        <v>1</v>
      </c>
    </row>
    <row r="292" spans="1:11" x14ac:dyDescent="0.3">
      <c r="A292" t="s">
        <v>472</v>
      </c>
      <c r="B292" t="s">
        <v>31</v>
      </c>
      <c r="C292" t="s">
        <v>19</v>
      </c>
      <c r="D292" t="s">
        <v>142</v>
      </c>
      <c r="E292">
        <v>32</v>
      </c>
      <c r="F292">
        <v>9</v>
      </c>
      <c r="G292">
        <v>288</v>
      </c>
      <c r="H292" t="s">
        <v>15</v>
      </c>
      <c r="I292" t="s">
        <v>16</v>
      </c>
      <c r="J292" s="1">
        <v>44793</v>
      </c>
    </row>
    <row r="293" spans="1:11" x14ac:dyDescent="0.3">
      <c r="A293" t="s">
        <v>473</v>
      </c>
      <c r="B293" t="s">
        <v>168</v>
      </c>
      <c r="C293" t="s">
        <v>19</v>
      </c>
      <c r="D293" t="s">
        <v>273</v>
      </c>
      <c r="E293">
        <v>39.5</v>
      </c>
      <c r="F293">
        <v>4</v>
      </c>
      <c r="G293">
        <v>158</v>
      </c>
      <c r="H293" t="s">
        <v>25</v>
      </c>
      <c r="I293" t="s">
        <v>16</v>
      </c>
      <c r="J293" s="1">
        <v>45128</v>
      </c>
      <c r="K293" t="b">
        <v>0</v>
      </c>
    </row>
    <row r="294" spans="1:11" x14ac:dyDescent="0.3">
      <c r="A294" t="s">
        <v>474</v>
      </c>
      <c r="B294" t="s">
        <v>69</v>
      </c>
      <c r="C294" t="s">
        <v>130</v>
      </c>
      <c r="E294">
        <v>15.5</v>
      </c>
      <c r="H294" t="s">
        <v>48</v>
      </c>
      <c r="I294" t="s">
        <v>38</v>
      </c>
      <c r="J294" s="1">
        <v>45604</v>
      </c>
    </row>
    <row r="295" spans="1:11" x14ac:dyDescent="0.3">
      <c r="A295" t="s">
        <v>475</v>
      </c>
      <c r="B295" t="s">
        <v>40</v>
      </c>
      <c r="C295" t="s">
        <v>19</v>
      </c>
      <c r="F295">
        <v>8</v>
      </c>
      <c r="G295">
        <v>268</v>
      </c>
      <c r="H295" t="s">
        <v>15</v>
      </c>
      <c r="I295" t="s">
        <v>16</v>
      </c>
      <c r="J295" s="1">
        <v>44844</v>
      </c>
      <c r="K295" t="b">
        <v>1</v>
      </c>
    </row>
    <row r="296" spans="1:11" x14ac:dyDescent="0.3">
      <c r="A296" t="s">
        <v>476</v>
      </c>
      <c r="B296" t="s">
        <v>12</v>
      </c>
      <c r="C296" t="s">
        <v>66</v>
      </c>
      <c r="D296" t="s">
        <v>215</v>
      </c>
      <c r="E296">
        <v>12.5</v>
      </c>
      <c r="F296">
        <v>4</v>
      </c>
      <c r="G296">
        <v>50</v>
      </c>
      <c r="H296" t="s">
        <v>15</v>
      </c>
      <c r="I296" t="s">
        <v>38</v>
      </c>
      <c r="J296" s="1">
        <v>44933</v>
      </c>
      <c r="K296" t="b">
        <v>1</v>
      </c>
    </row>
    <row r="297" spans="1:11" x14ac:dyDescent="0.3">
      <c r="A297" t="s">
        <v>477</v>
      </c>
      <c r="B297" t="s">
        <v>40</v>
      </c>
      <c r="C297" t="s">
        <v>28</v>
      </c>
      <c r="D297" t="s">
        <v>478</v>
      </c>
      <c r="E297">
        <v>8</v>
      </c>
      <c r="F297">
        <v>8</v>
      </c>
      <c r="G297">
        <v>64</v>
      </c>
      <c r="H297" t="s">
        <v>15</v>
      </c>
      <c r="I297" t="s">
        <v>16</v>
      </c>
      <c r="J297" s="1">
        <v>45369</v>
      </c>
      <c r="K297" t="b">
        <v>1</v>
      </c>
    </row>
    <row r="298" spans="1:11" x14ac:dyDescent="0.3">
      <c r="A298" t="s">
        <v>479</v>
      </c>
      <c r="B298" t="s">
        <v>69</v>
      </c>
      <c r="C298" t="s">
        <v>23</v>
      </c>
      <c r="D298" t="s">
        <v>227</v>
      </c>
      <c r="E298">
        <v>15.5</v>
      </c>
      <c r="F298">
        <v>1</v>
      </c>
      <c r="G298">
        <v>15.5</v>
      </c>
      <c r="H298" t="s">
        <v>15</v>
      </c>
      <c r="I298" t="s">
        <v>16</v>
      </c>
      <c r="J298" s="1">
        <v>45389</v>
      </c>
      <c r="K298" t="b">
        <v>1</v>
      </c>
    </row>
    <row r="299" spans="1:11" x14ac:dyDescent="0.3">
      <c r="A299" t="s">
        <v>480</v>
      </c>
      <c r="B299" t="s">
        <v>69</v>
      </c>
      <c r="C299" t="s">
        <v>19</v>
      </c>
      <c r="D299" t="s">
        <v>142</v>
      </c>
      <c r="E299">
        <v>32</v>
      </c>
      <c r="F299">
        <v>4</v>
      </c>
      <c r="G299">
        <v>128</v>
      </c>
      <c r="H299" t="s">
        <v>25</v>
      </c>
      <c r="I299" t="s">
        <v>38</v>
      </c>
      <c r="J299" s="1">
        <v>44844</v>
      </c>
      <c r="K299" t="b">
        <v>0</v>
      </c>
    </row>
    <row r="300" spans="1:11" x14ac:dyDescent="0.3">
      <c r="A300" t="s">
        <v>481</v>
      </c>
      <c r="B300" t="s">
        <v>108</v>
      </c>
      <c r="C300" t="s">
        <v>32</v>
      </c>
      <c r="D300" t="s">
        <v>482</v>
      </c>
      <c r="E300">
        <v>23</v>
      </c>
      <c r="F300">
        <v>5</v>
      </c>
      <c r="G300">
        <v>115</v>
      </c>
      <c r="H300" t="s">
        <v>48</v>
      </c>
      <c r="I300" t="s">
        <v>38</v>
      </c>
      <c r="J300" s="1">
        <v>45365</v>
      </c>
      <c r="K300" t="b">
        <v>0</v>
      </c>
    </row>
    <row r="301" spans="1:11" x14ac:dyDescent="0.3">
      <c r="A301" t="s">
        <v>483</v>
      </c>
      <c r="B301" t="s">
        <v>84</v>
      </c>
      <c r="C301" t="s">
        <v>28</v>
      </c>
      <c r="D301" t="s">
        <v>256</v>
      </c>
      <c r="E301">
        <v>32</v>
      </c>
      <c r="F301">
        <v>1</v>
      </c>
      <c r="G301">
        <v>32</v>
      </c>
      <c r="H301" t="s">
        <v>15</v>
      </c>
      <c r="I301" t="s">
        <v>38</v>
      </c>
      <c r="J301" s="1">
        <v>45053</v>
      </c>
      <c r="K301" t="b">
        <v>1</v>
      </c>
    </row>
    <row r="302" spans="1:11" x14ac:dyDescent="0.3">
      <c r="A302" t="s">
        <v>484</v>
      </c>
      <c r="B302" t="s">
        <v>100</v>
      </c>
      <c r="C302" t="s">
        <v>41</v>
      </c>
      <c r="D302" t="s">
        <v>295</v>
      </c>
      <c r="E302">
        <v>6.5</v>
      </c>
      <c r="F302">
        <v>6</v>
      </c>
      <c r="G302">
        <v>39</v>
      </c>
      <c r="H302" t="s">
        <v>15</v>
      </c>
      <c r="I302" t="s">
        <v>16</v>
      </c>
      <c r="J302" s="1">
        <v>45461</v>
      </c>
      <c r="K302" t="b">
        <v>1</v>
      </c>
    </row>
    <row r="303" spans="1:11" x14ac:dyDescent="0.3">
      <c r="A303" t="s">
        <v>485</v>
      </c>
      <c r="B303" t="s">
        <v>108</v>
      </c>
      <c r="C303" t="s">
        <v>66</v>
      </c>
      <c r="D303" t="s">
        <v>486</v>
      </c>
      <c r="E303">
        <v>20</v>
      </c>
      <c r="F303">
        <v>4</v>
      </c>
      <c r="G303">
        <v>80</v>
      </c>
      <c r="H303" t="s">
        <v>48</v>
      </c>
      <c r="I303" t="s">
        <v>38</v>
      </c>
      <c r="J303" s="1">
        <v>45633</v>
      </c>
      <c r="K303" t="b">
        <v>1</v>
      </c>
    </row>
    <row r="304" spans="1:11" x14ac:dyDescent="0.3">
      <c r="A304" t="s">
        <v>487</v>
      </c>
      <c r="B304" t="s">
        <v>89</v>
      </c>
      <c r="C304" t="s">
        <v>19</v>
      </c>
      <c r="D304" t="s">
        <v>488</v>
      </c>
      <c r="E304">
        <v>17</v>
      </c>
      <c r="F304">
        <v>7</v>
      </c>
      <c r="G304">
        <v>119</v>
      </c>
      <c r="H304" t="s">
        <v>25</v>
      </c>
      <c r="I304" t="s">
        <v>16</v>
      </c>
      <c r="J304" s="1">
        <v>44845</v>
      </c>
    </row>
    <row r="305" spans="1:11" x14ac:dyDescent="0.3">
      <c r="A305" t="s">
        <v>489</v>
      </c>
      <c r="B305" t="s">
        <v>84</v>
      </c>
      <c r="C305" t="s">
        <v>23</v>
      </c>
      <c r="D305" t="s">
        <v>121</v>
      </c>
      <c r="E305">
        <v>39.5</v>
      </c>
      <c r="F305">
        <v>7</v>
      </c>
      <c r="G305">
        <v>276.5</v>
      </c>
      <c r="H305" t="s">
        <v>48</v>
      </c>
      <c r="I305" t="s">
        <v>16</v>
      </c>
      <c r="J305" s="1">
        <v>45296</v>
      </c>
      <c r="K305" t="b">
        <v>1</v>
      </c>
    </row>
    <row r="306" spans="1:11" x14ac:dyDescent="0.3">
      <c r="A306" t="s">
        <v>490</v>
      </c>
      <c r="B306" t="s">
        <v>80</v>
      </c>
      <c r="C306" t="s">
        <v>13</v>
      </c>
      <c r="D306" t="s">
        <v>133</v>
      </c>
      <c r="E306">
        <v>20</v>
      </c>
      <c r="F306">
        <v>4</v>
      </c>
      <c r="G306">
        <v>80</v>
      </c>
      <c r="H306" t="s">
        <v>48</v>
      </c>
      <c r="I306" t="s">
        <v>38</v>
      </c>
      <c r="J306" s="1">
        <v>45469</v>
      </c>
      <c r="K306" t="b">
        <v>0</v>
      </c>
    </row>
    <row r="307" spans="1:11" x14ac:dyDescent="0.3">
      <c r="A307" t="s">
        <v>491</v>
      </c>
      <c r="B307" t="s">
        <v>43</v>
      </c>
      <c r="C307" t="s">
        <v>32</v>
      </c>
      <c r="D307" t="s">
        <v>482</v>
      </c>
      <c r="E307">
        <v>23</v>
      </c>
      <c r="F307">
        <v>3</v>
      </c>
      <c r="G307">
        <v>69</v>
      </c>
      <c r="H307" t="s">
        <v>15</v>
      </c>
      <c r="I307" t="s">
        <v>38</v>
      </c>
      <c r="J307" s="1">
        <v>45121</v>
      </c>
      <c r="K307" t="b">
        <v>0</v>
      </c>
    </row>
    <row r="308" spans="1:11" x14ac:dyDescent="0.3">
      <c r="A308" t="s">
        <v>492</v>
      </c>
      <c r="B308" t="s">
        <v>63</v>
      </c>
      <c r="C308" t="s">
        <v>41</v>
      </c>
      <c r="D308" t="s">
        <v>199</v>
      </c>
      <c r="E308">
        <v>39.5</v>
      </c>
      <c r="F308">
        <v>9</v>
      </c>
      <c r="G308">
        <v>355.5</v>
      </c>
      <c r="H308" t="s">
        <v>15</v>
      </c>
      <c r="I308" t="s">
        <v>38</v>
      </c>
      <c r="J308" s="1">
        <v>45651</v>
      </c>
      <c r="K308" t="b">
        <v>0</v>
      </c>
    </row>
    <row r="309" spans="1:11" x14ac:dyDescent="0.3">
      <c r="A309" t="s">
        <v>493</v>
      </c>
      <c r="B309" t="s">
        <v>123</v>
      </c>
      <c r="C309" t="s">
        <v>19</v>
      </c>
      <c r="D309" t="s">
        <v>201</v>
      </c>
      <c r="E309">
        <v>15.5</v>
      </c>
      <c r="F309">
        <v>6</v>
      </c>
      <c r="G309">
        <v>93</v>
      </c>
      <c r="H309" t="s">
        <v>25</v>
      </c>
      <c r="I309" t="s">
        <v>38</v>
      </c>
      <c r="J309" s="1">
        <v>45566</v>
      </c>
    </row>
    <row r="310" spans="1:11" x14ac:dyDescent="0.3">
      <c r="A310" t="s">
        <v>494</v>
      </c>
      <c r="B310" t="s">
        <v>63</v>
      </c>
      <c r="C310" t="s">
        <v>13</v>
      </c>
      <c r="D310" t="s">
        <v>166</v>
      </c>
      <c r="E310">
        <v>21.5</v>
      </c>
      <c r="F310">
        <v>3</v>
      </c>
      <c r="G310">
        <v>64.5</v>
      </c>
      <c r="H310" t="s">
        <v>48</v>
      </c>
      <c r="I310" t="s">
        <v>38</v>
      </c>
      <c r="J310" s="1">
        <v>45652</v>
      </c>
    </row>
    <row r="311" spans="1:11" x14ac:dyDescent="0.3">
      <c r="A311" t="s">
        <v>495</v>
      </c>
      <c r="B311" t="s">
        <v>18</v>
      </c>
      <c r="C311" t="s">
        <v>41</v>
      </c>
      <c r="D311" t="s">
        <v>453</v>
      </c>
      <c r="E311">
        <v>26</v>
      </c>
      <c r="F311">
        <v>10</v>
      </c>
      <c r="G311">
        <v>260</v>
      </c>
      <c r="H311" t="s">
        <v>15</v>
      </c>
      <c r="I311" t="s">
        <v>38</v>
      </c>
      <c r="J311" s="1">
        <v>45332</v>
      </c>
    </row>
    <row r="312" spans="1:11" x14ac:dyDescent="0.3">
      <c r="A312" t="s">
        <v>496</v>
      </c>
      <c r="B312" t="s">
        <v>31</v>
      </c>
      <c r="C312" t="s">
        <v>41</v>
      </c>
      <c r="D312" t="s">
        <v>233</v>
      </c>
      <c r="E312">
        <v>11</v>
      </c>
      <c r="F312">
        <v>5</v>
      </c>
      <c r="G312">
        <v>55</v>
      </c>
      <c r="H312" t="s">
        <v>15</v>
      </c>
      <c r="I312" t="s">
        <v>16</v>
      </c>
      <c r="J312" s="1">
        <v>44627</v>
      </c>
    </row>
    <row r="313" spans="1:11" x14ac:dyDescent="0.3">
      <c r="A313" t="s">
        <v>497</v>
      </c>
      <c r="B313" t="s">
        <v>74</v>
      </c>
      <c r="C313" t="s">
        <v>32</v>
      </c>
      <c r="D313" t="s">
        <v>498</v>
      </c>
      <c r="E313">
        <v>29</v>
      </c>
      <c r="F313">
        <v>8</v>
      </c>
      <c r="G313">
        <v>232</v>
      </c>
      <c r="H313" t="s">
        <v>48</v>
      </c>
      <c r="I313" t="s">
        <v>16</v>
      </c>
      <c r="J313" s="1">
        <v>45625</v>
      </c>
      <c r="K313" t="b">
        <v>1</v>
      </c>
    </row>
    <row r="314" spans="1:11" x14ac:dyDescent="0.3">
      <c r="A314" t="s">
        <v>499</v>
      </c>
      <c r="B314" t="s">
        <v>116</v>
      </c>
      <c r="C314" t="s">
        <v>66</v>
      </c>
      <c r="D314" t="s">
        <v>420</v>
      </c>
      <c r="E314">
        <v>41</v>
      </c>
      <c r="F314">
        <v>1</v>
      </c>
      <c r="G314">
        <v>41</v>
      </c>
      <c r="H314" t="s">
        <v>48</v>
      </c>
      <c r="I314" t="s">
        <v>38</v>
      </c>
      <c r="J314" s="1">
        <v>45590</v>
      </c>
    </row>
    <row r="315" spans="1:11" x14ac:dyDescent="0.3">
      <c r="A315" t="s">
        <v>500</v>
      </c>
      <c r="B315" t="s">
        <v>43</v>
      </c>
      <c r="C315" t="s">
        <v>32</v>
      </c>
      <c r="D315" t="s">
        <v>482</v>
      </c>
      <c r="E315">
        <v>23</v>
      </c>
      <c r="F315">
        <v>9</v>
      </c>
      <c r="G315">
        <v>207</v>
      </c>
      <c r="H315" t="s">
        <v>15</v>
      </c>
      <c r="I315" t="s">
        <v>16</v>
      </c>
      <c r="J315" s="1">
        <v>44702</v>
      </c>
    </row>
    <row r="316" spans="1:11" x14ac:dyDescent="0.3">
      <c r="A316" t="s">
        <v>501</v>
      </c>
      <c r="B316" t="s">
        <v>98</v>
      </c>
      <c r="C316" t="s">
        <v>130</v>
      </c>
      <c r="D316" t="s">
        <v>361</v>
      </c>
      <c r="E316">
        <v>32</v>
      </c>
      <c r="F316">
        <v>7</v>
      </c>
      <c r="G316">
        <v>224</v>
      </c>
      <c r="H316" t="s">
        <v>25</v>
      </c>
      <c r="I316" t="s">
        <v>16</v>
      </c>
      <c r="J316" s="1">
        <v>44906</v>
      </c>
      <c r="K316" t="b">
        <v>1</v>
      </c>
    </row>
    <row r="317" spans="1:11" x14ac:dyDescent="0.3">
      <c r="A317" t="s">
        <v>502</v>
      </c>
      <c r="B317" t="s">
        <v>168</v>
      </c>
      <c r="C317" t="s">
        <v>13</v>
      </c>
      <c r="D317" t="s">
        <v>503</v>
      </c>
      <c r="E317">
        <v>33.5</v>
      </c>
      <c r="F317">
        <v>10</v>
      </c>
      <c r="G317">
        <v>335</v>
      </c>
      <c r="H317" t="s">
        <v>48</v>
      </c>
      <c r="I317" t="s">
        <v>38</v>
      </c>
      <c r="J317" s="1">
        <v>45433</v>
      </c>
      <c r="K317" t="b">
        <v>0</v>
      </c>
    </row>
    <row r="318" spans="1:11" x14ac:dyDescent="0.3">
      <c r="A318" t="s">
        <v>504</v>
      </c>
      <c r="B318" t="s">
        <v>116</v>
      </c>
      <c r="C318" t="s">
        <v>28</v>
      </c>
      <c r="D318" t="s">
        <v>308</v>
      </c>
      <c r="E318">
        <v>6.5</v>
      </c>
      <c r="F318">
        <v>8</v>
      </c>
      <c r="G318">
        <v>52</v>
      </c>
      <c r="H318" t="s">
        <v>25</v>
      </c>
      <c r="I318" t="s">
        <v>16</v>
      </c>
      <c r="J318" s="1">
        <v>45396</v>
      </c>
      <c r="K318" t="b">
        <v>1</v>
      </c>
    </row>
    <row r="319" spans="1:11" x14ac:dyDescent="0.3">
      <c r="A319" t="s">
        <v>505</v>
      </c>
      <c r="B319" t="s">
        <v>43</v>
      </c>
      <c r="C319" t="s">
        <v>28</v>
      </c>
      <c r="D319" t="s">
        <v>256</v>
      </c>
      <c r="E319">
        <v>32</v>
      </c>
      <c r="F319">
        <v>2</v>
      </c>
      <c r="G319">
        <v>64</v>
      </c>
      <c r="H319" t="s">
        <v>25</v>
      </c>
      <c r="I319" t="s">
        <v>38</v>
      </c>
      <c r="J319" s="1">
        <v>45181</v>
      </c>
    </row>
    <row r="320" spans="1:11" x14ac:dyDescent="0.3">
      <c r="A320" t="s">
        <v>506</v>
      </c>
      <c r="B320" t="s">
        <v>31</v>
      </c>
      <c r="C320" t="s">
        <v>23</v>
      </c>
      <c r="D320" t="s">
        <v>47</v>
      </c>
      <c r="E320">
        <v>36.5</v>
      </c>
      <c r="F320">
        <v>2</v>
      </c>
      <c r="G320">
        <v>73</v>
      </c>
      <c r="H320" t="s">
        <v>25</v>
      </c>
      <c r="I320" t="s">
        <v>16</v>
      </c>
      <c r="J320" s="1">
        <v>45341</v>
      </c>
      <c r="K320" t="b">
        <v>0</v>
      </c>
    </row>
    <row r="321" spans="1:11" x14ac:dyDescent="0.3">
      <c r="A321" t="s">
        <v>507</v>
      </c>
      <c r="B321" t="s">
        <v>40</v>
      </c>
      <c r="C321" t="s">
        <v>23</v>
      </c>
      <c r="D321" t="s">
        <v>217</v>
      </c>
      <c r="E321">
        <v>35</v>
      </c>
      <c r="F321">
        <v>1</v>
      </c>
      <c r="G321">
        <v>35</v>
      </c>
      <c r="H321" t="s">
        <v>15</v>
      </c>
      <c r="I321" t="s">
        <v>16</v>
      </c>
      <c r="J321" s="1">
        <v>44810</v>
      </c>
      <c r="K321" t="b">
        <v>0</v>
      </c>
    </row>
    <row r="322" spans="1:11" x14ac:dyDescent="0.3">
      <c r="A322" t="s">
        <v>508</v>
      </c>
      <c r="B322" t="s">
        <v>113</v>
      </c>
      <c r="C322" t="s">
        <v>13</v>
      </c>
      <c r="D322" t="s">
        <v>509</v>
      </c>
      <c r="E322">
        <v>17</v>
      </c>
      <c r="F322">
        <v>10</v>
      </c>
      <c r="G322">
        <v>170</v>
      </c>
      <c r="H322" t="s">
        <v>25</v>
      </c>
      <c r="I322" t="s">
        <v>38</v>
      </c>
      <c r="J322" s="1">
        <v>44637</v>
      </c>
      <c r="K322" t="b">
        <v>1</v>
      </c>
    </row>
    <row r="323" spans="1:11" x14ac:dyDescent="0.3">
      <c r="A323" t="s">
        <v>510</v>
      </c>
      <c r="B323" t="s">
        <v>65</v>
      </c>
      <c r="C323" t="s">
        <v>130</v>
      </c>
      <c r="D323" t="s">
        <v>335</v>
      </c>
      <c r="E323">
        <v>20</v>
      </c>
      <c r="F323">
        <v>6</v>
      </c>
      <c r="G323">
        <v>120</v>
      </c>
      <c r="H323" t="s">
        <v>25</v>
      </c>
      <c r="I323" t="s">
        <v>38</v>
      </c>
      <c r="J323" s="1">
        <v>45093</v>
      </c>
      <c r="K323" t="b">
        <v>1</v>
      </c>
    </row>
    <row r="324" spans="1:11" x14ac:dyDescent="0.3">
      <c r="A324" t="s">
        <v>511</v>
      </c>
      <c r="B324" t="s">
        <v>168</v>
      </c>
      <c r="C324" t="s">
        <v>66</v>
      </c>
      <c r="D324" t="s">
        <v>67</v>
      </c>
      <c r="E324">
        <v>23</v>
      </c>
      <c r="F324">
        <v>9</v>
      </c>
      <c r="G324">
        <v>207</v>
      </c>
      <c r="H324" t="s">
        <v>15</v>
      </c>
      <c r="I324" t="s">
        <v>16</v>
      </c>
      <c r="J324" s="1">
        <v>45651</v>
      </c>
      <c r="K324" t="b">
        <v>0</v>
      </c>
    </row>
    <row r="325" spans="1:11" x14ac:dyDescent="0.3">
      <c r="A325" t="s">
        <v>512</v>
      </c>
      <c r="B325" t="s">
        <v>22</v>
      </c>
      <c r="C325" t="s">
        <v>28</v>
      </c>
      <c r="D325" t="s">
        <v>513</v>
      </c>
      <c r="E325">
        <v>18.5</v>
      </c>
      <c r="F325">
        <v>10</v>
      </c>
      <c r="G325">
        <v>185</v>
      </c>
      <c r="H325" t="s">
        <v>15</v>
      </c>
      <c r="I325" t="s">
        <v>38</v>
      </c>
      <c r="J325" s="1">
        <v>44990</v>
      </c>
      <c r="K325" t="b">
        <v>0</v>
      </c>
    </row>
    <row r="326" spans="1:11" x14ac:dyDescent="0.3">
      <c r="A326" t="s">
        <v>514</v>
      </c>
      <c r="B326" t="s">
        <v>77</v>
      </c>
      <c r="C326" t="s">
        <v>23</v>
      </c>
      <c r="D326" t="s">
        <v>50</v>
      </c>
      <c r="E326">
        <v>8</v>
      </c>
      <c r="F326">
        <v>10</v>
      </c>
      <c r="G326">
        <v>80</v>
      </c>
      <c r="H326" t="s">
        <v>48</v>
      </c>
      <c r="I326" t="s">
        <v>16</v>
      </c>
      <c r="J326" s="1">
        <v>44615</v>
      </c>
      <c r="K326" t="b">
        <v>0</v>
      </c>
    </row>
    <row r="327" spans="1:11" x14ac:dyDescent="0.3">
      <c r="A327" t="s">
        <v>515</v>
      </c>
      <c r="B327" t="s">
        <v>22</v>
      </c>
      <c r="C327" t="s">
        <v>130</v>
      </c>
      <c r="D327" t="s">
        <v>516</v>
      </c>
      <c r="E327">
        <v>29</v>
      </c>
      <c r="F327">
        <v>8</v>
      </c>
      <c r="G327">
        <v>232</v>
      </c>
      <c r="H327" t="s">
        <v>15</v>
      </c>
      <c r="I327" t="s">
        <v>16</v>
      </c>
      <c r="J327" s="1">
        <v>45257</v>
      </c>
    </row>
    <row r="328" spans="1:11" x14ac:dyDescent="0.3">
      <c r="A328" t="s">
        <v>517</v>
      </c>
      <c r="B328" t="s">
        <v>43</v>
      </c>
      <c r="C328" t="s">
        <v>13</v>
      </c>
      <c r="D328" t="s">
        <v>193</v>
      </c>
      <c r="E328">
        <v>41</v>
      </c>
      <c r="F328">
        <v>8</v>
      </c>
      <c r="G328">
        <v>328</v>
      </c>
      <c r="H328" t="s">
        <v>48</v>
      </c>
      <c r="I328" t="s">
        <v>38</v>
      </c>
      <c r="J328" s="1">
        <v>45580</v>
      </c>
      <c r="K328" t="b">
        <v>1</v>
      </c>
    </row>
    <row r="329" spans="1:11" x14ac:dyDescent="0.3">
      <c r="A329" t="s">
        <v>518</v>
      </c>
      <c r="B329" t="s">
        <v>31</v>
      </c>
      <c r="C329" t="s">
        <v>66</v>
      </c>
      <c r="D329" t="s">
        <v>67</v>
      </c>
      <c r="E329">
        <v>23</v>
      </c>
      <c r="F329">
        <v>4</v>
      </c>
      <c r="G329">
        <v>92</v>
      </c>
      <c r="H329" t="s">
        <v>25</v>
      </c>
      <c r="I329" t="s">
        <v>38</v>
      </c>
      <c r="J329" s="1">
        <v>45144</v>
      </c>
      <c r="K329" t="b">
        <v>0</v>
      </c>
    </row>
    <row r="330" spans="1:11" x14ac:dyDescent="0.3">
      <c r="A330" t="s">
        <v>519</v>
      </c>
      <c r="B330" t="s">
        <v>40</v>
      </c>
      <c r="C330" t="s">
        <v>13</v>
      </c>
      <c r="D330" t="s">
        <v>520</v>
      </c>
      <c r="E330">
        <v>15.5</v>
      </c>
      <c r="F330">
        <v>6</v>
      </c>
      <c r="G330">
        <v>93</v>
      </c>
      <c r="H330" t="s">
        <v>48</v>
      </c>
      <c r="I330" t="s">
        <v>16</v>
      </c>
      <c r="J330" s="1">
        <v>45467</v>
      </c>
    </row>
    <row r="331" spans="1:11" x14ac:dyDescent="0.3">
      <c r="A331" t="s">
        <v>521</v>
      </c>
      <c r="B331" t="s">
        <v>108</v>
      </c>
      <c r="C331" t="s">
        <v>28</v>
      </c>
      <c r="D331" t="s">
        <v>111</v>
      </c>
      <c r="E331">
        <v>20</v>
      </c>
      <c r="F331">
        <v>6</v>
      </c>
      <c r="G331">
        <v>120</v>
      </c>
      <c r="H331" t="s">
        <v>48</v>
      </c>
      <c r="I331" t="s">
        <v>16</v>
      </c>
      <c r="J331" s="1">
        <v>45213</v>
      </c>
    </row>
    <row r="332" spans="1:11" x14ac:dyDescent="0.3">
      <c r="A332" t="s">
        <v>522</v>
      </c>
      <c r="B332" t="s">
        <v>46</v>
      </c>
      <c r="C332" t="s">
        <v>13</v>
      </c>
      <c r="D332" t="s">
        <v>133</v>
      </c>
      <c r="E332">
        <v>20</v>
      </c>
      <c r="F332">
        <v>3</v>
      </c>
      <c r="G332">
        <v>60</v>
      </c>
      <c r="H332" t="s">
        <v>15</v>
      </c>
      <c r="I332" t="s">
        <v>16</v>
      </c>
      <c r="J332" s="1">
        <v>44957</v>
      </c>
      <c r="K332" t="b">
        <v>0</v>
      </c>
    </row>
    <row r="333" spans="1:11" x14ac:dyDescent="0.3">
      <c r="A333" t="s">
        <v>523</v>
      </c>
      <c r="B333" t="s">
        <v>113</v>
      </c>
      <c r="C333" t="s">
        <v>32</v>
      </c>
      <c r="D333" t="s">
        <v>170</v>
      </c>
      <c r="E333">
        <v>30.5</v>
      </c>
      <c r="F333">
        <v>8</v>
      </c>
      <c r="G333">
        <v>244</v>
      </c>
      <c r="H333" t="s">
        <v>25</v>
      </c>
      <c r="I333" t="s">
        <v>38</v>
      </c>
      <c r="J333" s="1">
        <v>44989</v>
      </c>
      <c r="K333" t="b">
        <v>1</v>
      </c>
    </row>
    <row r="334" spans="1:11" x14ac:dyDescent="0.3">
      <c r="A334" t="s">
        <v>524</v>
      </c>
      <c r="B334" t="s">
        <v>18</v>
      </c>
      <c r="C334" t="s">
        <v>41</v>
      </c>
      <c r="D334" t="s">
        <v>233</v>
      </c>
      <c r="E334">
        <v>11</v>
      </c>
      <c r="F334">
        <v>3</v>
      </c>
      <c r="G334">
        <v>33</v>
      </c>
      <c r="H334" t="s">
        <v>25</v>
      </c>
      <c r="I334" t="s">
        <v>38</v>
      </c>
      <c r="J334" s="1">
        <v>45413</v>
      </c>
      <c r="K334" t="b">
        <v>0</v>
      </c>
    </row>
    <row r="335" spans="1:11" x14ac:dyDescent="0.3">
      <c r="A335" t="s">
        <v>525</v>
      </c>
      <c r="B335" t="s">
        <v>40</v>
      </c>
      <c r="C335" t="s">
        <v>32</v>
      </c>
      <c r="E335">
        <v>17</v>
      </c>
      <c r="H335" t="s">
        <v>48</v>
      </c>
      <c r="I335" t="s">
        <v>38</v>
      </c>
      <c r="J335" s="1">
        <v>45633</v>
      </c>
      <c r="K335" t="b">
        <v>0</v>
      </c>
    </row>
    <row r="336" spans="1:11" x14ac:dyDescent="0.3">
      <c r="A336" t="s">
        <v>526</v>
      </c>
      <c r="B336" t="s">
        <v>55</v>
      </c>
      <c r="C336" t="s">
        <v>41</v>
      </c>
      <c r="D336" t="s">
        <v>199</v>
      </c>
      <c r="E336">
        <v>39.5</v>
      </c>
      <c r="F336">
        <v>1</v>
      </c>
      <c r="G336">
        <v>39.5</v>
      </c>
      <c r="H336" t="s">
        <v>15</v>
      </c>
      <c r="I336" t="s">
        <v>38</v>
      </c>
      <c r="J336" s="1">
        <v>45308</v>
      </c>
      <c r="K336" t="b">
        <v>0</v>
      </c>
    </row>
    <row r="337" spans="1:11" x14ac:dyDescent="0.3">
      <c r="A337" t="s">
        <v>527</v>
      </c>
      <c r="B337" t="s">
        <v>55</v>
      </c>
      <c r="C337" t="s">
        <v>19</v>
      </c>
      <c r="D337" t="s">
        <v>152</v>
      </c>
      <c r="E337">
        <v>12.5</v>
      </c>
      <c r="F337">
        <v>3</v>
      </c>
      <c r="G337">
        <v>37.5</v>
      </c>
      <c r="H337" t="s">
        <v>25</v>
      </c>
      <c r="I337" t="s">
        <v>38</v>
      </c>
      <c r="J337" s="1">
        <v>44701</v>
      </c>
      <c r="K337" t="b">
        <v>0</v>
      </c>
    </row>
    <row r="338" spans="1:11" x14ac:dyDescent="0.3">
      <c r="A338" t="s">
        <v>528</v>
      </c>
      <c r="B338" t="s">
        <v>27</v>
      </c>
      <c r="C338" t="s">
        <v>41</v>
      </c>
      <c r="D338" t="s">
        <v>199</v>
      </c>
      <c r="E338">
        <v>39.5</v>
      </c>
      <c r="F338">
        <v>6</v>
      </c>
      <c r="G338">
        <v>237</v>
      </c>
      <c r="H338" t="s">
        <v>25</v>
      </c>
      <c r="I338" t="s">
        <v>38</v>
      </c>
      <c r="J338" s="1">
        <v>44583</v>
      </c>
      <c r="K338" t="b">
        <v>1</v>
      </c>
    </row>
    <row r="339" spans="1:11" x14ac:dyDescent="0.3">
      <c r="A339" t="s">
        <v>529</v>
      </c>
      <c r="B339" t="s">
        <v>74</v>
      </c>
      <c r="C339" t="s">
        <v>66</v>
      </c>
      <c r="D339" t="s">
        <v>358</v>
      </c>
      <c r="E339">
        <v>5</v>
      </c>
      <c r="F339">
        <v>3</v>
      </c>
      <c r="G339">
        <v>15</v>
      </c>
      <c r="H339" t="s">
        <v>48</v>
      </c>
      <c r="I339" t="s">
        <v>38</v>
      </c>
      <c r="J339" s="1">
        <v>45110</v>
      </c>
      <c r="K339" t="b">
        <v>0</v>
      </c>
    </row>
    <row r="340" spans="1:11" x14ac:dyDescent="0.3">
      <c r="A340" t="s">
        <v>530</v>
      </c>
      <c r="B340" t="s">
        <v>108</v>
      </c>
      <c r="C340" t="s">
        <v>32</v>
      </c>
      <c r="D340" t="s">
        <v>185</v>
      </c>
      <c r="E340">
        <v>33.5</v>
      </c>
      <c r="F340">
        <v>2</v>
      </c>
      <c r="G340">
        <v>67</v>
      </c>
      <c r="H340" t="s">
        <v>48</v>
      </c>
      <c r="I340" t="s">
        <v>38</v>
      </c>
      <c r="J340" s="1">
        <v>45221</v>
      </c>
      <c r="K340" t="b">
        <v>0</v>
      </c>
    </row>
    <row r="341" spans="1:11" x14ac:dyDescent="0.3">
      <c r="A341" t="s">
        <v>531</v>
      </c>
      <c r="B341" t="s">
        <v>100</v>
      </c>
      <c r="C341" t="s">
        <v>32</v>
      </c>
      <c r="D341" t="s">
        <v>365</v>
      </c>
      <c r="E341">
        <v>41</v>
      </c>
      <c r="F341">
        <v>10</v>
      </c>
      <c r="G341">
        <v>410</v>
      </c>
      <c r="H341" t="s">
        <v>15</v>
      </c>
      <c r="I341" t="s">
        <v>16</v>
      </c>
      <c r="J341" s="1">
        <v>45582</v>
      </c>
    </row>
    <row r="342" spans="1:11" x14ac:dyDescent="0.3">
      <c r="A342" t="s">
        <v>532</v>
      </c>
      <c r="B342" t="s">
        <v>18</v>
      </c>
      <c r="C342" t="s">
        <v>32</v>
      </c>
      <c r="E342">
        <v>11</v>
      </c>
      <c r="H342" t="s">
        <v>48</v>
      </c>
      <c r="I342" t="s">
        <v>16</v>
      </c>
      <c r="J342" s="1">
        <v>45203</v>
      </c>
    </row>
    <row r="343" spans="1:11" x14ac:dyDescent="0.3">
      <c r="A343" t="s">
        <v>533</v>
      </c>
      <c r="B343" t="s">
        <v>18</v>
      </c>
      <c r="C343" t="s">
        <v>66</v>
      </c>
      <c r="D343" t="s">
        <v>420</v>
      </c>
      <c r="E343">
        <v>41</v>
      </c>
      <c r="F343">
        <v>8</v>
      </c>
      <c r="G343">
        <v>328</v>
      </c>
      <c r="H343" t="s">
        <v>48</v>
      </c>
      <c r="I343" t="s">
        <v>16</v>
      </c>
      <c r="J343" s="1">
        <v>44734</v>
      </c>
    </row>
    <row r="344" spans="1:11" x14ac:dyDescent="0.3">
      <c r="A344" t="s">
        <v>534</v>
      </c>
      <c r="B344" t="s">
        <v>63</v>
      </c>
      <c r="C344" t="s">
        <v>28</v>
      </c>
      <c r="D344" t="s">
        <v>268</v>
      </c>
      <c r="E344">
        <v>12.5</v>
      </c>
      <c r="F344">
        <v>8</v>
      </c>
      <c r="G344">
        <v>100</v>
      </c>
      <c r="H344" t="s">
        <v>25</v>
      </c>
      <c r="I344" t="s">
        <v>38</v>
      </c>
      <c r="J344" s="1">
        <v>45595</v>
      </c>
    </row>
    <row r="345" spans="1:11" x14ac:dyDescent="0.3">
      <c r="A345" t="s">
        <v>535</v>
      </c>
      <c r="B345" t="s">
        <v>84</v>
      </c>
      <c r="C345" t="s">
        <v>28</v>
      </c>
      <c r="E345">
        <v>24.5</v>
      </c>
      <c r="H345" t="s">
        <v>48</v>
      </c>
      <c r="I345" t="s">
        <v>38</v>
      </c>
      <c r="J345" s="1">
        <v>44873</v>
      </c>
      <c r="K345" t="b">
        <v>1</v>
      </c>
    </row>
    <row r="346" spans="1:11" x14ac:dyDescent="0.3">
      <c r="A346" t="s">
        <v>536</v>
      </c>
      <c r="B346" t="s">
        <v>69</v>
      </c>
      <c r="C346" t="s">
        <v>23</v>
      </c>
      <c r="D346" t="s">
        <v>306</v>
      </c>
      <c r="E346">
        <v>23</v>
      </c>
      <c r="F346">
        <v>3</v>
      </c>
      <c r="G346">
        <v>69</v>
      </c>
      <c r="H346" t="s">
        <v>25</v>
      </c>
      <c r="I346" t="s">
        <v>16</v>
      </c>
      <c r="J346" s="1">
        <v>45100</v>
      </c>
      <c r="K346" t="b">
        <v>1</v>
      </c>
    </row>
    <row r="347" spans="1:11" x14ac:dyDescent="0.3">
      <c r="A347" t="s">
        <v>537</v>
      </c>
      <c r="B347" t="s">
        <v>98</v>
      </c>
      <c r="C347" t="s">
        <v>130</v>
      </c>
      <c r="E347">
        <v>15.5</v>
      </c>
      <c r="H347" t="s">
        <v>25</v>
      </c>
      <c r="I347" t="s">
        <v>38</v>
      </c>
      <c r="J347" s="1">
        <v>45099</v>
      </c>
      <c r="K347" t="b">
        <v>1</v>
      </c>
    </row>
    <row r="348" spans="1:11" x14ac:dyDescent="0.3">
      <c r="A348" t="s">
        <v>538</v>
      </c>
      <c r="B348" t="s">
        <v>65</v>
      </c>
      <c r="C348" t="s">
        <v>66</v>
      </c>
      <c r="D348" t="s">
        <v>367</v>
      </c>
      <c r="E348">
        <v>21.5</v>
      </c>
      <c r="F348">
        <v>2</v>
      </c>
      <c r="G348">
        <v>43</v>
      </c>
      <c r="H348" t="s">
        <v>48</v>
      </c>
      <c r="I348" t="s">
        <v>16</v>
      </c>
      <c r="J348" s="1">
        <v>45187</v>
      </c>
    </row>
    <row r="349" spans="1:11" x14ac:dyDescent="0.3">
      <c r="A349" t="s">
        <v>539</v>
      </c>
      <c r="B349" t="s">
        <v>65</v>
      </c>
      <c r="C349" t="s">
        <v>19</v>
      </c>
      <c r="D349" t="s">
        <v>540</v>
      </c>
      <c r="E349">
        <v>23</v>
      </c>
      <c r="F349">
        <v>1</v>
      </c>
      <c r="G349">
        <v>23</v>
      </c>
      <c r="H349" t="s">
        <v>25</v>
      </c>
      <c r="I349" t="s">
        <v>38</v>
      </c>
      <c r="J349" s="1">
        <v>45075</v>
      </c>
      <c r="K349" t="b">
        <v>0</v>
      </c>
    </row>
    <row r="350" spans="1:11" x14ac:dyDescent="0.3">
      <c r="A350" t="s">
        <v>541</v>
      </c>
      <c r="B350" t="s">
        <v>46</v>
      </c>
      <c r="C350" t="s">
        <v>13</v>
      </c>
      <c r="D350" t="s">
        <v>503</v>
      </c>
      <c r="E350">
        <v>33.5</v>
      </c>
      <c r="F350">
        <v>8</v>
      </c>
      <c r="G350">
        <v>268</v>
      </c>
      <c r="H350" t="s">
        <v>48</v>
      </c>
      <c r="I350" t="s">
        <v>16</v>
      </c>
      <c r="J350" s="1">
        <v>44867</v>
      </c>
      <c r="K350" t="b">
        <v>1</v>
      </c>
    </row>
    <row r="351" spans="1:11" x14ac:dyDescent="0.3">
      <c r="A351" t="s">
        <v>542</v>
      </c>
      <c r="B351" t="s">
        <v>40</v>
      </c>
      <c r="C351" t="s">
        <v>23</v>
      </c>
      <c r="D351" t="s">
        <v>50</v>
      </c>
      <c r="E351">
        <v>8</v>
      </c>
      <c r="F351">
        <v>2</v>
      </c>
      <c r="G351">
        <v>16</v>
      </c>
      <c r="H351" t="s">
        <v>48</v>
      </c>
      <c r="I351" t="s">
        <v>38</v>
      </c>
      <c r="J351" s="1">
        <v>44579</v>
      </c>
      <c r="K351" t="b">
        <v>1</v>
      </c>
    </row>
    <row r="352" spans="1:11" x14ac:dyDescent="0.3">
      <c r="A352" t="s">
        <v>543</v>
      </c>
      <c r="B352" t="s">
        <v>40</v>
      </c>
      <c r="C352" t="s">
        <v>130</v>
      </c>
      <c r="D352" t="s">
        <v>158</v>
      </c>
      <c r="E352">
        <v>36.5</v>
      </c>
      <c r="F352">
        <v>9</v>
      </c>
      <c r="G352">
        <v>328.5</v>
      </c>
      <c r="H352" t="s">
        <v>25</v>
      </c>
      <c r="I352" t="s">
        <v>16</v>
      </c>
      <c r="J352" s="1">
        <v>45150</v>
      </c>
      <c r="K352" t="b">
        <v>0</v>
      </c>
    </row>
    <row r="353" spans="1:11" x14ac:dyDescent="0.3">
      <c r="A353" t="s">
        <v>544</v>
      </c>
      <c r="B353" t="s">
        <v>43</v>
      </c>
      <c r="C353" t="s">
        <v>130</v>
      </c>
      <c r="D353" t="s">
        <v>229</v>
      </c>
      <c r="E353">
        <v>18.5</v>
      </c>
      <c r="F353">
        <v>7</v>
      </c>
      <c r="G353">
        <v>129.5</v>
      </c>
      <c r="H353" t="s">
        <v>15</v>
      </c>
      <c r="I353" t="s">
        <v>38</v>
      </c>
      <c r="J353" s="1">
        <v>45091</v>
      </c>
      <c r="K353" t="b">
        <v>1</v>
      </c>
    </row>
    <row r="354" spans="1:11" x14ac:dyDescent="0.3">
      <c r="A354" t="s">
        <v>545</v>
      </c>
      <c r="B354" t="s">
        <v>69</v>
      </c>
      <c r="C354" t="s">
        <v>32</v>
      </c>
      <c r="D354" t="s">
        <v>90</v>
      </c>
      <c r="E354">
        <v>24.5</v>
      </c>
      <c r="F354">
        <v>6</v>
      </c>
      <c r="G354">
        <v>147</v>
      </c>
      <c r="H354" t="s">
        <v>48</v>
      </c>
      <c r="I354" t="s">
        <v>38</v>
      </c>
      <c r="J354" s="1">
        <v>45057</v>
      </c>
      <c r="K354" t="b">
        <v>0</v>
      </c>
    </row>
    <row r="355" spans="1:11" x14ac:dyDescent="0.3">
      <c r="A355" t="s">
        <v>546</v>
      </c>
      <c r="B355" t="s">
        <v>43</v>
      </c>
      <c r="C355" t="s">
        <v>41</v>
      </c>
      <c r="D355" t="s">
        <v>199</v>
      </c>
      <c r="E355">
        <v>39.5</v>
      </c>
      <c r="F355">
        <v>3</v>
      </c>
      <c r="G355">
        <v>118.5</v>
      </c>
      <c r="H355" t="s">
        <v>25</v>
      </c>
      <c r="I355" t="s">
        <v>16</v>
      </c>
      <c r="J355" s="1">
        <v>44996</v>
      </c>
      <c r="K355" t="b">
        <v>1</v>
      </c>
    </row>
    <row r="356" spans="1:11" x14ac:dyDescent="0.3">
      <c r="A356" t="s">
        <v>547</v>
      </c>
      <c r="B356" t="s">
        <v>123</v>
      </c>
      <c r="C356" t="s">
        <v>41</v>
      </c>
      <c r="F356">
        <v>7</v>
      </c>
      <c r="G356">
        <v>182</v>
      </c>
      <c r="H356" t="s">
        <v>15</v>
      </c>
      <c r="I356" t="s">
        <v>38</v>
      </c>
      <c r="J356" s="1">
        <v>44599</v>
      </c>
    </row>
    <row r="357" spans="1:11" x14ac:dyDescent="0.3">
      <c r="A357" t="s">
        <v>548</v>
      </c>
      <c r="B357" t="s">
        <v>89</v>
      </c>
      <c r="C357" t="s">
        <v>19</v>
      </c>
      <c r="D357" t="s">
        <v>273</v>
      </c>
      <c r="E357">
        <v>39.5</v>
      </c>
      <c r="F357">
        <v>3</v>
      </c>
      <c r="G357">
        <v>118.5</v>
      </c>
      <c r="H357" t="s">
        <v>25</v>
      </c>
      <c r="I357" t="s">
        <v>16</v>
      </c>
      <c r="J357" s="1">
        <v>45216</v>
      </c>
      <c r="K357" t="b">
        <v>1</v>
      </c>
    </row>
    <row r="358" spans="1:11" x14ac:dyDescent="0.3">
      <c r="A358" t="s">
        <v>549</v>
      </c>
      <c r="B358" t="s">
        <v>40</v>
      </c>
      <c r="C358" t="s">
        <v>130</v>
      </c>
      <c r="D358" t="s">
        <v>326</v>
      </c>
      <c r="E358">
        <v>30.5</v>
      </c>
      <c r="F358">
        <v>2</v>
      </c>
      <c r="G358">
        <v>61</v>
      </c>
      <c r="H358" t="s">
        <v>15</v>
      </c>
      <c r="I358" t="s">
        <v>38</v>
      </c>
      <c r="J358" s="1">
        <v>45619</v>
      </c>
      <c r="K358" t="b">
        <v>1</v>
      </c>
    </row>
    <row r="359" spans="1:11" x14ac:dyDescent="0.3">
      <c r="A359" t="s">
        <v>550</v>
      </c>
      <c r="B359" t="s">
        <v>22</v>
      </c>
      <c r="C359" t="s">
        <v>23</v>
      </c>
      <c r="D359" t="s">
        <v>551</v>
      </c>
      <c r="E359">
        <v>11</v>
      </c>
      <c r="F359">
        <v>4</v>
      </c>
      <c r="G359">
        <v>44</v>
      </c>
      <c r="H359" t="s">
        <v>48</v>
      </c>
      <c r="I359" t="s">
        <v>38</v>
      </c>
      <c r="J359" s="1">
        <v>45254</v>
      </c>
      <c r="K359" t="b">
        <v>0</v>
      </c>
    </row>
    <row r="360" spans="1:11" x14ac:dyDescent="0.3">
      <c r="A360" t="s">
        <v>552</v>
      </c>
      <c r="B360" t="s">
        <v>89</v>
      </c>
      <c r="C360" t="s">
        <v>19</v>
      </c>
      <c r="D360" t="s">
        <v>553</v>
      </c>
      <c r="E360">
        <v>36.5</v>
      </c>
      <c r="F360">
        <v>2</v>
      </c>
      <c r="G360">
        <v>73</v>
      </c>
      <c r="H360" t="s">
        <v>15</v>
      </c>
      <c r="I360" t="s">
        <v>38</v>
      </c>
      <c r="J360" s="1">
        <v>44841</v>
      </c>
      <c r="K360" t="b">
        <v>1</v>
      </c>
    </row>
    <row r="361" spans="1:11" x14ac:dyDescent="0.3">
      <c r="A361" t="s">
        <v>554</v>
      </c>
      <c r="B361" t="s">
        <v>123</v>
      </c>
      <c r="C361" t="s">
        <v>130</v>
      </c>
      <c r="D361" t="s">
        <v>139</v>
      </c>
      <c r="E361">
        <v>11</v>
      </c>
      <c r="F361">
        <v>1</v>
      </c>
      <c r="G361">
        <v>11</v>
      </c>
      <c r="H361" t="s">
        <v>48</v>
      </c>
      <c r="I361" t="s">
        <v>16</v>
      </c>
      <c r="J361" s="1">
        <v>45156</v>
      </c>
    </row>
    <row r="362" spans="1:11" x14ac:dyDescent="0.3">
      <c r="A362" t="s">
        <v>555</v>
      </c>
      <c r="B362" t="s">
        <v>40</v>
      </c>
      <c r="C362" t="s">
        <v>41</v>
      </c>
      <c r="D362" t="s">
        <v>556</v>
      </c>
      <c r="E362">
        <v>9.5</v>
      </c>
      <c r="F362">
        <v>8</v>
      </c>
      <c r="G362">
        <v>76</v>
      </c>
      <c r="H362" t="s">
        <v>48</v>
      </c>
      <c r="I362" t="s">
        <v>38</v>
      </c>
      <c r="J362" s="1">
        <v>44934</v>
      </c>
      <c r="K362" t="b">
        <v>1</v>
      </c>
    </row>
    <row r="363" spans="1:11" x14ac:dyDescent="0.3">
      <c r="A363" t="s">
        <v>557</v>
      </c>
      <c r="B363" t="s">
        <v>89</v>
      </c>
      <c r="C363" t="s">
        <v>13</v>
      </c>
      <c r="D363" t="s">
        <v>455</v>
      </c>
      <c r="E363">
        <v>26</v>
      </c>
      <c r="F363">
        <v>9</v>
      </c>
      <c r="G363">
        <v>234</v>
      </c>
      <c r="H363" t="s">
        <v>25</v>
      </c>
      <c r="I363" t="s">
        <v>16</v>
      </c>
      <c r="J363" s="1">
        <v>44943</v>
      </c>
    </row>
    <row r="364" spans="1:11" x14ac:dyDescent="0.3">
      <c r="A364" t="s">
        <v>558</v>
      </c>
      <c r="B364" t="s">
        <v>116</v>
      </c>
      <c r="C364" t="s">
        <v>66</v>
      </c>
      <c r="E364">
        <v>26</v>
      </c>
      <c r="H364" t="s">
        <v>15</v>
      </c>
      <c r="I364" t="s">
        <v>38</v>
      </c>
      <c r="J364" s="1">
        <v>45326</v>
      </c>
      <c r="K364" t="b">
        <v>1</v>
      </c>
    </row>
    <row r="365" spans="1:11" x14ac:dyDescent="0.3">
      <c r="A365" t="s">
        <v>559</v>
      </c>
      <c r="B365" t="s">
        <v>46</v>
      </c>
      <c r="C365" t="s">
        <v>32</v>
      </c>
      <c r="D365" t="s">
        <v>128</v>
      </c>
      <c r="E365">
        <v>21.5</v>
      </c>
      <c r="F365">
        <v>6</v>
      </c>
      <c r="G365">
        <v>129</v>
      </c>
      <c r="H365" t="s">
        <v>25</v>
      </c>
      <c r="I365" t="s">
        <v>38</v>
      </c>
      <c r="J365" s="1">
        <v>45228</v>
      </c>
      <c r="K365" t="b">
        <v>1</v>
      </c>
    </row>
    <row r="366" spans="1:11" x14ac:dyDescent="0.3">
      <c r="A366" t="s">
        <v>560</v>
      </c>
      <c r="B366" t="s">
        <v>89</v>
      </c>
      <c r="C366" t="s">
        <v>13</v>
      </c>
      <c r="D366" t="s">
        <v>372</v>
      </c>
      <c r="E366">
        <v>23</v>
      </c>
      <c r="F366">
        <v>4</v>
      </c>
      <c r="G366">
        <v>92</v>
      </c>
      <c r="H366" t="s">
        <v>25</v>
      </c>
      <c r="I366" t="s">
        <v>16</v>
      </c>
      <c r="J366" s="1">
        <v>44628</v>
      </c>
      <c r="K366" t="b">
        <v>0</v>
      </c>
    </row>
    <row r="367" spans="1:11" x14ac:dyDescent="0.3">
      <c r="A367" t="s">
        <v>561</v>
      </c>
      <c r="B367" t="s">
        <v>27</v>
      </c>
      <c r="C367" t="s">
        <v>28</v>
      </c>
      <c r="D367" t="s">
        <v>478</v>
      </c>
      <c r="E367">
        <v>8</v>
      </c>
      <c r="F367">
        <v>9</v>
      </c>
      <c r="G367">
        <v>72</v>
      </c>
      <c r="H367" t="s">
        <v>48</v>
      </c>
      <c r="I367" t="s">
        <v>16</v>
      </c>
      <c r="J367" s="1">
        <v>45374</v>
      </c>
    </row>
    <row r="368" spans="1:11" x14ac:dyDescent="0.3">
      <c r="A368" t="s">
        <v>562</v>
      </c>
      <c r="B368" t="s">
        <v>22</v>
      </c>
      <c r="C368" t="s">
        <v>32</v>
      </c>
      <c r="D368" t="s">
        <v>185</v>
      </c>
      <c r="E368">
        <v>33.5</v>
      </c>
      <c r="F368">
        <v>9</v>
      </c>
      <c r="G368">
        <v>301.5</v>
      </c>
      <c r="H368" t="s">
        <v>15</v>
      </c>
      <c r="I368" t="s">
        <v>38</v>
      </c>
      <c r="J368" s="1">
        <v>45564</v>
      </c>
      <c r="K368" t="b">
        <v>0</v>
      </c>
    </row>
    <row r="369" spans="1:11" x14ac:dyDescent="0.3">
      <c r="A369" t="s">
        <v>563</v>
      </c>
      <c r="B369" t="s">
        <v>80</v>
      </c>
      <c r="C369" t="s">
        <v>32</v>
      </c>
      <c r="D369" t="s">
        <v>94</v>
      </c>
      <c r="E369">
        <v>20</v>
      </c>
      <c r="F369">
        <v>4</v>
      </c>
      <c r="G369">
        <v>80</v>
      </c>
      <c r="H369" t="s">
        <v>25</v>
      </c>
      <c r="I369" t="s">
        <v>38</v>
      </c>
      <c r="J369" s="1">
        <v>44881</v>
      </c>
      <c r="K369" t="b">
        <v>1</v>
      </c>
    </row>
    <row r="370" spans="1:11" x14ac:dyDescent="0.3">
      <c r="A370" t="s">
        <v>564</v>
      </c>
      <c r="B370" t="s">
        <v>31</v>
      </c>
      <c r="C370" t="s">
        <v>66</v>
      </c>
      <c r="D370" t="s">
        <v>369</v>
      </c>
      <c r="E370">
        <v>36.5</v>
      </c>
      <c r="F370">
        <v>7</v>
      </c>
      <c r="G370">
        <v>255.5</v>
      </c>
      <c r="H370" t="s">
        <v>25</v>
      </c>
      <c r="I370" t="s">
        <v>16</v>
      </c>
      <c r="J370" s="1">
        <v>44616</v>
      </c>
    </row>
    <row r="371" spans="1:11" x14ac:dyDescent="0.3">
      <c r="A371" t="s">
        <v>565</v>
      </c>
      <c r="B371" t="s">
        <v>113</v>
      </c>
      <c r="C371" t="s">
        <v>19</v>
      </c>
      <c r="D371" t="s">
        <v>344</v>
      </c>
      <c r="E371">
        <v>26</v>
      </c>
      <c r="F371">
        <v>7</v>
      </c>
      <c r="G371">
        <v>182</v>
      </c>
      <c r="H371" t="s">
        <v>15</v>
      </c>
      <c r="I371" t="s">
        <v>16</v>
      </c>
      <c r="J371" s="1">
        <v>44779</v>
      </c>
    </row>
    <row r="372" spans="1:11" x14ac:dyDescent="0.3">
      <c r="A372" t="s">
        <v>566</v>
      </c>
      <c r="B372" t="s">
        <v>46</v>
      </c>
      <c r="C372" t="s">
        <v>23</v>
      </c>
      <c r="D372" t="s">
        <v>551</v>
      </c>
      <c r="E372">
        <v>11</v>
      </c>
      <c r="F372">
        <v>9</v>
      </c>
      <c r="G372">
        <v>99</v>
      </c>
      <c r="H372" t="s">
        <v>25</v>
      </c>
      <c r="I372" t="s">
        <v>38</v>
      </c>
      <c r="J372" s="1">
        <v>45362</v>
      </c>
    </row>
    <row r="373" spans="1:11" x14ac:dyDescent="0.3">
      <c r="A373" t="s">
        <v>567</v>
      </c>
      <c r="B373" t="s">
        <v>77</v>
      </c>
      <c r="C373" t="s">
        <v>13</v>
      </c>
      <c r="D373" t="s">
        <v>207</v>
      </c>
      <c r="E373">
        <v>9.5</v>
      </c>
      <c r="F373">
        <v>6</v>
      </c>
      <c r="G373">
        <v>57</v>
      </c>
      <c r="H373" t="s">
        <v>25</v>
      </c>
      <c r="I373" t="s">
        <v>16</v>
      </c>
      <c r="J373" s="1">
        <v>45084</v>
      </c>
    </row>
    <row r="374" spans="1:11" x14ac:dyDescent="0.3">
      <c r="A374" t="s">
        <v>568</v>
      </c>
      <c r="B374" t="s">
        <v>84</v>
      </c>
      <c r="C374" t="s">
        <v>66</v>
      </c>
      <c r="D374" t="s">
        <v>367</v>
      </c>
      <c r="E374">
        <v>21.5</v>
      </c>
      <c r="F374">
        <v>2</v>
      </c>
      <c r="G374">
        <v>43</v>
      </c>
      <c r="H374" t="s">
        <v>48</v>
      </c>
      <c r="I374" t="s">
        <v>16</v>
      </c>
      <c r="J374" s="1">
        <v>44814</v>
      </c>
      <c r="K374" t="b">
        <v>0</v>
      </c>
    </row>
    <row r="375" spans="1:11" x14ac:dyDescent="0.3">
      <c r="A375" t="s">
        <v>569</v>
      </c>
      <c r="B375" t="s">
        <v>123</v>
      </c>
      <c r="C375" t="s">
        <v>28</v>
      </c>
      <c r="D375" t="s">
        <v>570</v>
      </c>
      <c r="E375">
        <v>29</v>
      </c>
      <c r="F375">
        <v>1</v>
      </c>
      <c r="G375">
        <v>29</v>
      </c>
      <c r="H375" t="s">
        <v>48</v>
      </c>
      <c r="I375" t="s">
        <v>38</v>
      </c>
      <c r="J375" s="1">
        <v>44894</v>
      </c>
      <c r="K375" t="b">
        <v>1</v>
      </c>
    </row>
    <row r="376" spans="1:11" x14ac:dyDescent="0.3">
      <c r="A376" t="s">
        <v>571</v>
      </c>
      <c r="B376" t="s">
        <v>74</v>
      </c>
      <c r="C376" t="s">
        <v>19</v>
      </c>
      <c r="E376">
        <v>26</v>
      </c>
      <c r="H376" t="s">
        <v>15</v>
      </c>
      <c r="I376" t="s">
        <v>38</v>
      </c>
      <c r="J376" s="1">
        <v>44785</v>
      </c>
    </row>
    <row r="377" spans="1:11" x14ac:dyDescent="0.3">
      <c r="A377" t="s">
        <v>572</v>
      </c>
      <c r="B377" t="s">
        <v>65</v>
      </c>
      <c r="C377" t="s">
        <v>23</v>
      </c>
      <c r="D377" t="s">
        <v>306</v>
      </c>
      <c r="E377">
        <v>23</v>
      </c>
      <c r="F377">
        <v>5</v>
      </c>
      <c r="G377">
        <v>115</v>
      </c>
      <c r="H377" t="s">
        <v>25</v>
      </c>
      <c r="I377" t="s">
        <v>16</v>
      </c>
      <c r="J377" s="1">
        <v>44792</v>
      </c>
      <c r="K377" t="b">
        <v>1</v>
      </c>
    </row>
    <row r="378" spans="1:11" x14ac:dyDescent="0.3">
      <c r="A378" t="s">
        <v>573</v>
      </c>
      <c r="B378" t="s">
        <v>84</v>
      </c>
      <c r="C378" t="s">
        <v>13</v>
      </c>
      <c r="D378" t="s">
        <v>164</v>
      </c>
      <c r="E378">
        <v>24.5</v>
      </c>
      <c r="F378">
        <v>4</v>
      </c>
      <c r="G378">
        <v>98</v>
      </c>
      <c r="H378" t="s">
        <v>48</v>
      </c>
      <c r="I378" t="s">
        <v>16</v>
      </c>
      <c r="J378" s="1">
        <v>44657</v>
      </c>
    </row>
    <row r="379" spans="1:11" x14ac:dyDescent="0.3">
      <c r="A379" t="s">
        <v>574</v>
      </c>
      <c r="B379" t="s">
        <v>89</v>
      </c>
      <c r="C379" t="s">
        <v>19</v>
      </c>
      <c r="D379" t="s">
        <v>271</v>
      </c>
      <c r="E379">
        <v>5</v>
      </c>
      <c r="F379">
        <v>1</v>
      </c>
      <c r="G379">
        <v>5</v>
      </c>
      <c r="H379" t="s">
        <v>25</v>
      </c>
      <c r="I379" t="s">
        <v>16</v>
      </c>
      <c r="J379" s="1">
        <v>45281</v>
      </c>
      <c r="K379" t="b">
        <v>1</v>
      </c>
    </row>
    <row r="380" spans="1:11" x14ac:dyDescent="0.3">
      <c r="A380" t="s">
        <v>575</v>
      </c>
      <c r="B380" t="s">
        <v>31</v>
      </c>
      <c r="C380" t="s">
        <v>41</v>
      </c>
      <c r="D380" t="s">
        <v>81</v>
      </c>
      <c r="E380">
        <v>24.5</v>
      </c>
      <c r="F380">
        <v>4</v>
      </c>
      <c r="G380">
        <v>98</v>
      </c>
      <c r="H380" t="s">
        <v>48</v>
      </c>
      <c r="I380" t="s">
        <v>38</v>
      </c>
      <c r="J380" s="1">
        <v>45089</v>
      </c>
    </row>
    <row r="381" spans="1:11" x14ac:dyDescent="0.3">
      <c r="A381" t="s">
        <v>576</v>
      </c>
      <c r="B381" t="s">
        <v>98</v>
      </c>
      <c r="C381" t="s">
        <v>28</v>
      </c>
      <c r="D381" t="s">
        <v>104</v>
      </c>
      <c r="E381">
        <v>41</v>
      </c>
      <c r="F381">
        <v>9</v>
      </c>
      <c r="G381">
        <v>369</v>
      </c>
      <c r="H381" t="s">
        <v>25</v>
      </c>
      <c r="I381" t="s">
        <v>38</v>
      </c>
      <c r="J381" s="1">
        <v>45224</v>
      </c>
      <c r="K381" t="b">
        <v>0</v>
      </c>
    </row>
    <row r="382" spans="1:11" x14ac:dyDescent="0.3">
      <c r="A382" t="s">
        <v>577</v>
      </c>
      <c r="B382" t="s">
        <v>116</v>
      </c>
      <c r="C382" t="s">
        <v>13</v>
      </c>
      <c r="D382" t="s">
        <v>520</v>
      </c>
      <c r="E382">
        <v>15.5</v>
      </c>
      <c r="F382">
        <v>7</v>
      </c>
      <c r="G382">
        <v>108.5</v>
      </c>
      <c r="H382" t="s">
        <v>48</v>
      </c>
      <c r="I382" t="s">
        <v>38</v>
      </c>
      <c r="J382" s="1">
        <v>45132</v>
      </c>
      <c r="K382" t="b">
        <v>1</v>
      </c>
    </row>
    <row r="383" spans="1:11" x14ac:dyDescent="0.3">
      <c r="A383" t="s">
        <v>578</v>
      </c>
      <c r="B383" t="s">
        <v>43</v>
      </c>
      <c r="C383" t="s">
        <v>13</v>
      </c>
      <c r="D383" t="s">
        <v>579</v>
      </c>
      <c r="E383">
        <v>32</v>
      </c>
      <c r="F383">
        <v>10</v>
      </c>
      <c r="G383">
        <v>320</v>
      </c>
      <c r="H383" t="s">
        <v>15</v>
      </c>
      <c r="I383" t="s">
        <v>38</v>
      </c>
      <c r="J383" s="1">
        <v>45248</v>
      </c>
    </row>
    <row r="384" spans="1:11" x14ac:dyDescent="0.3">
      <c r="A384" t="s">
        <v>580</v>
      </c>
      <c r="B384" t="s">
        <v>123</v>
      </c>
      <c r="C384" t="s">
        <v>13</v>
      </c>
      <c r="D384" t="s">
        <v>133</v>
      </c>
      <c r="E384">
        <v>20</v>
      </c>
      <c r="F384">
        <v>6</v>
      </c>
      <c r="G384">
        <v>120</v>
      </c>
      <c r="H384" t="s">
        <v>15</v>
      </c>
      <c r="I384" t="s">
        <v>16</v>
      </c>
      <c r="J384" s="1">
        <v>44902</v>
      </c>
    </row>
    <row r="385" spans="1:11" x14ac:dyDescent="0.3">
      <c r="A385" t="s">
        <v>581</v>
      </c>
      <c r="B385" t="s">
        <v>113</v>
      </c>
      <c r="C385" t="s">
        <v>28</v>
      </c>
      <c r="D385" t="s">
        <v>71</v>
      </c>
      <c r="E385">
        <v>14</v>
      </c>
      <c r="F385">
        <v>5</v>
      </c>
      <c r="G385">
        <v>70</v>
      </c>
      <c r="H385" t="s">
        <v>48</v>
      </c>
      <c r="I385" t="s">
        <v>38</v>
      </c>
      <c r="J385" s="1">
        <v>45655</v>
      </c>
    </row>
    <row r="386" spans="1:11" x14ac:dyDescent="0.3">
      <c r="A386" t="s">
        <v>582</v>
      </c>
      <c r="B386" t="s">
        <v>46</v>
      </c>
      <c r="C386" t="s">
        <v>23</v>
      </c>
      <c r="D386" t="s">
        <v>114</v>
      </c>
      <c r="E386">
        <v>38</v>
      </c>
      <c r="F386">
        <v>1</v>
      </c>
      <c r="G386">
        <v>38</v>
      </c>
      <c r="H386" t="s">
        <v>48</v>
      </c>
      <c r="I386" t="s">
        <v>38</v>
      </c>
      <c r="J386" s="1">
        <v>45006</v>
      </c>
      <c r="K386" t="b">
        <v>0</v>
      </c>
    </row>
    <row r="387" spans="1:11" x14ac:dyDescent="0.3">
      <c r="A387" t="s">
        <v>583</v>
      </c>
      <c r="B387" t="s">
        <v>74</v>
      </c>
      <c r="C387" t="s">
        <v>130</v>
      </c>
      <c r="F387">
        <v>3</v>
      </c>
      <c r="G387">
        <v>96</v>
      </c>
      <c r="H387" t="s">
        <v>25</v>
      </c>
      <c r="I387" t="s">
        <v>16</v>
      </c>
      <c r="J387" s="1">
        <v>44641</v>
      </c>
      <c r="K387" t="b">
        <v>0</v>
      </c>
    </row>
    <row r="388" spans="1:11" x14ac:dyDescent="0.3">
      <c r="A388" t="s">
        <v>584</v>
      </c>
      <c r="B388" t="s">
        <v>123</v>
      </c>
      <c r="C388" t="s">
        <v>13</v>
      </c>
      <c r="D388" t="s">
        <v>585</v>
      </c>
      <c r="E388">
        <v>6.5</v>
      </c>
      <c r="F388">
        <v>8</v>
      </c>
      <c r="G388">
        <v>52</v>
      </c>
      <c r="H388" t="s">
        <v>15</v>
      </c>
      <c r="I388" t="s">
        <v>38</v>
      </c>
      <c r="J388" s="1">
        <v>45009</v>
      </c>
    </row>
    <row r="389" spans="1:11" x14ac:dyDescent="0.3">
      <c r="A389" t="s">
        <v>586</v>
      </c>
      <c r="B389" t="s">
        <v>74</v>
      </c>
      <c r="C389" t="s">
        <v>23</v>
      </c>
      <c r="D389" t="s">
        <v>587</v>
      </c>
      <c r="E389">
        <v>24.5</v>
      </c>
      <c r="F389">
        <v>5</v>
      </c>
      <c r="G389">
        <v>122.5</v>
      </c>
      <c r="H389" t="s">
        <v>15</v>
      </c>
      <c r="I389" t="s">
        <v>16</v>
      </c>
      <c r="J389" s="1">
        <v>45346</v>
      </c>
      <c r="K389" t="b">
        <v>0</v>
      </c>
    </row>
    <row r="390" spans="1:11" x14ac:dyDescent="0.3">
      <c r="A390" t="s">
        <v>588</v>
      </c>
      <c r="B390" t="s">
        <v>22</v>
      </c>
      <c r="C390" t="s">
        <v>41</v>
      </c>
      <c r="D390" t="s">
        <v>342</v>
      </c>
      <c r="E390">
        <v>29</v>
      </c>
      <c r="F390">
        <v>9</v>
      </c>
      <c r="G390">
        <v>261</v>
      </c>
      <c r="H390" t="s">
        <v>15</v>
      </c>
      <c r="I390" t="s">
        <v>16</v>
      </c>
      <c r="J390" s="1">
        <v>45653</v>
      </c>
      <c r="K390" t="b">
        <v>0</v>
      </c>
    </row>
    <row r="391" spans="1:11" x14ac:dyDescent="0.3">
      <c r="A391" t="s">
        <v>589</v>
      </c>
      <c r="B391" t="s">
        <v>168</v>
      </c>
      <c r="C391" t="s">
        <v>66</v>
      </c>
      <c r="F391">
        <v>8</v>
      </c>
      <c r="G391">
        <v>220</v>
      </c>
      <c r="H391" t="s">
        <v>25</v>
      </c>
      <c r="I391" t="s">
        <v>16</v>
      </c>
      <c r="J391" s="1">
        <v>44785</v>
      </c>
    </row>
    <row r="392" spans="1:11" x14ac:dyDescent="0.3">
      <c r="A392" t="s">
        <v>590</v>
      </c>
      <c r="B392" t="s">
        <v>80</v>
      </c>
      <c r="C392" t="s">
        <v>19</v>
      </c>
      <c r="D392" t="s">
        <v>271</v>
      </c>
      <c r="E392">
        <v>5</v>
      </c>
      <c r="F392">
        <v>7</v>
      </c>
      <c r="G392">
        <v>35</v>
      </c>
      <c r="H392" t="s">
        <v>25</v>
      </c>
      <c r="I392" t="s">
        <v>38</v>
      </c>
      <c r="J392" s="1">
        <v>44639</v>
      </c>
      <c r="K392" t="b">
        <v>1</v>
      </c>
    </row>
    <row r="393" spans="1:11" x14ac:dyDescent="0.3">
      <c r="A393" t="s">
        <v>591</v>
      </c>
      <c r="B393" t="s">
        <v>63</v>
      </c>
      <c r="C393" t="s">
        <v>66</v>
      </c>
      <c r="D393" t="s">
        <v>377</v>
      </c>
      <c r="E393">
        <v>29</v>
      </c>
      <c r="F393">
        <v>9</v>
      </c>
      <c r="G393">
        <v>261</v>
      </c>
      <c r="H393" t="s">
        <v>15</v>
      </c>
      <c r="I393" t="s">
        <v>38</v>
      </c>
      <c r="J393" s="1">
        <v>45385</v>
      </c>
    </row>
    <row r="394" spans="1:11" x14ac:dyDescent="0.3">
      <c r="A394" t="s">
        <v>592</v>
      </c>
      <c r="B394" t="s">
        <v>89</v>
      </c>
      <c r="C394" t="s">
        <v>66</v>
      </c>
      <c r="D394" t="s">
        <v>246</v>
      </c>
      <c r="E394">
        <v>15.5</v>
      </c>
      <c r="F394">
        <v>1</v>
      </c>
      <c r="G394">
        <v>15.5</v>
      </c>
      <c r="H394" t="s">
        <v>25</v>
      </c>
      <c r="I394" t="s">
        <v>38</v>
      </c>
      <c r="J394" s="1">
        <v>44825</v>
      </c>
    </row>
    <row r="395" spans="1:11" x14ac:dyDescent="0.3">
      <c r="A395" t="s">
        <v>593</v>
      </c>
      <c r="B395" t="s">
        <v>40</v>
      </c>
      <c r="C395" t="s">
        <v>41</v>
      </c>
      <c r="D395" t="s">
        <v>594</v>
      </c>
      <c r="E395">
        <v>33.5</v>
      </c>
      <c r="F395">
        <v>2</v>
      </c>
      <c r="G395">
        <v>67</v>
      </c>
      <c r="H395" t="s">
        <v>48</v>
      </c>
      <c r="I395" t="s">
        <v>16</v>
      </c>
      <c r="J395" s="1">
        <v>44817</v>
      </c>
      <c r="K395" t="b">
        <v>0</v>
      </c>
    </row>
    <row r="396" spans="1:11" x14ac:dyDescent="0.3">
      <c r="A396" t="s">
        <v>595</v>
      </c>
      <c r="B396" t="s">
        <v>80</v>
      </c>
      <c r="C396" t="s">
        <v>13</v>
      </c>
      <c r="D396" t="s">
        <v>372</v>
      </c>
      <c r="E396">
        <v>23</v>
      </c>
      <c r="F396">
        <v>1</v>
      </c>
      <c r="G396">
        <v>23</v>
      </c>
      <c r="H396" t="s">
        <v>25</v>
      </c>
      <c r="I396" t="s">
        <v>38</v>
      </c>
      <c r="J396" s="1">
        <v>45172</v>
      </c>
      <c r="K396" t="b">
        <v>1</v>
      </c>
    </row>
    <row r="397" spans="1:11" x14ac:dyDescent="0.3">
      <c r="A397" t="s">
        <v>596</v>
      </c>
      <c r="B397" t="s">
        <v>80</v>
      </c>
      <c r="C397" t="s">
        <v>28</v>
      </c>
      <c r="D397" t="s">
        <v>478</v>
      </c>
      <c r="E397">
        <v>8</v>
      </c>
      <c r="F397">
        <v>3</v>
      </c>
      <c r="G397">
        <v>24</v>
      </c>
      <c r="H397" t="s">
        <v>25</v>
      </c>
      <c r="I397" t="s">
        <v>16</v>
      </c>
      <c r="J397" s="1">
        <v>45525</v>
      </c>
    </row>
    <row r="398" spans="1:11" x14ac:dyDescent="0.3">
      <c r="A398" t="s">
        <v>597</v>
      </c>
      <c r="B398" t="s">
        <v>89</v>
      </c>
      <c r="C398" t="s">
        <v>23</v>
      </c>
      <c r="D398" t="s">
        <v>598</v>
      </c>
      <c r="E398">
        <v>12.5</v>
      </c>
      <c r="F398">
        <v>9</v>
      </c>
      <c r="G398">
        <v>112.5</v>
      </c>
      <c r="H398" t="s">
        <v>48</v>
      </c>
      <c r="I398" t="s">
        <v>16</v>
      </c>
      <c r="J398" s="1">
        <v>44786</v>
      </c>
      <c r="K398" t="b">
        <v>0</v>
      </c>
    </row>
    <row r="399" spans="1:11" x14ac:dyDescent="0.3">
      <c r="A399" t="s">
        <v>599</v>
      </c>
      <c r="B399" t="s">
        <v>69</v>
      </c>
      <c r="C399" t="s">
        <v>28</v>
      </c>
      <c r="D399" t="s">
        <v>29</v>
      </c>
      <c r="E399">
        <v>27.5</v>
      </c>
      <c r="F399">
        <v>10</v>
      </c>
      <c r="G399">
        <v>275</v>
      </c>
      <c r="H399" t="s">
        <v>25</v>
      </c>
      <c r="I399" t="s">
        <v>16</v>
      </c>
      <c r="J399" s="1">
        <v>45047</v>
      </c>
    </row>
    <row r="400" spans="1:11" x14ac:dyDescent="0.3">
      <c r="A400" t="s">
        <v>600</v>
      </c>
      <c r="B400" t="s">
        <v>69</v>
      </c>
      <c r="C400" t="s">
        <v>23</v>
      </c>
      <c r="D400" t="s">
        <v>114</v>
      </c>
      <c r="E400">
        <v>38</v>
      </c>
      <c r="F400">
        <v>5</v>
      </c>
      <c r="G400">
        <v>190</v>
      </c>
      <c r="H400" t="s">
        <v>25</v>
      </c>
      <c r="I400" t="s">
        <v>16</v>
      </c>
      <c r="J400" s="1">
        <v>45188</v>
      </c>
      <c r="K400" t="b">
        <v>0</v>
      </c>
    </row>
    <row r="401" spans="1:11" x14ac:dyDescent="0.3">
      <c r="A401" t="s">
        <v>601</v>
      </c>
      <c r="B401" t="s">
        <v>84</v>
      </c>
      <c r="C401" t="s">
        <v>13</v>
      </c>
      <c r="D401" t="s">
        <v>509</v>
      </c>
      <c r="E401">
        <v>17</v>
      </c>
      <c r="F401">
        <v>4</v>
      </c>
      <c r="G401">
        <v>68</v>
      </c>
      <c r="H401" t="s">
        <v>25</v>
      </c>
      <c r="I401" t="s">
        <v>38</v>
      </c>
      <c r="J401" s="1">
        <v>45110</v>
      </c>
    </row>
    <row r="402" spans="1:11" x14ac:dyDescent="0.3">
      <c r="A402" t="s">
        <v>602</v>
      </c>
      <c r="B402" t="s">
        <v>18</v>
      </c>
      <c r="C402" t="s">
        <v>19</v>
      </c>
      <c r="D402" t="s">
        <v>284</v>
      </c>
      <c r="E402">
        <v>8</v>
      </c>
      <c r="F402">
        <v>8</v>
      </c>
      <c r="G402">
        <v>64</v>
      </c>
      <c r="H402" t="s">
        <v>15</v>
      </c>
      <c r="I402" t="s">
        <v>16</v>
      </c>
      <c r="J402" s="1">
        <v>45273</v>
      </c>
    </row>
    <row r="403" spans="1:11" x14ac:dyDescent="0.3">
      <c r="A403" t="s">
        <v>603</v>
      </c>
      <c r="B403" t="s">
        <v>27</v>
      </c>
      <c r="C403" t="s">
        <v>13</v>
      </c>
      <c r="D403" t="s">
        <v>92</v>
      </c>
      <c r="E403">
        <v>36.5</v>
      </c>
      <c r="F403">
        <v>5</v>
      </c>
      <c r="G403">
        <v>182.5</v>
      </c>
      <c r="H403" t="s">
        <v>15</v>
      </c>
      <c r="I403" t="s">
        <v>38</v>
      </c>
      <c r="J403" s="1">
        <v>44852</v>
      </c>
      <c r="K403" t="b">
        <v>1</v>
      </c>
    </row>
    <row r="404" spans="1:11" x14ac:dyDescent="0.3">
      <c r="A404" t="s">
        <v>604</v>
      </c>
      <c r="B404" t="s">
        <v>100</v>
      </c>
      <c r="C404" t="s">
        <v>66</v>
      </c>
      <c r="D404" t="s">
        <v>486</v>
      </c>
      <c r="E404">
        <v>20</v>
      </c>
      <c r="F404">
        <v>3</v>
      </c>
      <c r="G404">
        <v>60</v>
      </c>
      <c r="H404" t="s">
        <v>25</v>
      </c>
      <c r="I404" t="s">
        <v>38</v>
      </c>
      <c r="J404" s="1">
        <v>45045</v>
      </c>
    </row>
    <row r="405" spans="1:11" x14ac:dyDescent="0.3">
      <c r="A405" t="s">
        <v>605</v>
      </c>
      <c r="B405" t="s">
        <v>65</v>
      </c>
      <c r="C405" t="s">
        <v>32</v>
      </c>
      <c r="D405" t="s">
        <v>94</v>
      </c>
      <c r="E405">
        <v>20</v>
      </c>
      <c r="F405">
        <v>3</v>
      </c>
      <c r="G405">
        <v>60</v>
      </c>
      <c r="H405" t="s">
        <v>48</v>
      </c>
      <c r="I405" t="s">
        <v>16</v>
      </c>
      <c r="J405" s="1">
        <v>45417</v>
      </c>
      <c r="K405" t="b">
        <v>0</v>
      </c>
    </row>
    <row r="406" spans="1:11" x14ac:dyDescent="0.3">
      <c r="A406" t="s">
        <v>606</v>
      </c>
      <c r="B406" t="s">
        <v>98</v>
      </c>
      <c r="C406" t="s">
        <v>13</v>
      </c>
      <c r="D406" t="s">
        <v>61</v>
      </c>
      <c r="E406">
        <v>29</v>
      </c>
      <c r="F406">
        <v>8</v>
      </c>
      <c r="G406">
        <v>232</v>
      </c>
      <c r="H406" t="s">
        <v>48</v>
      </c>
      <c r="I406" t="s">
        <v>16</v>
      </c>
      <c r="J406" s="1">
        <v>45612</v>
      </c>
    </row>
    <row r="407" spans="1:11" x14ac:dyDescent="0.3">
      <c r="A407" t="s">
        <v>607</v>
      </c>
      <c r="B407" t="s">
        <v>22</v>
      </c>
      <c r="C407" t="s">
        <v>130</v>
      </c>
      <c r="D407" t="s">
        <v>154</v>
      </c>
      <c r="E407">
        <v>39.5</v>
      </c>
      <c r="F407">
        <v>8</v>
      </c>
      <c r="G407">
        <v>316</v>
      </c>
      <c r="H407" t="s">
        <v>48</v>
      </c>
      <c r="I407" t="s">
        <v>16</v>
      </c>
      <c r="J407" s="1">
        <v>45649</v>
      </c>
      <c r="K407" t="b">
        <v>1</v>
      </c>
    </row>
    <row r="408" spans="1:11" x14ac:dyDescent="0.3">
      <c r="A408" t="s">
        <v>608</v>
      </c>
      <c r="B408" t="s">
        <v>168</v>
      </c>
      <c r="C408" t="s">
        <v>130</v>
      </c>
      <c r="D408" t="s">
        <v>158</v>
      </c>
      <c r="E408">
        <v>36.5</v>
      </c>
      <c r="F408">
        <v>2</v>
      </c>
      <c r="G408">
        <v>73</v>
      </c>
      <c r="H408" t="s">
        <v>48</v>
      </c>
      <c r="I408" t="s">
        <v>38</v>
      </c>
      <c r="J408" s="1">
        <v>45045</v>
      </c>
      <c r="K408" t="b">
        <v>0</v>
      </c>
    </row>
    <row r="409" spans="1:11" x14ac:dyDescent="0.3">
      <c r="A409" t="s">
        <v>609</v>
      </c>
      <c r="B409" t="s">
        <v>27</v>
      </c>
      <c r="C409" t="s">
        <v>41</v>
      </c>
      <c r="D409" t="s">
        <v>610</v>
      </c>
      <c r="E409">
        <v>17</v>
      </c>
      <c r="F409">
        <v>4</v>
      </c>
      <c r="G409">
        <v>68</v>
      </c>
      <c r="H409" t="s">
        <v>48</v>
      </c>
      <c r="I409" t="s">
        <v>38</v>
      </c>
      <c r="J409" s="1">
        <v>44878</v>
      </c>
      <c r="K409" t="b">
        <v>0</v>
      </c>
    </row>
    <row r="410" spans="1:11" x14ac:dyDescent="0.3">
      <c r="A410" t="s">
        <v>611</v>
      </c>
      <c r="B410" t="s">
        <v>55</v>
      </c>
      <c r="C410" t="s">
        <v>66</v>
      </c>
      <c r="D410" t="s">
        <v>101</v>
      </c>
      <c r="E410">
        <v>35</v>
      </c>
      <c r="F410">
        <v>8</v>
      </c>
      <c r="G410">
        <v>280</v>
      </c>
      <c r="H410" t="s">
        <v>25</v>
      </c>
      <c r="I410" t="s">
        <v>16</v>
      </c>
      <c r="J410" s="1">
        <v>45531</v>
      </c>
      <c r="K410" t="b">
        <v>0</v>
      </c>
    </row>
    <row r="411" spans="1:11" x14ac:dyDescent="0.3">
      <c r="A411" t="s">
        <v>612</v>
      </c>
      <c r="B411" t="s">
        <v>65</v>
      </c>
      <c r="C411" t="s">
        <v>66</v>
      </c>
      <c r="E411">
        <v>41</v>
      </c>
      <c r="H411" t="s">
        <v>15</v>
      </c>
      <c r="I411" t="s">
        <v>16</v>
      </c>
      <c r="J411" s="1">
        <v>44722</v>
      </c>
    </row>
    <row r="412" spans="1:11" x14ac:dyDescent="0.3">
      <c r="A412" t="s">
        <v>613</v>
      </c>
      <c r="B412" t="s">
        <v>100</v>
      </c>
      <c r="C412" t="s">
        <v>130</v>
      </c>
      <c r="D412" t="s">
        <v>361</v>
      </c>
      <c r="E412">
        <v>32</v>
      </c>
      <c r="F412">
        <v>10</v>
      </c>
      <c r="G412">
        <v>320</v>
      </c>
      <c r="H412" t="s">
        <v>48</v>
      </c>
      <c r="I412" t="s">
        <v>16</v>
      </c>
      <c r="J412" s="1">
        <v>44852</v>
      </c>
    </row>
    <row r="413" spans="1:11" x14ac:dyDescent="0.3">
      <c r="A413" t="s">
        <v>614</v>
      </c>
      <c r="B413" t="s">
        <v>31</v>
      </c>
      <c r="C413" t="s">
        <v>41</v>
      </c>
      <c r="D413" t="s">
        <v>594</v>
      </c>
      <c r="E413">
        <v>33.5</v>
      </c>
      <c r="F413">
        <v>1</v>
      </c>
      <c r="G413">
        <v>33.5</v>
      </c>
      <c r="H413" t="s">
        <v>15</v>
      </c>
      <c r="I413" t="s">
        <v>38</v>
      </c>
      <c r="J413" s="1">
        <v>44833</v>
      </c>
      <c r="K413" t="b">
        <v>0</v>
      </c>
    </row>
    <row r="414" spans="1:11" x14ac:dyDescent="0.3">
      <c r="A414" t="s">
        <v>615</v>
      </c>
      <c r="B414" t="s">
        <v>123</v>
      </c>
      <c r="C414" t="s">
        <v>66</v>
      </c>
      <c r="D414" t="s">
        <v>352</v>
      </c>
      <c r="E414">
        <v>38</v>
      </c>
      <c r="F414">
        <v>6</v>
      </c>
      <c r="G414">
        <v>228</v>
      </c>
      <c r="H414" t="s">
        <v>25</v>
      </c>
      <c r="I414" t="s">
        <v>16</v>
      </c>
      <c r="J414" s="1">
        <v>45311</v>
      </c>
      <c r="K414" t="b">
        <v>1</v>
      </c>
    </row>
    <row r="415" spans="1:11" x14ac:dyDescent="0.3">
      <c r="A415" t="s">
        <v>616</v>
      </c>
      <c r="B415" t="s">
        <v>69</v>
      </c>
      <c r="C415" t="s">
        <v>23</v>
      </c>
      <c r="D415" t="s">
        <v>24</v>
      </c>
      <c r="E415">
        <v>21.5</v>
      </c>
      <c r="F415">
        <v>3</v>
      </c>
      <c r="G415">
        <v>64.5</v>
      </c>
      <c r="H415" t="s">
        <v>15</v>
      </c>
      <c r="I415" t="s">
        <v>16</v>
      </c>
      <c r="J415" s="1">
        <v>44885</v>
      </c>
    </row>
    <row r="416" spans="1:11" x14ac:dyDescent="0.3">
      <c r="A416" t="s">
        <v>617</v>
      </c>
      <c r="B416" t="s">
        <v>74</v>
      </c>
      <c r="C416" t="s">
        <v>23</v>
      </c>
      <c r="D416" t="s">
        <v>24</v>
      </c>
      <c r="E416">
        <v>21.5</v>
      </c>
      <c r="F416">
        <v>8</v>
      </c>
      <c r="G416">
        <v>172</v>
      </c>
      <c r="H416" t="s">
        <v>25</v>
      </c>
      <c r="I416" t="s">
        <v>38</v>
      </c>
      <c r="J416" s="1">
        <v>45071</v>
      </c>
    </row>
    <row r="417" spans="1:11" x14ac:dyDescent="0.3">
      <c r="A417" t="s">
        <v>618</v>
      </c>
      <c r="B417" t="s">
        <v>74</v>
      </c>
      <c r="C417" t="s">
        <v>130</v>
      </c>
      <c r="D417" t="s">
        <v>320</v>
      </c>
      <c r="E417">
        <v>24.5</v>
      </c>
      <c r="F417">
        <v>6</v>
      </c>
      <c r="G417">
        <v>147</v>
      </c>
      <c r="H417" t="s">
        <v>15</v>
      </c>
      <c r="I417" t="s">
        <v>38</v>
      </c>
      <c r="J417" s="1">
        <v>44680</v>
      </c>
      <c r="K417" t="b">
        <v>0</v>
      </c>
    </row>
    <row r="418" spans="1:11" x14ac:dyDescent="0.3">
      <c r="A418" t="s">
        <v>619</v>
      </c>
      <c r="B418" t="s">
        <v>69</v>
      </c>
      <c r="C418" t="s">
        <v>19</v>
      </c>
      <c r="D418" t="s">
        <v>391</v>
      </c>
      <c r="E418">
        <v>6.5</v>
      </c>
      <c r="F418">
        <v>1</v>
      </c>
      <c r="G418">
        <v>6.5</v>
      </c>
      <c r="H418" t="s">
        <v>25</v>
      </c>
      <c r="I418" t="s">
        <v>16</v>
      </c>
      <c r="J418" s="1">
        <v>44572</v>
      </c>
      <c r="K418" t="b">
        <v>0</v>
      </c>
    </row>
    <row r="419" spans="1:11" x14ac:dyDescent="0.3">
      <c r="A419" t="s">
        <v>620</v>
      </c>
      <c r="B419" t="s">
        <v>89</v>
      </c>
      <c r="C419" t="s">
        <v>130</v>
      </c>
      <c r="D419" t="s">
        <v>621</v>
      </c>
      <c r="E419">
        <v>21.5</v>
      </c>
      <c r="F419">
        <v>9</v>
      </c>
      <c r="G419">
        <v>193.5</v>
      </c>
      <c r="H419" t="s">
        <v>48</v>
      </c>
      <c r="I419" t="s">
        <v>16</v>
      </c>
      <c r="J419" s="1">
        <v>45600</v>
      </c>
      <c r="K419" t="b">
        <v>0</v>
      </c>
    </row>
    <row r="420" spans="1:11" x14ac:dyDescent="0.3">
      <c r="A420" t="s">
        <v>622</v>
      </c>
      <c r="B420" t="s">
        <v>98</v>
      </c>
      <c r="C420" t="s">
        <v>66</v>
      </c>
      <c r="D420" t="s">
        <v>346</v>
      </c>
      <c r="E420">
        <v>33.5</v>
      </c>
      <c r="F420">
        <v>4</v>
      </c>
      <c r="G420">
        <v>134</v>
      </c>
      <c r="H420" t="s">
        <v>25</v>
      </c>
      <c r="I420" t="s">
        <v>16</v>
      </c>
      <c r="J420" s="1">
        <v>45303</v>
      </c>
    </row>
    <row r="421" spans="1:11" x14ac:dyDescent="0.3">
      <c r="A421" t="s">
        <v>623</v>
      </c>
      <c r="B421" t="s">
        <v>113</v>
      </c>
      <c r="C421" t="s">
        <v>41</v>
      </c>
      <c r="F421">
        <v>1</v>
      </c>
      <c r="G421">
        <v>27.5</v>
      </c>
      <c r="H421" t="s">
        <v>25</v>
      </c>
      <c r="I421" t="s">
        <v>16</v>
      </c>
      <c r="J421" s="1">
        <v>44641</v>
      </c>
      <c r="K421" t="b">
        <v>0</v>
      </c>
    </row>
    <row r="422" spans="1:11" x14ac:dyDescent="0.3">
      <c r="A422" t="s">
        <v>624</v>
      </c>
      <c r="B422" t="s">
        <v>113</v>
      </c>
      <c r="C422" t="s">
        <v>66</v>
      </c>
      <c r="D422" t="s">
        <v>464</v>
      </c>
      <c r="E422">
        <v>11</v>
      </c>
      <c r="F422">
        <v>3</v>
      </c>
      <c r="G422">
        <v>33</v>
      </c>
      <c r="H422" t="s">
        <v>48</v>
      </c>
      <c r="I422" t="s">
        <v>38</v>
      </c>
      <c r="J422" s="1">
        <v>45322</v>
      </c>
      <c r="K422" t="b">
        <v>0</v>
      </c>
    </row>
    <row r="423" spans="1:11" x14ac:dyDescent="0.3">
      <c r="A423" t="s">
        <v>625</v>
      </c>
      <c r="B423" t="s">
        <v>98</v>
      </c>
      <c r="C423" t="s">
        <v>23</v>
      </c>
      <c r="D423" t="s">
        <v>47</v>
      </c>
      <c r="E423">
        <v>36.5</v>
      </c>
      <c r="F423">
        <v>8</v>
      </c>
      <c r="G423">
        <v>292</v>
      </c>
      <c r="H423" t="s">
        <v>15</v>
      </c>
      <c r="I423" t="s">
        <v>16</v>
      </c>
      <c r="J423" s="1">
        <v>45107</v>
      </c>
    </row>
    <row r="424" spans="1:11" x14ac:dyDescent="0.3">
      <c r="A424" t="s">
        <v>626</v>
      </c>
      <c r="B424" t="s">
        <v>43</v>
      </c>
      <c r="C424" t="s">
        <v>66</v>
      </c>
      <c r="D424" t="s">
        <v>322</v>
      </c>
      <c r="E424">
        <v>32</v>
      </c>
      <c r="F424">
        <v>6</v>
      </c>
      <c r="G424">
        <v>192</v>
      </c>
      <c r="H424" t="s">
        <v>25</v>
      </c>
      <c r="I424" t="s">
        <v>38</v>
      </c>
      <c r="J424" s="1">
        <v>45284</v>
      </c>
    </row>
    <row r="425" spans="1:11" x14ac:dyDescent="0.3">
      <c r="A425" t="s">
        <v>627</v>
      </c>
      <c r="B425" t="s">
        <v>65</v>
      </c>
      <c r="C425" t="s">
        <v>23</v>
      </c>
      <c r="D425" t="s">
        <v>24</v>
      </c>
      <c r="E425">
        <v>21.5</v>
      </c>
      <c r="F425">
        <v>10</v>
      </c>
      <c r="G425">
        <v>215</v>
      </c>
      <c r="H425" t="s">
        <v>48</v>
      </c>
      <c r="I425" t="s">
        <v>16</v>
      </c>
      <c r="J425" s="1">
        <v>44755</v>
      </c>
      <c r="K425" t="b">
        <v>1</v>
      </c>
    </row>
    <row r="426" spans="1:11" x14ac:dyDescent="0.3">
      <c r="A426" t="s">
        <v>628</v>
      </c>
      <c r="B426" t="s">
        <v>40</v>
      </c>
      <c r="C426" t="s">
        <v>130</v>
      </c>
      <c r="D426" t="s">
        <v>158</v>
      </c>
      <c r="E426">
        <v>36.5</v>
      </c>
      <c r="F426">
        <v>9</v>
      </c>
      <c r="G426">
        <v>328.5</v>
      </c>
      <c r="H426" t="s">
        <v>48</v>
      </c>
      <c r="I426" t="s">
        <v>16</v>
      </c>
      <c r="J426" s="1">
        <v>44984</v>
      </c>
      <c r="K426" t="b">
        <v>0</v>
      </c>
    </row>
    <row r="427" spans="1:11" x14ac:dyDescent="0.3">
      <c r="A427" t="s">
        <v>629</v>
      </c>
      <c r="B427" t="s">
        <v>22</v>
      </c>
      <c r="C427" t="s">
        <v>28</v>
      </c>
      <c r="D427" t="s">
        <v>117</v>
      </c>
      <c r="E427">
        <v>36.5</v>
      </c>
      <c r="F427">
        <v>4</v>
      </c>
      <c r="G427">
        <v>146</v>
      </c>
      <c r="H427" t="s">
        <v>15</v>
      </c>
      <c r="I427" t="s">
        <v>38</v>
      </c>
      <c r="J427" s="1">
        <v>44748</v>
      </c>
      <c r="K427" t="b">
        <v>0</v>
      </c>
    </row>
    <row r="428" spans="1:11" x14ac:dyDescent="0.3">
      <c r="A428" t="s">
        <v>630</v>
      </c>
      <c r="B428" t="s">
        <v>43</v>
      </c>
      <c r="C428" t="s">
        <v>32</v>
      </c>
      <c r="D428" t="s">
        <v>78</v>
      </c>
      <c r="E428">
        <v>18.5</v>
      </c>
      <c r="F428">
        <v>6</v>
      </c>
      <c r="G428">
        <v>111</v>
      </c>
      <c r="H428" t="s">
        <v>48</v>
      </c>
      <c r="I428" t="s">
        <v>16</v>
      </c>
      <c r="J428" s="1">
        <v>45364</v>
      </c>
    </row>
    <row r="429" spans="1:11" x14ac:dyDescent="0.3">
      <c r="A429" t="s">
        <v>631</v>
      </c>
      <c r="B429" t="s">
        <v>98</v>
      </c>
      <c r="C429" t="s">
        <v>19</v>
      </c>
      <c r="D429" t="s">
        <v>58</v>
      </c>
      <c r="E429">
        <v>27.5</v>
      </c>
      <c r="F429">
        <v>8</v>
      </c>
      <c r="G429">
        <v>220</v>
      </c>
      <c r="H429" t="s">
        <v>15</v>
      </c>
      <c r="I429" t="s">
        <v>16</v>
      </c>
      <c r="J429" s="1">
        <v>45409</v>
      </c>
      <c r="K429" t="b">
        <v>1</v>
      </c>
    </row>
    <row r="430" spans="1:11" x14ac:dyDescent="0.3">
      <c r="A430" t="s">
        <v>632</v>
      </c>
      <c r="B430" t="s">
        <v>100</v>
      </c>
      <c r="C430" t="s">
        <v>23</v>
      </c>
      <c r="D430" t="s">
        <v>355</v>
      </c>
      <c r="E430">
        <v>14</v>
      </c>
      <c r="F430">
        <v>2</v>
      </c>
      <c r="G430">
        <v>28</v>
      </c>
      <c r="H430" t="s">
        <v>48</v>
      </c>
      <c r="I430" t="s">
        <v>38</v>
      </c>
      <c r="J430" s="1">
        <v>45325</v>
      </c>
      <c r="K430" t="b">
        <v>0</v>
      </c>
    </row>
    <row r="431" spans="1:11" x14ac:dyDescent="0.3">
      <c r="A431" t="s">
        <v>633</v>
      </c>
      <c r="B431" t="s">
        <v>55</v>
      </c>
      <c r="C431" t="s">
        <v>41</v>
      </c>
      <c r="D431" t="s">
        <v>295</v>
      </c>
      <c r="E431">
        <v>6.5</v>
      </c>
      <c r="F431">
        <v>6</v>
      </c>
      <c r="G431">
        <v>39</v>
      </c>
      <c r="H431" t="s">
        <v>15</v>
      </c>
      <c r="I431" t="s">
        <v>16</v>
      </c>
      <c r="J431" s="1">
        <v>45602</v>
      </c>
    </row>
    <row r="432" spans="1:11" x14ac:dyDescent="0.3">
      <c r="A432" t="s">
        <v>634</v>
      </c>
      <c r="B432" t="s">
        <v>22</v>
      </c>
      <c r="C432" t="s">
        <v>66</v>
      </c>
      <c r="D432" t="s">
        <v>367</v>
      </c>
      <c r="E432">
        <v>21.5</v>
      </c>
      <c r="F432">
        <v>7</v>
      </c>
      <c r="G432">
        <v>150.5</v>
      </c>
      <c r="H432" t="s">
        <v>48</v>
      </c>
      <c r="I432" t="s">
        <v>38</v>
      </c>
      <c r="J432" s="1">
        <v>45365</v>
      </c>
      <c r="K432" t="b">
        <v>1</v>
      </c>
    </row>
    <row r="433" spans="1:11" x14ac:dyDescent="0.3">
      <c r="A433" t="s">
        <v>635</v>
      </c>
      <c r="B433" t="s">
        <v>77</v>
      </c>
      <c r="C433" t="s">
        <v>19</v>
      </c>
      <c r="D433" t="s">
        <v>250</v>
      </c>
      <c r="E433">
        <v>38</v>
      </c>
      <c r="F433">
        <v>9</v>
      </c>
      <c r="G433">
        <v>342</v>
      </c>
      <c r="H433" t="s">
        <v>48</v>
      </c>
      <c r="I433" t="s">
        <v>16</v>
      </c>
      <c r="J433" s="1">
        <v>44818</v>
      </c>
      <c r="K433" t="b">
        <v>1</v>
      </c>
    </row>
    <row r="434" spans="1:11" x14ac:dyDescent="0.3">
      <c r="A434" t="s">
        <v>636</v>
      </c>
      <c r="B434" t="s">
        <v>84</v>
      </c>
      <c r="C434" t="s">
        <v>130</v>
      </c>
      <c r="D434" t="s">
        <v>139</v>
      </c>
      <c r="E434">
        <v>11</v>
      </c>
      <c r="F434">
        <v>3</v>
      </c>
      <c r="G434">
        <v>33</v>
      </c>
      <c r="H434" t="s">
        <v>15</v>
      </c>
      <c r="I434" t="s">
        <v>16</v>
      </c>
      <c r="J434" s="1">
        <v>45372</v>
      </c>
      <c r="K434" t="b">
        <v>0</v>
      </c>
    </row>
    <row r="435" spans="1:11" x14ac:dyDescent="0.3">
      <c r="A435" t="s">
        <v>637</v>
      </c>
      <c r="B435" t="s">
        <v>63</v>
      </c>
      <c r="C435" t="s">
        <v>13</v>
      </c>
      <c r="D435" t="s">
        <v>164</v>
      </c>
      <c r="E435">
        <v>24.5</v>
      </c>
      <c r="F435">
        <v>6</v>
      </c>
      <c r="G435">
        <v>147</v>
      </c>
      <c r="H435" t="s">
        <v>48</v>
      </c>
      <c r="I435" t="s">
        <v>38</v>
      </c>
      <c r="J435" s="1">
        <v>45663</v>
      </c>
      <c r="K435" t="b">
        <v>1</v>
      </c>
    </row>
    <row r="436" spans="1:11" x14ac:dyDescent="0.3">
      <c r="A436" t="s">
        <v>638</v>
      </c>
      <c r="B436" t="s">
        <v>65</v>
      </c>
      <c r="C436" t="s">
        <v>130</v>
      </c>
      <c r="D436" t="s">
        <v>621</v>
      </c>
      <c r="E436">
        <v>21.5</v>
      </c>
      <c r="F436">
        <v>3</v>
      </c>
      <c r="G436">
        <v>64.5</v>
      </c>
      <c r="H436" t="s">
        <v>48</v>
      </c>
      <c r="I436" t="s">
        <v>16</v>
      </c>
      <c r="J436" s="1">
        <v>45274</v>
      </c>
    </row>
    <row r="437" spans="1:11" x14ac:dyDescent="0.3">
      <c r="A437" t="s">
        <v>639</v>
      </c>
      <c r="B437" t="s">
        <v>40</v>
      </c>
      <c r="C437" t="s">
        <v>66</v>
      </c>
      <c r="E437">
        <v>12.5</v>
      </c>
      <c r="H437" t="s">
        <v>25</v>
      </c>
      <c r="I437" t="s">
        <v>38</v>
      </c>
      <c r="J437" s="1">
        <v>44813</v>
      </c>
      <c r="K437" t="b">
        <v>0</v>
      </c>
    </row>
    <row r="438" spans="1:11" x14ac:dyDescent="0.3">
      <c r="A438" t="s">
        <v>640</v>
      </c>
      <c r="B438" t="s">
        <v>31</v>
      </c>
      <c r="C438" t="s">
        <v>23</v>
      </c>
      <c r="D438" t="s">
        <v>383</v>
      </c>
      <c r="E438">
        <v>41</v>
      </c>
      <c r="F438">
        <v>5</v>
      </c>
      <c r="G438">
        <v>205</v>
      </c>
      <c r="H438" t="s">
        <v>48</v>
      </c>
      <c r="I438" t="s">
        <v>16</v>
      </c>
      <c r="J438" s="1">
        <v>44711</v>
      </c>
    </row>
    <row r="439" spans="1:11" x14ac:dyDescent="0.3">
      <c r="A439" t="s">
        <v>641</v>
      </c>
      <c r="B439" t="s">
        <v>18</v>
      </c>
      <c r="C439" t="s">
        <v>41</v>
      </c>
      <c r="D439" t="s">
        <v>295</v>
      </c>
      <c r="E439">
        <v>6.5</v>
      </c>
      <c r="F439">
        <v>5</v>
      </c>
      <c r="G439">
        <v>32.5</v>
      </c>
      <c r="H439" t="s">
        <v>48</v>
      </c>
      <c r="I439" t="s">
        <v>38</v>
      </c>
      <c r="J439" s="1">
        <v>44737</v>
      </c>
      <c r="K439" t="b">
        <v>0</v>
      </c>
    </row>
    <row r="440" spans="1:11" x14ac:dyDescent="0.3">
      <c r="A440" t="s">
        <v>642</v>
      </c>
      <c r="B440" t="s">
        <v>89</v>
      </c>
      <c r="C440" t="s">
        <v>66</v>
      </c>
      <c r="D440" t="s">
        <v>643</v>
      </c>
      <c r="E440">
        <v>26</v>
      </c>
      <c r="F440">
        <v>7</v>
      </c>
      <c r="G440">
        <v>182</v>
      </c>
      <c r="H440" t="s">
        <v>15</v>
      </c>
      <c r="I440" t="s">
        <v>38</v>
      </c>
      <c r="J440" s="1">
        <v>44699</v>
      </c>
    </row>
    <row r="441" spans="1:11" x14ac:dyDescent="0.3">
      <c r="A441" t="s">
        <v>644</v>
      </c>
      <c r="B441" t="s">
        <v>40</v>
      </c>
      <c r="C441" t="s">
        <v>66</v>
      </c>
      <c r="D441" t="s">
        <v>246</v>
      </c>
      <c r="E441">
        <v>15.5</v>
      </c>
      <c r="F441">
        <v>6</v>
      </c>
      <c r="G441">
        <v>93</v>
      </c>
      <c r="H441" t="s">
        <v>25</v>
      </c>
      <c r="I441" t="s">
        <v>16</v>
      </c>
      <c r="J441" s="1">
        <v>44803</v>
      </c>
    </row>
    <row r="442" spans="1:11" x14ac:dyDescent="0.3">
      <c r="A442" t="s">
        <v>645</v>
      </c>
      <c r="B442" t="s">
        <v>69</v>
      </c>
      <c r="C442" t="s">
        <v>130</v>
      </c>
      <c r="D442" t="s">
        <v>149</v>
      </c>
      <c r="E442">
        <v>26</v>
      </c>
      <c r="F442">
        <v>1</v>
      </c>
      <c r="G442">
        <v>26</v>
      </c>
      <c r="H442" t="s">
        <v>15</v>
      </c>
      <c r="I442" t="s">
        <v>16</v>
      </c>
      <c r="J442" s="1">
        <v>45435</v>
      </c>
    </row>
    <row r="443" spans="1:11" x14ac:dyDescent="0.3">
      <c r="A443" t="s">
        <v>646</v>
      </c>
      <c r="B443" t="s">
        <v>46</v>
      </c>
      <c r="C443" t="s">
        <v>13</v>
      </c>
      <c r="D443" t="s">
        <v>509</v>
      </c>
      <c r="E443">
        <v>17</v>
      </c>
      <c r="F443">
        <v>6</v>
      </c>
      <c r="G443">
        <v>102</v>
      </c>
      <c r="H443" t="s">
        <v>48</v>
      </c>
      <c r="I443" t="s">
        <v>38</v>
      </c>
      <c r="J443" s="1">
        <v>45511</v>
      </c>
    </row>
    <row r="444" spans="1:11" x14ac:dyDescent="0.3">
      <c r="A444" t="s">
        <v>647</v>
      </c>
      <c r="B444" t="s">
        <v>100</v>
      </c>
      <c r="C444" t="s">
        <v>23</v>
      </c>
      <c r="D444" t="s">
        <v>217</v>
      </c>
      <c r="E444">
        <v>35</v>
      </c>
      <c r="F444">
        <v>1</v>
      </c>
      <c r="G444">
        <v>35</v>
      </c>
      <c r="H444" t="s">
        <v>15</v>
      </c>
      <c r="I444" t="s">
        <v>38</v>
      </c>
      <c r="J444" s="1">
        <v>45274</v>
      </c>
      <c r="K444" t="b">
        <v>1</v>
      </c>
    </row>
    <row r="445" spans="1:11" x14ac:dyDescent="0.3">
      <c r="A445" t="s">
        <v>648</v>
      </c>
      <c r="B445" t="s">
        <v>113</v>
      </c>
      <c r="C445" t="s">
        <v>32</v>
      </c>
      <c r="F445">
        <v>2</v>
      </c>
      <c r="G445">
        <v>46</v>
      </c>
      <c r="H445" t="s">
        <v>15</v>
      </c>
      <c r="I445" t="s">
        <v>16</v>
      </c>
      <c r="J445" s="1">
        <v>45279</v>
      </c>
    </row>
    <row r="446" spans="1:11" x14ac:dyDescent="0.3">
      <c r="A446" t="s">
        <v>649</v>
      </c>
      <c r="B446" t="s">
        <v>84</v>
      </c>
      <c r="C446" t="s">
        <v>32</v>
      </c>
      <c r="D446" t="s">
        <v>237</v>
      </c>
      <c r="E446">
        <v>17</v>
      </c>
      <c r="F446">
        <v>4</v>
      </c>
      <c r="G446">
        <v>68</v>
      </c>
      <c r="H446" t="s">
        <v>48</v>
      </c>
      <c r="I446" t="s">
        <v>38</v>
      </c>
      <c r="J446" s="1">
        <v>44955</v>
      </c>
      <c r="K446" t="b">
        <v>1</v>
      </c>
    </row>
    <row r="447" spans="1:11" x14ac:dyDescent="0.3">
      <c r="A447" t="s">
        <v>650</v>
      </c>
      <c r="B447" t="s">
        <v>31</v>
      </c>
      <c r="C447" t="s">
        <v>41</v>
      </c>
      <c r="D447" t="s">
        <v>81</v>
      </c>
      <c r="E447">
        <v>24.5</v>
      </c>
      <c r="F447">
        <v>4</v>
      </c>
      <c r="G447">
        <v>98</v>
      </c>
      <c r="H447" t="s">
        <v>25</v>
      </c>
      <c r="I447" t="s">
        <v>38</v>
      </c>
      <c r="J447" s="1">
        <v>44860</v>
      </c>
      <c r="K447" t="b">
        <v>1</v>
      </c>
    </row>
    <row r="448" spans="1:11" x14ac:dyDescent="0.3">
      <c r="A448" t="s">
        <v>651</v>
      </c>
      <c r="B448" t="s">
        <v>113</v>
      </c>
      <c r="C448" t="s">
        <v>130</v>
      </c>
      <c r="D448" t="s">
        <v>131</v>
      </c>
      <c r="E448">
        <v>27.5</v>
      </c>
      <c r="F448">
        <v>9</v>
      </c>
      <c r="G448">
        <v>247.5</v>
      </c>
      <c r="H448" t="s">
        <v>48</v>
      </c>
      <c r="I448" t="s">
        <v>16</v>
      </c>
      <c r="J448" s="1">
        <v>44939</v>
      </c>
      <c r="K448" t="b">
        <v>0</v>
      </c>
    </row>
    <row r="449" spans="1:11" x14ac:dyDescent="0.3">
      <c r="A449" t="s">
        <v>652</v>
      </c>
      <c r="B449" t="s">
        <v>31</v>
      </c>
      <c r="C449" t="s">
        <v>13</v>
      </c>
      <c r="D449" t="s">
        <v>207</v>
      </c>
      <c r="E449">
        <v>9.5</v>
      </c>
      <c r="F449">
        <v>2</v>
      </c>
      <c r="G449">
        <v>19</v>
      </c>
      <c r="H449" t="s">
        <v>15</v>
      </c>
      <c r="I449" t="s">
        <v>38</v>
      </c>
      <c r="J449" s="1">
        <v>45112</v>
      </c>
      <c r="K449" t="b">
        <v>1</v>
      </c>
    </row>
    <row r="450" spans="1:11" x14ac:dyDescent="0.3">
      <c r="A450" t="s">
        <v>653</v>
      </c>
      <c r="B450" t="s">
        <v>116</v>
      </c>
      <c r="C450" t="s">
        <v>13</v>
      </c>
      <c r="D450" t="s">
        <v>207</v>
      </c>
      <c r="E450">
        <v>9.5</v>
      </c>
      <c r="F450">
        <v>2</v>
      </c>
      <c r="G450">
        <v>19</v>
      </c>
      <c r="H450" t="s">
        <v>15</v>
      </c>
      <c r="I450" t="s">
        <v>16</v>
      </c>
      <c r="J450" s="1">
        <v>44934</v>
      </c>
    </row>
    <row r="451" spans="1:11" x14ac:dyDescent="0.3">
      <c r="A451" t="s">
        <v>654</v>
      </c>
      <c r="B451" t="s">
        <v>27</v>
      </c>
      <c r="C451" t="s">
        <v>23</v>
      </c>
      <c r="D451" t="s">
        <v>85</v>
      </c>
      <c r="E451">
        <v>33.5</v>
      </c>
      <c r="F451">
        <v>2</v>
      </c>
      <c r="G451">
        <v>67</v>
      </c>
      <c r="H451" t="s">
        <v>25</v>
      </c>
      <c r="I451" t="s">
        <v>38</v>
      </c>
      <c r="J451" s="1">
        <v>45378</v>
      </c>
      <c r="K451" t="b">
        <v>0</v>
      </c>
    </row>
    <row r="452" spans="1:11" x14ac:dyDescent="0.3">
      <c r="A452" t="s">
        <v>655</v>
      </c>
      <c r="B452" t="s">
        <v>69</v>
      </c>
      <c r="C452" t="s">
        <v>13</v>
      </c>
      <c r="D452" t="s">
        <v>656</v>
      </c>
      <c r="E452">
        <v>11</v>
      </c>
      <c r="F452">
        <v>10</v>
      </c>
      <c r="G452">
        <v>110</v>
      </c>
      <c r="H452" t="s">
        <v>48</v>
      </c>
      <c r="I452" t="s">
        <v>38</v>
      </c>
      <c r="J452" s="1">
        <v>45590</v>
      </c>
      <c r="K452" t="b">
        <v>1</v>
      </c>
    </row>
    <row r="453" spans="1:11" x14ac:dyDescent="0.3">
      <c r="A453" t="s">
        <v>657</v>
      </c>
      <c r="B453" t="s">
        <v>80</v>
      </c>
      <c r="C453" t="s">
        <v>32</v>
      </c>
      <c r="E453">
        <v>26</v>
      </c>
      <c r="H453" t="s">
        <v>48</v>
      </c>
      <c r="I453" t="s">
        <v>16</v>
      </c>
      <c r="J453" s="1">
        <v>45313</v>
      </c>
      <c r="K453" t="b">
        <v>1</v>
      </c>
    </row>
    <row r="454" spans="1:11" x14ac:dyDescent="0.3">
      <c r="A454" t="s">
        <v>658</v>
      </c>
      <c r="B454" t="s">
        <v>69</v>
      </c>
      <c r="C454" t="s">
        <v>13</v>
      </c>
      <c r="D454" t="s">
        <v>61</v>
      </c>
      <c r="E454">
        <v>29</v>
      </c>
      <c r="F454">
        <v>10</v>
      </c>
      <c r="G454">
        <v>290</v>
      </c>
      <c r="H454" t="s">
        <v>15</v>
      </c>
      <c r="I454" t="s">
        <v>16</v>
      </c>
      <c r="J454" s="1">
        <v>45545</v>
      </c>
      <c r="K454" t="b">
        <v>1</v>
      </c>
    </row>
    <row r="455" spans="1:11" x14ac:dyDescent="0.3">
      <c r="A455" t="s">
        <v>659</v>
      </c>
      <c r="B455" t="s">
        <v>80</v>
      </c>
      <c r="C455" t="s">
        <v>32</v>
      </c>
      <c r="D455" t="s">
        <v>94</v>
      </c>
      <c r="E455">
        <v>20</v>
      </c>
      <c r="F455">
        <v>6</v>
      </c>
      <c r="G455">
        <v>120</v>
      </c>
      <c r="H455" t="s">
        <v>15</v>
      </c>
      <c r="I455" t="s">
        <v>16</v>
      </c>
      <c r="J455" s="1">
        <v>45516</v>
      </c>
      <c r="K455" t="b">
        <v>0</v>
      </c>
    </row>
    <row r="456" spans="1:11" x14ac:dyDescent="0.3">
      <c r="A456" t="s">
        <v>660</v>
      </c>
      <c r="B456" t="s">
        <v>89</v>
      </c>
      <c r="C456" t="s">
        <v>28</v>
      </c>
      <c r="D456" t="s">
        <v>124</v>
      </c>
      <c r="E456">
        <v>15.5</v>
      </c>
      <c r="F456">
        <v>5</v>
      </c>
      <c r="G456">
        <v>77.5</v>
      </c>
      <c r="H456" t="s">
        <v>48</v>
      </c>
      <c r="I456" t="s">
        <v>16</v>
      </c>
      <c r="J456" s="1">
        <v>44655</v>
      </c>
    </row>
    <row r="457" spans="1:11" x14ac:dyDescent="0.3">
      <c r="A457" t="s">
        <v>661</v>
      </c>
      <c r="B457" t="s">
        <v>89</v>
      </c>
      <c r="C457" t="s">
        <v>19</v>
      </c>
      <c r="D457" t="s">
        <v>662</v>
      </c>
      <c r="E457">
        <v>30.5</v>
      </c>
      <c r="F457">
        <v>2</v>
      </c>
      <c r="G457">
        <v>61</v>
      </c>
      <c r="H457" t="s">
        <v>48</v>
      </c>
      <c r="I457" t="s">
        <v>16</v>
      </c>
      <c r="J457" s="1">
        <v>45219</v>
      </c>
    </row>
    <row r="458" spans="1:11" x14ac:dyDescent="0.3">
      <c r="A458" t="s">
        <v>663</v>
      </c>
      <c r="B458" t="s">
        <v>55</v>
      </c>
      <c r="C458" t="s">
        <v>23</v>
      </c>
      <c r="D458" t="s">
        <v>551</v>
      </c>
      <c r="E458">
        <v>11</v>
      </c>
      <c r="F458">
        <v>7</v>
      </c>
      <c r="G458">
        <v>77</v>
      </c>
      <c r="H458" t="s">
        <v>48</v>
      </c>
      <c r="I458" t="s">
        <v>38</v>
      </c>
      <c r="J458" s="1">
        <v>45324</v>
      </c>
    </row>
    <row r="459" spans="1:11" x14ac:dyDescent="0.3">
      <c r="A459" t="s">
        <v>664</v>
      </c>
      <c r="B459" t="s">
        <v>12</v>
      </c>
      <c r="C459" t="s">
        <v>41</v>
      </c>
      <c r="D459" t="s">
        <v>87</v>
      </c>
      <c r="E459">
        <v>41</v>
      </c>
      <c r="F459">
        <v>3</v>
      </c>
      <c r="G459">
        <v>123</v>
      </c>
      <c r="H459" t="s">
        <v>25</v>
      </c>
      <c r="I459" t="s">
        <v>16</v>
      </c>
      <c r="J459" s="1">
        <v>45467</v>
      </c>
      <c r="K459" t="b">
        <v>1</v>
      </c>
    </row>
    <row r="460" spans="1:11" x14ac:dyDescent="0.3">
      <c r="A460" t="s">
        <v>665</v>
      </c>
      <c r="B460" t="s">
        <v>168</v>
      </c>
      <c r="C460" t="s">
        <v>130</v>
      </c>
      <c r="D460" t="s">
        <v>335</v>
      </c>
      <c r="E460">
        <v>20</v>
      </c>
      <c r="F460">
        <v>7</v>
      </c>
      <c r="G460">
        <v>140</v>
      </c>
      <c r="H460" t="s">
        <v>48</v>
      </c>
      <c r="I460" t="s">
        <v>38</v>
      </c>
      <c r="J460" s="1">
        <v>45235</v>
      </c>
      <c r="K460" t="b">
        <v>0</v>
      </c>
    </row>
    <row r="461" spans="1:11" x14ac:dyDescent="0.3">
      <c r="A461" t="s">
        <v>666</v>
      </c>
      <c r="B461" t="s">
        <v>18</v>
      </c>
      <c r="C461" t="s">
        <v>13</v>
      </c>
      <c r="D461" t="s">
        <v>172</v>
      </c>
      <c r="E461">
        <v>5</v>
      </c>
      <c r="F461">
        <v>7</v>
      </c>
      <c r="G461">
        <v>35</v>
      </c>
      <c r="H461" t="s">
        <v>15</v>
      </c>
      <c r="I461" t="s">
        <v>16</v>
      </c>
      <c r="J461" s="1">
        <v>45478</v>
      </c>
      <c r="K461" t="b">
        <v>1</v>
      </c>
    </row>
    <row r="462" spans="1:11" x14ac:dyDescent="0.3">
      <c r="A462" t="s">
        <v>667</v>
      </c>
      <c r="B462" t="s">
        <v>69</v>
      </c>
      <c r="C462" t="s">
        <v>32</v>
      </c>
      <c r="F462">
        <v>9</v>
      </c>
      <c r="G462">
        <v>193.5</v>
      </c>
      <c r="H462" t="s">
        <v>25</v>
      </c>
      <c r="I462" t="s">
        <v>38</v>
      </c>
      <c r="J462" s="1">
        <v>45369</v>
      </c>
    </row>
    <row r="463" spans="1:11" x14ac:dyDescent="0.3">
      <c r="A463" t="s">
        <v>668</v>
      </c>
      <c r="B463" t="s">
        <v>46</v>
      </c>
      <c r="C463" t="s">
        <v>32</v>
      </c>
      <c r="F463">
        <v>8</v>
      </c>
      <c r="G463">
        <v>148</v>
      </c>
      <c r="H463" t="s">
        <v>25</v>
      </c>
      <c r="I463" t="s">
        <v>38</v>
      </c>
      <c r="J463" s="1">
        <v>44727</v>
      </c>
    </row>
    <row r="464" spans="1:11" x14ac:dyDescent="0.3">
      <c r="A464" t="s">
        <v>669</v>
      </c>
      <c r="B464" t="s">
        <v>123</v>
      </c>
      <c r="C464" t="s">
        <v>28</v>
      </c>
      <c r="D464" t="s">
        <v>205</v>
      </c>
      <c r="E464">
        <v>24.5</v>
      </c>
      <c r="F464">
        <v>8</v>
      </c>
      <c r="G464">
        <v>196</v>
      </c>
      <c r="H464" t="s">
        <v>15</v>
      </c>
      <c r="I464" t="s">
        <v>38</v>
      </c>
      <c r="J464" s="1">
        <v>45058</v>
      </c>
    </row>
    <row r="465" spans="1:11" x14ac:dyDescent="0.3">
      <c r="A465" t="s">
        <v>670</v>
      </c>
      <c r="B465" t="s">
        <v>77</v>
      </c>
      <c r="C465" t="s">
        <v>32</v>
      </c>
      <c r="E465">
        <v>11</v>
      </c>
      <c r="H465" t="s">
        <v>15</v>
      </c>
      <c r="I465" t="s">
        <v>16</v>
      </c>
      <c r="J465" s="1">
        <v>45520</v>
      </c>
    </row>
    <row r="466" spans="1:11" x14ac:dyDescent="0.3">
      <c r="A466" t="s">
        <v>671</v>
      </c>
      <c r="B466" t="s">
        <v>43</v>
      </c>
      <c r="C466" t="s">
        <v>28</v>
      </c>
      <c r="D466" t="s">
        <v>174</v>
      </c>
      <c r="E466">
        <v>9.5</v>
      </c>
      <c r="F466">
        <v>4</v>
      </c>
      <c r="G466">
        <v>38</v>
      </c>
      <c r="H466" t="s">
        <v>15</v>
      </c>
      <c r="I466" t="s">
        <v>38</v>
      </c>
      <c r="J466" s="1">
        <v>45458</v>
      </c>
    </row>
    <row r="467" spans="1:11" x14ac:dyDescent="0.3">
      <c r="A467" t="s">
        <v>672</v>
      </c>
      <c r="B467" t="s">
        <v>40</v>
      </c>
      <c r="C467" t="s">
        <v>13</v>
      </c>
      <c r="D467" t="s">
        <v>96</v>
      </c>
      <c r="E467">
        <v>12.5</v>
      </c>
      <c r="F467">
        <v>8</v>
      </c>
      <c r="G467">
        <v>100</v>
      </c>
      <c r="H467" t="s">
        <v>15</v>
      </c>
      <c r="I467" t="s">
        <v>38</v>
      </c>
      <c r="J467" s="1">
        <v>44625</v>
      </c>
      <c r="K467" t="b">
        <v>0</v>
      </c>
    </row>
    <row r="468" spans="1:11" x14ac:dyDescent="0.3">
      <c r="A468" t="s">
        <v>673</v>
      </c>
      <c r="B468" t="s">
        <v>43</v>
      </c>
      <c r="C468" t="s">
        <v>41</v>
      </c>
      <c r="D468" t="s">
        <v>674</v>
      </c>
      <c r="E468">
        <v>12.5</v>
      </c>
      <c r="F468">
        <v>10</v>
      </c>
      <c r="G468">
        <v>125</v>
      </c>
      <c r="H468" t="s">
        <v>25</v>
      </c>
      <c r="I468" t="s">
        <v>38</v>
      </c>
      <c r="J468" s="1">
        <v>44673</v>
      </c>
      <c r="K468" t="b">
        <v>1</v>
      </c>
    </row>
    <row r="469" spans="1:11" x14ac:dyDescent="0.3">
      <c r="A469" t="s">
        <v>675</v>
      </c>
      <c r="B469" t="s">
        <v>77</v>
      </c>
      <c r="C469" t="s">
        <v>28</v>
      </c>
      <c r="D469" t="s">
        <v>676</v>
      </c>
      <c r="E469">
        <v>39.5</v>
      </c>
      <c r="F469">
        <v>6</v>
      </c>
      <c r="G469">
        <v>237</v>
      </c>
      <c r="H469" t="s">
        <v>25</v>
      </c>
      <c r="I469" t="s">
        <v>16</v>
      </c>
      <c r="J469" s="1">
        <v>44735</v>
      </c>
      <c r="K469" t="b">
        <v>0</v>
      </c>
    </row>
    <row r="470" spans="1:11" x14ac:dyDescent="0.3">
      <c r="A470" t="s">
        <v>677</v>
      </c>
      <c r="B470" t="s">
        <v>31</v>
      </c>
      <c r="C470" t="s">
        <v>130</v>
      </c>
      <c r="D470" t="s">
        <v>293</v>
      </c>
      <c r="E470">
        <v>12.5</v>
      </c>
      <c r="F470">
        <v>1</v>
      </c>
      <c r="G470">
        <v>12.5</v>
      </c>
      <c r="H470" t="s">
        <v>15</v>
      </c>
      <c r="I470" t="s">
        <v>16</v>
      </c>
      <c r="J470" s="1">
        <v>44795</v>
      </c>
      <c r="K470" t="b">
        <v>0</v>
      </c>
    </row>
    <row r="471" spans="1:11" x14ac:dyDescent="0.3">
      <c r="A471" t="s">
        <v>678</v>
      </c>
      <c r="B471" t="s">
        <v>116</v>
      </c>
      <c r="C471" t="s">
        <v>130</v>
      </c>
      <c r="D471" t="s">
        <v>240</v>
      </c>
      <c r="E471">
        <v>35</v>
      </c>
      <c r="F471">
        <v>6</v>
      </c>
      <c r="G471">
        <v>210</v>
      </c>
      <c r="H471" t="s">
        <v>48</v>
      </c>
      <c r="I471" t="s">
        <v>16</v>
      </c>
      <c r="J471" s="1">
        <v>45574</v>
      </c>
    </row>
    <row r="472" spans="1:11" x14ac:dyDescent="0.3">
      <c r="A472" t="s">
        <v>679</v>
      </c>
      <c r="B472" t="s">
        <v>40</v>
      </c>
      <c r="C472" t="s">
        <v>19</v>
      </c>
      <c r="D472" t="s">
        <v>662</v>
      </c>
      <c r="E472">
        <v>30.5</v>
      </c>
      <c r="F472">
        <v>3</v>
      </c>
      <c r="G472">
        <v>91.5</v>
      </c>
      <c r="H472" t="s">
        <v>48</v>
      </c>
      <c r="I472" t="s">
        <v>16</v>
      </c>
      <c r="J472" s="1">
        <v>44619</v>
      </c>
      <c r="K472" t="b">
        <v>1</v>
      </c>
    </row>
    <row r="473" spans="1:11" x14ac:dyDescent="0.3">
      <c r="A473" t="s">
        <v>680</v>
      </c>
      <c r="B473" t="s">
        <v>84</v>
      </c>
      <c r="C473" t="s">
        <v>66</v>
      </c>
      <c r="D473" t="s">
        <v>349</v>
      </c>
      <c r="E473">
        <v>27.5</v>
      </c>
      <c r="F473">
        <v>5</v>
      </c>
      <c r="G473">
        <v>137.5</v>
      </c>
      <c r="H473" t="s">
        <v>15</v>
      </c>
      <c r="I473" t="s">
        <v>38</v>
      </c>
      <c r="J473" s="1">
        <v>44864</v>
      </c>
      <c r="K473" t="b">
        <v>1</v>
      </c>
    </row>
    <row r="474" spans="1:11" x14ac:dyDescent="0.3">
      <c r="A474" t="s">
        <v>681</v>
      </c>
      <c r="B474" t="s">
        <v>108</v>
      </c>
      <c r="C474" t="s">
        <v>19</v>
      </c>
      <c r="F474">
        <v>10</v>
      </c>
      <c r="G474">
        <v>95</v>
      </c>
      <c r="H474" t="s">
        <v>15</v>
      </c>
      <c r="I474" t="s">
        <v>16</v>
      </c>
      <c r="J474" s="1">
        <v>45355</v>
      </c>
      <c r="K474" t="b">
        <v>1</v>
      </c>
    </row>
    <row r="475" spans="1:11" x14ac:dyDescent="0.3">
      <c r="A475" t="s">
        <v>682</v>
      </c>
      <c r="B475" t="s">
        <v>113</v>
      </c>
      <c r="C475" t="s">
        <v>19</v>
      </c>
      <c r="D475" t="s">
        <v>683</v>
      </c>
      <c r="E475">
        <v>24.5</v>
      </c>
      <c r="F475">
        <v>10</v>
      </c>
      <c r="G475">
        <v>245</v>
      </c>
      <c r="H475" t="s">
        <v>25</v>
      </c>
      <c r="I475" t="s">
        <v>16</v>
      </c>
      <c r="J475" s="1">
        <v>45656</v>
      </c>
      <c r="K475" t="b">
        <v>1</v>
      </c>
    </row>
    <row r="476" spans="1:11" x14ac:dyDescent="0.3">
      <c r="A476" t="s">
        <v>684</v>
      </c>
      <c r="B476" t="s">
        <v>84</v>
      </c>
      <c r="C476" t="s">
        <v>32</v>
      </c>
      <c r="D476" t="s">
        <v>409</v>
      </c>
      <c r="E476">
        <v>11</v>
      </c>
      <c r="F476">
        <v>10</v>
      </c>
      <c r="G476">
        <v>110</v>
      </c>
      <c r="H476" t="s">
        <v>25</v>
      </c>
      <c r="I476" t="s">
        <v>38</v>
      </c>
      <c r="J476" s="1">
        <v>44665</v>
      </c>
    </row>
    <row r="477" spans="1:11" x14ac:dyDescent="0.3">
      <c r="A477" t="s">
        <v>685</v>
      </c>
      <c r="B477" t="s">
        <v>123</v>
      </c>
      <c r="C477" t="s">
        <v>41</v>
      </c>
      <c r="D477" t="s">
        <v>190</v>
      </c>
      <c r="E477">
        <v>20</v>
      </c>
      <c r="F477">
        <v>3</v>
      </c>
      <c r="G477">
        <v>60</v>
      </c>
      <c r="H477" t="s">
        <v>15</v>
      </c>
      <c r="I477" t="s">
        <v>16</v>
      </c>
      <c r="J477" s="1">
        <v>45376</v>
      </c>
      <c r="K477" t="b">
        <v>0</v>
      </c>
    </row>
    <row r="478" spans="1:11" x14ac:dyDescent="0.3">
      <c r="A478" t="s">
        <v>686</v>
      </c>
      <c r="B478" t="s">
        <v>74</v>
      </c>
      <c r="C478" t="s">
        <v>13</v>
      </c>
      <c r="D478" t="s">
        <v>503</v>
      </c>
      <c r="E478">
        <v>33.5</v>
      </c>
      <c r="F478">
        <v>4</v>
      </c>
      <c r="G478">
        <v>134</v>
      </c>
      <c r="H478" t="s">
        <v>48</v>
      </c>
      <c r="I478" t="s">
        <v>16</v>
      </c>
      <c r="J478" s="1">
        <v>45017</v>
      </c>
      <c r="K478" t="b">
        <v>0</v>
      </c>
    </row>
    <row r="479" spans="1:11" x14ac:dyDescent="0.3">
      <c r="A479" t="s">
        <v>687</v>
      </c>
      <c r="B479" t="s">
        <v>12</v>
      </c>
      <c r="C479" t="s">
        <v>66</v>
      </c>
      <c r="D479" t="s">
        <v>369</v>
      </c>
      <c r="E479">
        <v>36.5</v>
      </c>
      <c r="F479">
        <v>6</v>
      </c>
      <c r="G479">
        <v>219</v>
      </c>
      <c r="H479" t="s">
        <v>48</v>
      </c>
      <c r="I479" t="s">
        <v>38</v>
      </c>
      <c r="J479" s="1">
        <v>45053</v>
      </c>
      <c r="K479" t="b">
        <v>0</v>
      </c>
    </row>
    <row r="480" spans="1:11" x14ac:dyDescent="0.3">
      <c r="A480" t="s">
        <v>688</v>
      </c>
      <c r="B480" t="s">
        <v>89</v>
      </c>
      <c r="C480" t="s">
        <v>28</v>
      </c>
      <c r="D480" t="s">
        <v>258</v>
      </c>
      <c r="E480">
        <v>33.5</v>
      </c>
      <c r="F480">
        <v>1</v>
      </c>
      <c r="G480">
        <v>33.5</v>
      </c>
      <c r="H480" t="s">
        <v>25</v>
      </c>
      <c r="I480" t="s">
        <v>38</v>
      </c>
      <c r="J480" s="1">
        <v>45430</v>
      </c>
      <c r="K480" t="b">
        <v>1</v>
      </c>
    </row>
    <row r="481" spans="1:11" x14ac:dyDescent="0.3">
      <c r="A481" t="s">
        <v>689</v>
      </c>
      <c r="B481" t="s">
        <v>77</v>
      </c>
      <c r="C481" t="s">
        <v>32</v>
      </c>
      <c r="D481" t="s">
        <v>33</v>
      </c>
      <c r="E481">
        <v>12.5</v>
      </c>
      <c r="F481">
        <v>2</v>
      </c>
      <c r="G481">
        <v>25</v>
      </c>
      <c r="H481" t="s">
        <v>15</v>
      </c>
      <c r="I481" t="s">
        <v>38</v>
      </c>
      <c r="J481" s="1">
        <v>44810</v>
      </c>
      <c r="K481" t="b">
        <v>0</v>
      </c>
    </row>
    <row r="482" spans="1:11" x14ac:dyDescent="0.3">
      <c r="A482" t="s">
        <v>690</v>
      </c>
      <c r="B482" t="s">
        <v>18</v>
      </c>
      <c r="C482" t="s">
        <v>66</v>
      </c>
      <c r="D482" t="s">
        <v>101</v>
      </c>
      <c r="E482">
        <v>35</v>
      </c>
      <c r="F482">
        <v>9</v>
      </c>
      <c r="G482">
        <v>315</v>
      </c>
      <c r="H482" t="s">
        <v>48</v>
      </c>
      <c r="I482" t="s">
        <v>16</v>
      </c>
      <c r="J482" s="1">
        <v>44724</v>
      </c>
      <c r="K482" t="b">
        <v>0</v>
      </c>
    </row>
    <row r="483" spans="1:11" x14ac:dyDescent="0.3">
      <c r="A483" t="s">
        <v>691</v>
      </c>
      <c r="B483" t="s">
        <v>12</v>
      </c>
      <c r="C483" t="s">
        <v>41</v>
      </c>
      <c r="D483" t="s">
        <v>233</v>
      </c>
      <c r="E483">
        <v>11</v>
      </c>
      <c r="F483">
        <v>4</v>
      </c>
      <c r="G483">
        <v>44</v>
      </c>
      <c r="H483" t="s">
        <v>25</v>
      </c>
      <c r="I483" t="s">
        <v>38</v>
      </c>
      <c r="J483" s="1">
        <v>45365</v>
      </c>
      <c r="K483" t="b">
        <v>1</v>
      </c>
    </row>
    <row r="484" spans="1:11" x14ac:dyDescent="0.3">
      <c r="A484" t="s">
        <v>692</v>
      </c>
      <c r="B484" t="s">
        <v>80</v>
      </c>
      <c r="C484" t="s">
        <v>13</v>
      </c>
      <c r="D484" t="s">
        <v>509</v>
      </c>
      <c r="E484">
        <v>17</v>
      </c>
      <c r="F484">
        <v>8</v>
      </c>
      <c r="G484">
        <v>136</v>
      </c>
      <c r="H484" t="s">
        <v>15</v>
      </c>
      <c r="I484" t="s">
        <v>38</v>
      </c>
      <c r="J484" s="1">
        <v>44899</v>
      </c>
      <c r="K484" t="b">
        <v>0</v>
      </c>
    </row>
    <row r="485" spans="1:11" x14ac:dyDescent="0.3">
      <c r="A485" t="s">
        <v>693</v>
      </c>
      <c r="B485" t="s">
        <v>63</v>
      </c>
      <c r="C485" t="s">
        <v>19</v>
      </c>
      <c r="D485" t="s">
        <v>553</v>
      </c>
      <c r="E485">
        <v>36.5</v>
      </c>
      <c r="F485">
        <v>8</v>
      </c>
      <c r="G485">
        <v>292</v>
      </c>
      <c r="H485" t="s">
        <v>25</v>
      </c>
      <c r="I485" t="s">
        <v>16</v>
      </c>
      <c r="J485" s="1">
        <v>45235</v>
      </c>
    </row>
    <row r="486" spans="1:11" x14ac:dyDescent="0.3">
      <c r="A486" t="s">
        <v>694</v>
      </c>
      <c r="B486" t="s">
        <v>18</v>
      </c>
      <c r="C486" t="s">
        <v>32</v>
      </c>
      <c r="D486" t="s">
        <v>498</v>
      </c>
      <c r="E486">
        <v>29</v>
      </c>
      <c r="F486">
        <v>1</v>
      </c>
      <c r="G486">
        <v>29</v>
      </c>
      <c r="H486" t="s">
        <v>48</v>
      </c>
      <c r="I486" t="s">
        <v>16</v>
      </c>
      <c r="J486" s="1">
        <v>45483</v>
      </c>
      <c r="K486" t="b">
        <v>0</v>
      </c>
    </row>
    <row r="487" spans="1:11" x14ac:dyDescent="0.3">
      <c r="A487" t="s">
        <v>695</v>
      </c>
      <c r="B487" t="s">
        <v>31</v>
      </c>
      <c r="C487" t="s">
        <v>66</v>
      </c>
      <c r="D487" t="s">
        <v>352</v>
      </c>
      <c r="E487">
        <v>38</v>
      </c>
      <c r="F487">
        <v>10</v>
      </c>
      <c r="G487">
        <v>380</v>
      </c>
      <c r="H487" t="s">
        <v>15</v>
      </c>
      <c r="I487" t="s">
        <v>38</v>
      </c>
      <c r="J487" s="1">
        <v>44791</v>
      </c>
      <c r="K487" t="b">
        <v>0</v>
      </c>
    </row>
    <row r="488" spans="1:11" x14ac:dyDescent="0.3">
      <c r="A488" t="s">
        <v>696</v>
      </c>
      <c r="B488" t="s">
        <v>40</v>
      </c>
      <c r="C488" t="s">
        <v>41</v>
      </c>
      <c r="D488" t="s">
        <v>295</v>
      </c>
      <c r="E488">
        <v>6.5</v>
      </c>
      <c r="F488">
        <v>9</v>
      </c>
      <c r="G488">
        <v>58.5</v>
      </c>
      <c r="H488" t="s">
        <v>15</v>
      </c>
      <c r="I488" t="s">
        <v>16</v>
      </c>
      <c r="J488" s="1">
        <v>45119</v>
      </c>
      <c r="K488" t="b">
        <v>0</v>
      </c>
    </row>
    <row r="489" spans="1:11" x14ac:dyDescent="0.3">
      <c r="A489" t="s">
        <v>697</v>
      </c>
      <c r="B489" t="s">
        <v>31</v>
      </c>
      <c r="C489" t="s">
        <v>66</v>
      </c>
      <c r="D489" t="s">
        <v>322</v>
      </c>
      <c r="E489">
        <v>32</v>
      </c>
      <c r="F489">
        <v>2</v>
      </c>
      <c r="G489">
        <v>64</v>
      </c>
      <c r="H489" t="s">
        <v>48</v>
      </c>
      <c r="I489" t="s">
        <v>38</v>
      </c>
      <c r="J489" s="1">
        <v>44965</v>
      </c>
      <c r="K489" t="b">
        <v>1</v>
      </c>
    </row>
    <row r="490" spans="1:11" x14ac:dyDescent="0.3">
      <c r="A490" t="s">
        <v>698</v>
      </c>
      <c r="B490" t="s">
        <v>74</v>
      </c>
      <c r="C490" t="s">
        <v>19</v>
      </c>
      <c r="D490" t="s">
        <v>20</v>
      </c>
      <c r="E490">
        <v>29</v>
      </c>
      <c r="F490">
        <v>5</v>
      </c>
      <c r="G490">
        <v>145</v>
      </c>
      <c r="H490" t="s">
        <v>48</v>
      </c>
      <c r="I490" t="s">
        <v>38</v>
      </c>
      <c r="J490" s="1">
        <v>44585</v>
      </c>
      <c r="K490" t="b">
        <v>0</v>
      </c>
    </row>
    <row r="491" spans="1:11" x14ac:dyDescent="0.3">
      <c r="A491" t="s">
        <v>699</v>
      </c>
      <c r="B491" t="s">
        <v>168</v>
      </c>
      <c r="C491" t="s">
        <v>32</v>
      </c>
      <c r="D491" t="s">
        <v>365</v>
      </c>
      <c r="E491">
        <v>41</v>
      </c>
      <c r="F491">
        <v>3</v>
      </c>
      <c r="G491">
        <v>123</v>
      </c>
      <c r="H491" t="s">
        <v>48</v>
      </c>
      <c r="I491" t="s">
        <v>16</v>
      </c>
      <c r="J491" s="1">
        <v>45287</v>
      </c>
      <c r="K491" t="b">
        <v>1</v>
      </c>
    </row>
    <row r="492" spans="1:11" x14ac:dyDescent="0.3">
      <c r="A492" t="s">
        <v>700</v>
      </c>
      <c r="B492" t="s">
        <v>168</v>
      </c>
      <c r="C492" t="s">
        <v>130</v>
      </c>
      <c r="D492" t="s">
        <v>293</v>
      </c>
      <c r="E492">
        <v>12.5</v>
      </c>
      <c r="F492">
        <v>5</v>
      </c>
      <c r="G492">
        <v>62.5</v>
      </c>
      <c r="H492" t="s">
        <v>25</v>
      </c>
      <c r="I492" t="s">
        <v>16</v>
      </c>
      <c r="J492" s="1">
        <v>45224</v>
      </c>
      <c r="K492" t="b">
        <v>1</v>
      </c>
    </row>
    <row r="493" spans="1:11" x14ac:dyDescent="0.3">
      <c r="A493" t="s">
        <v>701</v>
      </c>
      <c r="B493" t="s">
        <v>168</v>
      </c>
      <c r="C493" t="s">
        <v>41</v>
      </c>
      <c r="D493" t="s">
        <v>295</v>
      </c>
      <c r="E493">
        <v>6.5</v>
      </c>
      <c r="F493">
        <v>1</v>
      </c>
      <c r="G493">
        <v>6.5</v>
      </c>
      <c r="H493" t="s">
        <v>48</v>
      </c>
      <c r="I493" t="s">
        <v>16</v>
      </c>
      <c r="J493" s="1">
        <v>45110</v>
      </c>
    </row>
    <row r="494" spans="1:11" x14ac:dyDescent="0.3">
      <c r="A494" t="s">
        <v>702</v>
      </c>
      <c r="B494" t="s">
        <v>43</v>
      </c>
      <c r="C494" t="s">
        <v>32</v>
      </c>
      <c r="D494" t="s">
        <v>160</v>
      </c>
      <c r="E494">
        <v>36.5</v>
      </c>
      <c r="F494">
        <v>1</v>
      </c>
      <c r="G494">
        <v>36.5</v>
      </c>
      <c r="H494" t="s">
        <v>48</v>
      </c>
      <c r="I494" t="s">
        <v>16</v>
      </c>
      <c r="J494" s="1">
        <v>44742</v>
      </c>
      <c r="K494" t="b">
        <v>1</v>
      </c>
    </row>
    <row r="495" spans="1:11" x14ac:dyDescent="0.3">
      <c r="A495" t="s">
        <v>703</v>
      </c>
      <c r="B495" t="s">
        <v>36</v>
      </c>
      <c r="C495" t="s">
        <v>41</v>
      </c>
      <c r="E495">
        <v>33.5</v>
      </c>
      <c r="H495" t="s">
        <v>15</v>
      </c>
      <c r="I495" t="s">
        <v>38</v>
      </c>
      <c r="J495" s="1">
        <v>44981</v>
      </c>
    </row>
    <row r="496" spans="1:11" x14ac:dyDescent="0.3">
      <c r="A496" t="s">
        <v>704</v>
      </c>
      <c r="B496" t="s">
        <v>116</v>
      </c>
      <c r="C496" t="s">
        <v>13</v>
      </c>
      <c r="D496" t="s">
        <v>166</v>
      </c>
      <c r="E496">
        <v>21.5</v>
      </c>
      <c r="F496">
        <v>5</v>
      </c>
      <c r="G496">
        <v>107.5</v>
      </c>
      <c r="H496" t="s">
        <v>15</v>
      </c>
      <c r="I496" t="s">
        <v>16</v>
      </c>
      <c r="J496" s="1">
        <v>45060</v>
      </c>
      <c r="K496" t="b">
        <v>1</v>
      </c>
    </row>
    <row r="497" spans="1:11" x14ac:dyDescent="0.3">
      <c r="A497" t="s">
        <v>705</v>
      </c>
      <c r="B497" t="s">
        <v>100</v>
      </c>
      <c r="C497" t="s">
        <v>28</v>
      </c>
      <c r="D497" t="s">
        <v>268</v>
      </c>
      <c r="E497">
        <v>12.5</v>
      </c>
      <c r="F497">
        <v>8</v>
      </c>
      <c r="G497">
        <v>100</v>
      </c>
      <c r="H497" t="s">
        <v>25</v>
      </c>
      <c r="I497" t="s">
        <v>16</v>
      </c>
      <c r="J497" s="1">
        <v>45355</v>
      </c>
      <c r="K497" t="b">
        <v>0</v>
      </c>
    </row>
    <row r="498" spans="1:11" x14ac:dyDescent="0.3">
      <c r="A498" t="s">
        <v>706</v>
      </c>
      <c r="B498" t="s">
        <v>89</v>
      </c>
      <c r="C498" t="s">
        <v>130</v>
      </c>
      <c r="D498" t="s">
        <v>335</v>
      </c>
      <c r="E498">
        <v>20</v>
      </c>
      <c r="F498">
        <v>4</v>
      </c>
      <c r="G498">
        <v>80</v>
      </c>
      <c r="H498" t="s">
        <v>25</v>
      </c>
      <c r="I498" t="s">
        <v>16</v>
      </c>
      <c r="J498" s="1">
        <v>45018</v>
      </c>
      <c r="K498" t="b">
        <v>0</v>
      </c>
    </row>
    <row r="499" spans="1:11" x14ac:dyDescent="0.3">
      <c r="A499" t="s">
        <v>707</v>
      </c>
      <c r="B499" t="s">
        <v>89</v>
      </c>
      <c r="C499" t="s">
        <v>19</v>
      </c>
      <c r="D499" t="s">
        <v>271</v>
      </c>
      <c r="E499">
        <v>5</v>
      </c>
      <c r="F499">
        <v>6</v>
      </c>
      <c r="G499">
        <v>30</v>
      </c>
      <c r="H499" t="s">
        <v>25</v>
      </c>
      <c r="I499" t="s">
        <v>16</v>
      </c>
      <c r="J499" s="1">
        <v>44711</v>
      </c>
      <c r="K499" t="b">
        <v>1</v>
      </c>
    </row>
    <row r="500" spans="1:11" x14ac:dyDescent="0.3">
      <c r="A500" t="s">
        <v>708</v>
      </c>
      <c r="B500" t="s">
        <v>65</v>
      </c>
      <c r="C500" t="s">
        <v>41</v>
      </c>
      <c r="D500" t="s">
        <v>709</v>
      </c>
      <c r="E500">
        <v>21.5</v>
      </c>
      <c r="F500">
        <v>8</v>
      </c>
      <c r="G500">
        <v>172</v>
      </c>
      <c r="H500" t="s">
        <v>48</v>
      </c>
      <c r="I500" t="s">
        <v>16</v>
      </c>
      <c r="J500" s="1">
        <v>45575</v>
      </c>
      <c r="K500" t="b">
        <v>1</v>
      </c>
    </row>
    <row r="501" spans="1:11" x14ac:dyDescent="0.3">
      <c r="A501" t="s">
        <v>710</v>
      </c>
      <c r="B501" t="s">
        <v>46</v>
      </c>
      <c r="C501" t="s">
        <v>32</v>
      </c>
      <c r="D501" t="s">
        <v>482</v>
      </c>
      <c r="E501">
        <v>23</v>
      </c>
      <c r="F501">
        <v>2</v>
      </c>
      <c r="G501">
        <v>46</v>
      </c>
      <c r="H501" t="s">
        <v>15</v>
      </c>
      <c r="I501" t="s">
        <v>38</v>
      </c>
      <c r="J501" s="1">
        <v>44848</v>
      </c>
      <c r="K501" t="b">
        <v>0</v>
      </c>
    </row>
    <row r="502" spans="1:11" x14ac:dyDescent="0.3">
      <c r="A502" t="s">
        <v>711</v>
      </c>
      <c r="B502" t="s">
        <v>40</v>
      </c>
      <c r="C502" t="s">
        <v>23</v>
      </c>
      <c r="D502" t="s">
        <v>551</v>
      </c>
      <c r="E502">
        <v>11</v>
      </c>
      <c r="F502">
        <v>5</v>
      </c>
      <c r="G502">
        <v>55</v>
      </c>
      <c r="H502" t="s">
        <v>15</v>
      </c>
      <c r="I502" t="s">
        <v>38</v>
      </c>
      <c r="J502" s="1">
        <v>44851</v>
      </c>
      <c r="K502" t="b">
        <v>1</v>
      </c>
    </row>
    <row r="503" spans="1:11" x14ac:dyDescent="0.3">
      <c r="A503" t="s">
        <v>712</v>
      </c>
      <c r="B503" t="s">
        <v>18</v>
      </c>
      <c r="C503" t="s">
        <v>19</v>
      </c>
      <c r="F503">
        <v>2</v>
      </c>
      <c r="G503">
        <v>61</v>
      </c>
      <c r="H503" t="s">
        <v>15</v>
      </c>
      <c r="I503" t="s">
        <v>16</v>
      </c>
      <c r="J503" s="1">
        <v>45278</v>
      </c>
      <c r="K503" t="b">
        <v>0</v>
      </c>
    </row>
    <row r="504" spans="1:11" x14ac:dyDescent="0.3">
      <c r="A504" t="s">
        <v>713</v>
      </c>
      <c r="B504" t="s">
        <v>43</v>
      </c>
      <c r="C504" t="s">
        <v>13</v>
      </c>
      <c r="D504" t="s">
        <v>585</v>
      </c>
      <c r="E504">
        <v>6.5</v>
      </c>
      <c r="F504">
        <v>10</v>
      </c>
      <c r="G504">
        <v>65</v>
      </c>
      <c r="H504" t="s">
        <v>25</v>
      </c>
      <c r="I504" t="s">
        <v>16</v>
      </c>
      <c r="J504" s="1">
        <v>45462</v>
      </c>
    </row>
    <row r="505" spans="1:11" x14ac:dyDescent="0.3">
      <c r="A505" t="s">
        <v>714</v>
      </c>
      <c r="B505" t="s">
        <v>100</v>
      </c>
      <c r="C505" t="s">
        <v>28</v>
      </c>
      <c r="D505" t="s">
        <v>29</v>
      </c>
      <c r="E505">
        <v>27.5</v>
      </c>
      <c r="F505">
        <v>2</v>
      </c>
      <c r="G505">
        <v>55</v>
      </c>
      <c r="H505" t="s">
        <v>25</v>
      </c>
      <c r="I505" t="s">
        <v>38</v>
      </c>
      <c r="J505" s="1">
        <v>45170</v>
      </c>
      <c r="K505" t="b">
        <v>1</v>
      </c>
    </row>
    <row r="506" spans="1:11" x14ac:dyDescent="0.3">
      <c r="A506" t="s">
        <v>715</v>
      </c>
      <c r="B506" t="s">
        <v>84</v>
      </c>
      <c r="C506" t="s">
        <v>41</v>
      </c>
      <c r="D506" t="s">
        <v>610</v>
      </c>
      <c r="E506">
        <v>17</v>
      </c>
      <c r="F506">
        <v>9</v>
      </c>
      <c r="G506">
        <v>153</v>
      </c>
      <c r="H506" t="s">
        <v>15</v>
      </c>
      <c r="I506" t="s">
        <v>38</v>
      </c>
      <c r="J506" s="1">
        <v>45377</v>
      </c>
      <c r="K506" t="b">
        <v>0</v>
      </c>
    </row>
    <row r="507" spans="1:11" x14ac:dyDescent="0.3">
      <c r="A507" t="s">
        <v>716</v>
      </c>
      <c r="B507" t="s">
        <v>55</v>
      </c>
      <c r="C507" t="s">
        <v>28</v>
      </c>
      <c r="D507" t="s">
        <v>205</v>
      </c>
      <c r="E507">
        <v>24.5</v>
      </c>
      <c r="F507">
        <v>10</v>
      </c>
      <c r="G507">
        <v>245</v>
      </c>
      <c r="H507" t="s">
        <v>15</v>
      </c>
      <c r="I507" t="s">
        <v>16</v>
      </c>
      <c r="J507" s="1">
        <v>45449</v>
      </c>
      <c r="K507" t="b">
        <v>0</v>
      </c>
    </row>
    <row r="508" spans="1:11" x14ac:dyDescent="0.3">
      <c r="A508" t="s">
        <v>717</v>
      </c>
      <c r="B508" t="s">
        <v>123</v>
      </c>
      <c r="C508" t="s">
        <v>41</v>
      </c>
      <c r="D508" t="s">
        <v>342</v>
      </c>
      <c r="E508">
        <v>29</v>
      </c>
      <c r="F508">
        <v>1</v>
      </c>
      <c r="G508">
        <v>29</v>
      </c>
      <c r="H508" t="s">
        <v>48</v>
      </c>
      <c r="I508" t="s">
        <v>38</v>
      </c>
      <c r="J508" s="1">
        <v>44605</v>
      </c>
      <c r="K508" t="b">
        <v>1</v>
      </c>
    </row>
    <row r="509" spans="1:11" x14ac:dyDescent="0.3">
      <c r="A509" t="s">
        <v>718</v>
      </c>
      <c r="B509" t="s">
        <v>98</v>
      </c>
      <c r="C509" t="s">
        <v>66</v>
      </c>
      <c r="D509" t="s">
        <v>101</v>
      </c>
      <c r="E509">
        <v>35</v>
      </c>
      <c r="F509">
        <v>6</v>
      </c>
      <c r="G509">
        <v>210</v>
      </c>
      <c r="H509" t="s">
        <v>48</v>
      </c>
      <c r="I509" t="s">
        <v>38</v>
      </c>
      <c r="J509" s="1">
        <v>45293</v>
      </c>
      <c r="K509" t="b">
        <v>0</v>
      </c>
    </row>
    <row r="510" spans="1:11" x14ac:dyDescent="0.3">
      <c r="A510" t="s">
        <v>719</v>
      </c>
      <c r="B510" t="s">
        <v>84</v>
      </c>
      <c r="C510" t="s">
        <v>19</v>
      </c>
      <c r="D510" t="s">
        <v>287</v>
      </c>
      <c r="E510">
        <v>20</v>
      </c>
      <c r="F510">
        <v>4</v>
      </c>
      <c r="G510">
        <v>80</v>
      </c>
      <c r="H510" t="s">
        <v>15</v>
      </c>
      <c r="I510" t="s">
        <v>16</v>
      </c>
      <c r="J510" s="1">
        <v>44703</v>
      </c>
      <c r="K510" t="b">
        <v>0</v>
      </c>
    </row>
    <row r="511" spans="1:11" x14ac:dyDescent="0.3">
      <c r="A511" t="s">
        <v>720</v>
      </c>
      <c r="B511" t="s">
        <v>80</v>
      </c>
      <c r="C511" t="s">
        <v>19</v>
      </c>
      <c r="D511" t="s">
        <v>540</v>
      </c>
      <c r="E511">
        <v>23</v>
      </c>
      <c r="F511">
        <v>6</v>
      </c>
      <c r="G511">
        <v>138</v>
      </c>
      <c r="H511" t="s">
        <v>25</v>
      </c>
      <c r="I511" t="s">
        <v>16</v>
      </c>
      <c r="J511" s="1">
        <v>44816</v>
      </c>
    </row>
    <row r="512" spans="1:11" x14ac:dyDescent="0.3">
      <c r="A512" t="s">
        <v>721</v>
      </c>
      <c r="B512" t="s">
        <v>12</v>
      </c>
      <c r="C512" t="s">
        <v>41</v>
      </c>
      <c r="D512" t="s">
        <v>190</v>
      </c>
      <c r="E512">
        <v>20</v>
      </c>
      <c r="F512">
        <v>3</v>
      </c>
      <c r="G512">
        <v>60</v>
      </c>
      <c r="H512" t="s">
        <v>25</v>
      </c>
      <c r="I512" t="s">
        <v>16</v>
      </c>
      <c r="J512" s="1">
        <v>44719</v>
      </c>
      <c r="K512" t="b">
        <v>0</v>
      </c>
    </row>
    <row r="513" spans="1:11" x14ac:dyDescent="0.3">
      <c r="A513" t="s">
        <v>722</v>
      </c>
      <c r="B513" t="s">
        <v>27</v>
      </c>
      <c r="C513" t="s">
        <v>66</v>
      </c>
      <c r="D513" t="s">
        <v>75</v>
      </c>
      <c r="E513">
        <v>9.5</v>
      </c>
      <c r="F513">
        <v>10</v>
      </c>
      <c r="G513">
        <v>95</v>
      </c>
      <c r="H513" t="s">
        <v>48</v>
      </c>
      <c r="I513" t="s">
        <v>38</v>
      </c>
      <c r="J513" s="1">
        <v>45470</v>
      </c>
      <c r="K513" t="b">
        <v>1</v>
      </c>
    </row>
    <row r="514" spans="1:11" x14ac:dyDescent="0.3">
      <c r="A514" t="s">
        <v>723</v>
      </c>
      <c r="B514" t="s">
        <v>89</v>
      </c>
      <c r="C514" t="s">
        <v>41</v>
      </c>
      <c r="D514" t="s">
        <v>199</v>
      </c>
      <c r="E514">
        <v>39.5</v>
      </c>
      <c r="F514">
        <v>2</v>
      </c>
      <c r="G514">
        <v>79</v>
      </c>
      <c r="H514" t="s">
        <v>25</v>
      </c>
      <c r="I514" t="s">
        <v>16</v>
      </c>
      <c r="J514" s="1">
        <v>45165</v>
      </c>
      <c r="K514" t="b">
        <v>0</v>
      </c>
    </row>
    <row r="515" spans="1:11" x14ac:dyDescent="0.3">
      <c r="A515" t="s">
        <v>724</v>
      </c>
      <c r="B515" t="s">
        <v>22</v>
      </c>
      <c r="C515" t="s">
        <v>130</v>
      </c>
      <c r="D515" t="s">
        <v>149</v>
      </c>
      <c r="E515">
        <v>26</v>
      </c>
      <c r="F515">
        <v>3</v>
      </c>
      <c r="G515">
        <v>78</v>
      </c>
      <c r="H515" t="s">
        <v>25</v>
      </c>
      <c r="I515" t="s">
        <v>16</v>
      </c>
      <c r="J515" s="1">
        <v>45040</v>
      </c>
      <c r="K515" t="b">
        <v>1</v>
      </c>
    </row>
    <row r="516" spans="1:11" x14ac:dyDescent="0.3">
      <c r="A516" t="s">
        <v>725</v>
      </c>
      <c r="B516" t="s">
        <v>77</v>
      </c>
      <c r="C516" t="s">
        <v>41</v>
      </c>
      <c r="D516" t="s">
        <v>556</v>
      </c>
      <c r="E516">
        <v>9.5</v>
      </c>
      <c r="F516">
        <v>4</v>
      </c>
      <c r="G516">
        <v>38</v>
      </c>
      <c r="H516" t="s">
        <v>48</v>
      </c>
      <c r="I516" t="s">
        <v>16</v>
      </c>
      <c r="J516" s="1">
        <v>45316</v>
      </c>
      <c r="K516" t="b">
        <v>1</v>
      </c>
    </row>
    <row r="517" spans="1:11" x14ac:dyDescent="0.3">
      <c r="A517" t="s">
        <v>726</v>
      </c>
      <c r="B517" t="s">
        <v>113</v>
      </c>
      <c r="C517" t="s">
        <v>28</v>
      </c>
      <c r="D517" t="s">
        <v>727</v>
      </c>
      <c r="E517">
        <v>30.5</v>
      </c>
      <c r="F517">
        <v>10</v>
      </c>
      <c r="G517">
        <v>305</v>
      </c>
      <c r="H517" t="s">
        <v>48</v>
      </c>
      <c r="I517" t="s">
        <v>16</v>
      </c>
      <c r="J517" s="1">
        <v>44925</v>
      </c>
      <c r="K517" t="b">
        <v>0</v>
      </c>
    </row>
    <row r="518" spans="1:11" x14ac:dyDescent="0.3">
      <c r="A518" t="s">
        <v>728</v>
      </c>
      <c r="B518" t="s">
        <v>123</v>
      </c>
      <c r="C518" t="s">
        <v>41</v>
      </c>
      <c r="D518" t="s">
        <v>674</v>
      </c>
      <c r="E518">
        <v>12.5</v>
      </c>
      <c r="F518">
        <v>3</v>
      </c>
      <c r="G518">
        <v>37.5</v>
      </c>
      <c r="H518" t="s">
        <v>25</v>
      </c>
      <c r="I518" t="s">
        <v>16</v>
      </c>
      <c r="J518" s="1">
        <v>44688</v>
      </c>
    </row>
    <row r="519" spans="1:11" x14ac:dyDescent="0.3">
      <c r="A519" t="s">
        <v>729</v>
      </c>
      <c r="B519" t="s">
        <v>27</v>
      </c>
      <c r="C519" t="s">
        <v>19</v>
      </c>
      <c r="D519" t="s">
        <v>488</v>
      </c>
      <c r="E519">
        <v>17</v>
      </c>
      <c r="F519">
        <v>3</v>
      </c>
      <c r="G519">
        <v>51</v>
      </c>
      <c r="H519" t="s">
        <v>48</v>
      </c>
      <c r="I519" t="s">
        <v>38</v>
      </c>
      <c r="J519" s="1">
        <v>45246</v>
      </c>
    </row>
    <row r="520" spans="1:11" x14ac:dyDescent="0.3">
      <c r="A520" t="s">
        <v>730</v>
      </c>
      <c r="B520" t="s">
        <v>18</v>
      </c>
      <c r="C520" t="s">
        <v>28</v>
      </c>
      <c r="D520" t="s">
        <v>252</v>
      </c>
      <c r="E520">
        <v>38</v>
      </c>
      <c r="F520">
        <v>1</v>
      </c>
      <c r="G520">
        <v>38</v>
      </c>
      <c r="H520" t="s">
        <v>15</v>
      </c>
      <c r="I520" t="s">
        <v>16</v>
      </c>
      <c r="J520" s="1">
        <v>45090</v>
      </c>
      <c r="K520" t="b">
        <v>0</v>
      </c>
    </row>
    <row r="521" spans="1:11" x14ac:dyDescent="0.3">
      <c r="A521" t="s">
        <v>731</v>
      </c>
      <c r="B521" t="s">
        <v>31</v>
      </c>
      <c r="C521" t="s">
        <v>41</v>
      </c>
      <c r="D521" t="s">
        <v>144</v>
      </c>
      <c r="E521">
        <v>38</v>
      </c>
      <c r="F521">
        <v>5</v>
      </c>
      <c r="G521">
        <v>190</v>
      </c>
      <c r="H521" t="s">
        <v>15</v>
      </c>
      <c r="I521" t="s">
        <v>38</v>
      </c>
      <c r="J521" s="1">
        <v>44979</v>
      </c>
      <c r="K521" t="b">
        <v>0</v>
      </c>
    </row>
    <row r="522" spans="1:11" x14ac:dyDescent="0.3">
      <c r="A522" t="s">
        <v>732</v>
      </c>
      <c r="B522" t="s">
        <v>80</v>
      </c>
      <c r="C522" t="s">
        <v>41</v>
      </c>
      <c r="D522" t="s">
        <v>281</v>
      </c>
      <c r="E522">
        <v>5</v>
      </c>
      <c r="F522">
        <v>6</v>
      </c>
      <c r="G522">
        <v>30</v>
      </c>
      <c r="H522" t="s">
        <v>15</v>
      </c>
      <c r="I522" t="s">
        <v>16</v>
      </c>
      <c r="J522" s="1">
        <v>45027</v>
      </c>
      <c r="K522" t="b">
        <v>1</v>
      </c>
    </row>
    <row r="523" spans="1:11" x14ac:dyDescent="0.3">
      <c r="A523" t="s">
        <v>733</v>
      </c>
      <c r="B523" t="s">
        <v>74</v>
      </c>
      <c r="C523" t="s">
        <v>13</v>
      </c>
      <c r="D523" t="s">
        <v>133</v>
      </c>
      <c r="E523">
        <v>20</v>
      </c>
      <c r="F523">
        <v>8</v>
      </c>
      <c r="G523">
        <v>160</v>
      </c>
      <c r="H523" t="s">
        <v>15</v>
      </c>
      <c r="I523" t="s">
        <v>16</v>
      </c>
      <c r="J523" s="1">
        <v>44984</v>
      </c>
      <c r="K523" t="b">
        <v>1</v>
      </c>
    </row>
    <row r="524" spans="1:11" x14ac:dyDescent="0.3">
      <c r="A524" t="s">
        <v>734</v>
      </c>
      <c r="B524" t="s">
        <v>46</v>
      </c>
      <c r="C524" t="s">
        <v>23</v>
      </c>
      <c r="D524" t="s">
        <v>397</v>
      </c>
      <c r="E524">
        <v>5</v>
      </c>
      <c r="F524">
        <v>3</v>
      </c>
      <c r="G524">
        <v>15</v>
      </c>
      <c r="H524" t="s">
        <v>48</v>
      </c>
      <c r="I524" t="s">
        <v>38</v>
      </c>
      <c r="J524" s="1">
        <v>44576</v>
      </c>
    </row>
    <row r="525" spans="1:11" x14ac:dyDescent="0.3">
      <c r="A525" t="s">
        <v>735</v>
      </c>
      <c r="B525" t="s">
        <v>113</v>
      </c>
      <c r="C525" t="s">
        <v>130</v>
      </c>
      <c r="D525" t="s">
        <v>243</v>
      </c>
      <c r="E525">
        <v>15.5</v>
      </c>
      <c r="F525">
        <v>3</v>
      </c>
      <c r="G525">
        <v>46.5</v>
      </c>
      <c r="H525" t="s">
        <v>15</v>
      </c>
      <c r="I525" t="s">
        <v>38</v>
      </c>
      <c r="J525" s="1">
        <v>45220</v>
      </c>
      <c r="K525" t="b">
        <v>0</v>
      </c>
    </row>
    <row r="526" spans="1:11" x14ac:dyDescent="0.3">
      <c r="A526" t="s">
        <v>736</v>
      </c>
      <c r="B526" t="s">
        <v>74</v>
      </c>
      <c r="C526" t="s">
        <v>28</v>
      </c>
      <c r="D526" t="s">
        <v>256</v>
      </c>
      <c r="E526">
        <v>32</v>
      </c>
      <c r="F526">
        <v>8</v>
      </c>
      <c r="G526">
        <v>256</v>
      </c>
      <c r="H526" t="s">
        <v>48</v>
      </c>
      <c r="I526" t="s">
        <v>16</v>
      </c>
      <c r="J526" s="1">
        <v>45323</v>
      </c>
      <c r="K526" t="b">
        <v>0</v>
      </c>
    </row>
    <row r="527" spans="1:11" x14ac:dyDescent="0.3">
      <c r="A527" t="s">
        <v>737</v>
      </c>
      <c r="B527" t="s">
        <v>43</v>
      </c>
      <c r="C527" t="s">
        <v>130</v>
      </c>
      <c r="D527" t="s">
        <v>361</v>
      </c>
      <c r="E527">
        <v>32</v>
      </c>
      <c r="F527">
        <v>7</v>
      </c>
      <c r="G527">
        <v>224</v>
      </c>
      <c r="H527" t="s">
        <v>15</v>
      </c>
      <c r="I527" t="s">
        <v>38</v>
      </c>
      <c r="J527" s="1">
        <v>44674</v>
      </c>
    </row>
    <row r="528" spans="1:11" x14ac:dyDescent="0.3">
      <c r="A528" t="s">
        <v>738</v>
      </c>
      <c r="B528" t="s">
        <v>98</v>
      </c>
      <c r="C528" t="s">
        <v>66</v>
      </c>
      <c r="F528">
        <v>7</v>
      </c>
      <c r="G528">
        <v>108.5</v>
      </c>
      <c r="H528" t="s">
        <v>15</v>
      </c>
      <c r="I528" t="s">
        <v>16</v>
      </c>
      <c r="J528" s="1">
        <v>44729</v>
      </c>
      <c r="K528" t="b">
        <v>0</v>
      </c>
    </row>
    <row r="529" spans="1:11" x14ac:dyDescent="0.3">
      <c r="A529" t="s">
        <v>739</v>
      </c>
      <c r="B529" t="s">
        <v>108</v>
      </c>
      <c r="C529" t="s">
        <v>28</v>
      </c>
      <c r="D529" t="s">
        <v>117</v>
      </c>
      <c r="E529">
        <v>36.5</v>
      </c>
      <c r="F529">
        <v>5</v>
      </c>
      <c r="G529">
        <v>182.5</v>
      </c>
      <c r="H529" t="s">
        <v>15</v>
      </c>
      <c r="I529" t="s">
        <v>38</v>
      </c>
      <c r="J529" s="1">
        <v>44570</v>
      </c>
    </row>
    <row r="530" spans="1:11" x14ac:dyDescent="0.3">
      <c r="A530" t="s">
        <v>740</v>
      </c>
      <c r="B530" t="s">
        <v>55</v>
      </c>
      <c r="C530" t="s">
        <v>41</v>
      </c>
      <c r="D530" t="s">
        <v>303</v>
      </c>
      <c r="E530">
        <v>15.5</v>
      </c>
      <c r="F530">
        <v>2</v>
      </c>
      <c r="G530">
        <v>31</v>
      </c>
      <c r="H530" t="s">
        <v>25</v>
      </c>
      <c r="I530" t="s">
        <v>38</v>
      </c>
      <c r="J530" s="1">
        <v>45126</v>
      </c>
      <c r="K530" t="b">
        <v>0</v>
      </c>
    </row>
    <row r="531" spans="1:11" x14ac:dyDescent="0.3">
      <c r="A531" t="s">
        <v>741</v>
      </c>
      <c r="B531" t="s">
        <v>113</v>
      </c>
      <c r="C531" t="s">
        <v>32</v>
      </c>
      <c r="D531" t="s">
        <v>128</v>
      </c>
      <c r="E531">
        <v>21.5</v>
      </c>
      <c r="F531">
        <v>10</v>
      </c>
      <c r="G531">
        <v>215</v>
      </c>
      <c r="H531" t="s">
        <v>48</v>
      </c>
      <c r="I531" t="s">
        <v>38</v>
      </c>
      <c r="J531" s="1">
        <v>45422</v>
      </c>
      <c r="K531" t="b">
        <v>0</v>
      </c>
    </row>
    <row r="532" spans="1:11" x14ac:dyDescent="0.3">
      <c r="A532" t="s">
        <v>742</v>
      </c>
      <c r="B532" t="s">
        <v>100</v>
      </c>
      <c r="C532" t="s">
        <v>41</v>
      </c>
      <c r="D532" t="s">
        <v>233</v>
      </c>
      <c r="E532">
        <v>11</v>
      </c>
      <c r="F532">
        <v>3</v>
      </c>
      <c r="G532">
        <v>33</v>
      </c>
      <c r="H532" t="s">
        <v>15</v>
      </c>
      <c r="I532" t="s">
        <v>38</v>
      </c>
      <c r="J532" s="1">
        <v>44907</v>
      </c>
    </row>
    <row r="533" spans="1:11" x14ac:dyDescent="0.3">
      <c r="A533" t="s">
        <v>743</v>
      </c>
      <c r="B533" t="s">
        <v>55</v>
      </c>
      <c r="C533" t="s">
        <v>130</v>
      </c>
      <c r="D533" t="s">
        <v>744</v>
      </c>
      <c r="E533">
        <v>38</v>
      </c>
      <c r="F533">
        <v>4</v>
      </c>
      <c r="G533">
        <v>152</v>
      </c>
      <c r="H533" t="s">
        <v>25</v>
      </c>
      <c r="I533" t="s">
        <v>16</v>
      </c>
      <c r="J533" s="1">
        <v>45669</v>
      </c>
      <c r="K533" t="b">
        <v>1</v>
      </c>
    </row>
    <row r="534" spans="1:11" x14ac:dyDescent="0.3">
      <c r="A534" t="s">
        <v>745</v>
      </c>
      <c r="B534" t="s">
        <v>40</v>
      </c>
      <c r="C534" t="s">
        <v>41</v>
      </c>
      <c r="D534" t="s">
        <v>281</v>
      </c>
      <c r="E534">
        <v>5</v>
      </c>
      <c r="F534">
        <v>10</v>
      </c>
      <c r="G534">
        <v>50</v>
      </c>
      <c r="H534" t="s">
        <v>15</v>
      </c>
      <c r="I534" t="s">
        <v>38</v>
      </c>
      <c r="J534" s="1">
        <v>44658</v>
      </c>
    </row>
    <row r="535" spans="1:11" x14ac:dyDescent="0.3">
      <c r="A535" t="s">
        <v>746</v>
      </c>
      <c r="B535" t="s">
        <v>98</v>
      </c>
      <c r="C535" t="s">
        <v>23</v>
      </c>
      <c r="D535" t="s">
        <v>306</v>
      </c>
      <c r="E535">
        <v>23</v>
      </c>
      <c r="F535">
        <v>10</v>
      </c>
      <c r="G535">
        <v>230</v>
      </c>
      <c r="H535" t="s">
        <v>15</v>
      </c>
      <c r="I535" t="s">
        <v>38</v>
      </c>
      <c r="J535" s="1">
        <v>44936</v>
      </c>
      <c r="K535" t="b">
        <v>1</v>
      </c>
    </row>
    <row r="536" spans="1:11" x14ac:dyDescent="0.3">
      <c r="A536" t="s">
        <v>747</v>
      </c>
      <c r="B536" t="s">
        <v>116</v>
      </c>
      <c r="C536" t="s">
        <v>66</v>
      </c>
      <c r="D536" t="s">
        <v>748</v>
      </c>
      <c r="E536">
        <v>39.5</v>
      </c>
      <c r="F536">
        <v>7</v>
      </c>
      <c r="G536">
        <v>276.5</v>
      </c>
      <c r="H536" t="s">
        <v>48</v>
      </c>
      <c r="I536" t="s">
        <v>16</v>
      </c>
      <c r="J536" s="1">
        <v>45606</v>
      </c>
    </row>
    <row r="537" spans="1:11" x14ac:dyDescent="0.3">
      <c r="A537" t="s">
        <v>749</v>
      </c>
      <c r="B537" t="s">
        <v>12</v>
      </c>
      <c r="C537" t="s">
        <v>13</v>
      </c>
      <c r="D537" t="s">
        <v>222</v>
      </c>
      <c r="E537">
        <v>27.5</v>
      </c>
      <c r="F537">
        <v>9</v>
      </c>
      <c r="G537">
        <v>247.5</v>
      </c>
      <c r="H537" t="s">
        <v>15</v>
      </c>
      <c r="I537" t="s">
        <v>16</v>
      </c>
      <c r="J537" s="1">
        <v>44722</v>
      </c>
      <c r="K537" t="b">
        <v>0</v>
      </c>
    </row>
    <row r="538" spans="1:11" x14ac:dyDescent="0.3">
      <c r="A538" t="s">
        <v>750</v>
      </c>
      <c r="B538" t="s">
        <v>65</v>
      </c>
      <c r="C538" t="s">
        <v>130</v>
      </c>
      <c r="D538" t="s">
        <v>621</v>
      </c>
      <c r="E538">
        <v>21.5</v>
      </c>
      <c r="F538">
        <v>9</v>
      </c>
      <c r="G538">
        <v>193.5</v>
      </c>
      <c r="H538" t="s">
        <v>15</v>
      </c>
      <c r="I538" t="s">
        <v>16</v>
      </c>
      <c r="J538" s="1">
        <v>44932</v>
      </c>
      <c r="K538" t="b">
        <v>1</v>
      </c>
    </row>
    <row r="539" spans="1:11" x14ac:dyDescent="0.3">
      <c r="A539" t="s">
        <v>751</v>
      </c>
      <c r="B539" t="s">
        <v>63</v>
      </c>
      <c r="C539" t="s">
        <v>23</v>
      </c>
      <c r="F539">
        <v>6</v>
      </c>
      <c r="G539">
        <v>183</v>
      </c>
      <c r="H539" t="s">
        <v>15</v>
      </c>
      <c r="I539" t="s">
        <v>38</v>
      </c>
      <c r="J539" s="1">
        <v>45420</v>
      </c>
    </row>
    <row r="540" spans="1:11" x14ac:dyDescent="0.3">
      <c r="A540" t="s">
        <v>752</v>
      </c>
      <c r="B540" t="s">
        <v>84</v>
      </c>
      <c r="C540" t="s">
        <v>41</v>
      </c>
      <c r="D540" t="s">
        <v>44</v>
      </c>
      <c r="E540">
        <v>27.5</v>
      </c>
      <c r="F540">
        <v>10</v>
      </c>
      <c r="G540">
        <v>275</v>
      </c>
      <c r="H540" t="s">
        <v>48</v>
      </c>
      <c r="I540" t="s">
        <v>38</v>
      </c>
      <c r="J540" s="1">
        <v>45508</v>
      </c>
      <c r="K540" t="b">
        <v>0</v>
      </c>
    </row>
    <row r="541" spans="1:11" x14ac:dyDescent="0.3">
      <c r="A541" t="s">
        <v>753</v>
      </c>
      <c r="B541" t="s">
        <v>12</v>
      </c>
      <c r="C541" t="s">
        <v>13</v>
      </c>
      <c r="D541" t="s">
        <v>520</v>
      </c>
      <c r="E541">
        <v>15.5</v>
      </c>
      <c r="F541">
        <v>2</v>
      </c>
      <c r="G541">
        <v>31</v>
      </c>
      <c r="H541" t="s">
        <v>25</v>
      </c>
      <c r="I541" t="s">
        <v>16</v>
      </c>
      <c r="J541" s="1">
        <v>44622</v>
      </c>
    </row>
    <row r="542" spans="1:11" x14ac:dyDescent="0.3">
      <c r="A542" t="s">
        <v>754</v>
      </c>
      <c r="B542" t="s">
        <v>77</v>
      </c>
      <c r="C542" t="s">
        <v>19</v>
      </c>
      <c r="D542" t="s">
        <v>201</v>
      </c>
      <c r="E542">
        <v>15.5</v>
      </c>
      <c r="F542">
        <v>2</v>
      </c>
      <c r="G542">
        <v>31</v>
      </c>
      <c r="H542" t="s">
        <v>15</v>
      </c>
      <c r="I542" t="s">
        <v>16</v>
      </c>
      <c r="J542" s="1">
        <v>44740</v>
      </c>
    </row>
    <row r="543" spans="1:11" x14ac:dyDescent="0.3">
      <c r="A543" t="s">
        <v>755</v>
      </c>
      <c r="B543" t="s">
        <v>168</v>
      </c>
      <c r="C543" t="s">
        <v>32</v>
      </c>
      <c r="D543" t="s">
        <v>53</v>
      </c>
      <c r="E543">
        <v>6.5</v>
      </c>
      <c r="F543">
        <v>4</v>
      </c>
      <c r="G543">
        <v>26</v>
      </c>
      <c r="H543" t="s">
        <v>25</v>
      </c>
      <c r="I543" t="s">
        <v>38</v>
      </c>
      <c r="J543" s="1">
        <v>45359</v>
      </c>
    </row>
    <row r="544" spans="1:11" x14ac:dyDescent="0.3">
      <c r="A544" t="s">
        <v>756</v>
      </c>
      <c r="B544" t="s">
        <v>100</v>
      </c>
      <c r="C544" t="s">
        <v>41</v>
      </c>
      <c r="F544">
        <v>2</v>
      </c>
      <c r="G544">
        <v>76</v>
      </c>
      <c r="H544" t="s">
        <v>25</v>
      </c>
      <c r="I544" t="s">
        <v>16</v>
      </c>
      <c r="J544" s="1">
        <v>44724</v>
      </c>
      <c r="K544" t="b">
        <v>1</v>
      </c>
    </row>
    <row r="545" spans="1:11" x14ac:dyDescent="0.3">
      <c r="A545" t="s">
        <v>757</v>
      </c>
      <c r="B545" t="s">
        <v>12</v>
      </c>
      <c r="C545" t="s">
        <v>19</v>
      </c>
      <c r="D545" t="s">
        <v>540</v>
      </c>
      <c r="E545">
        <v>23</v>
      </c>
      <c r="F545">
        <v>10</v>
      </c>
      <c r="G545">
        <v>230</v>
      </c>
      <c r="H545" t="s">
        <v>15</v>
      </c>
      <c r="I545" t="s">
        <v>16</v>
      </c>
      <c r="J545" s="1">
        <v>45263</v>
      </c>
    </row>
    <row r="546" spans="1:11" x14ac:dyDescent="0.3">
      <c r="A546" t="s">
        <v>758</v>
      </c>
      <c r="B546" t="s">
        <v>40</v>
      </c>
      <c r="C546" t="s">
        <v>23</v>
      </c>
      <c r="D546" t="s">
        <v>277</v>
      </c>
      <c r="E546">
        <v>30.5</v>
      </c>
      <c r="F546">
        <v>9</v>
      </c>
      <c r="G546">
        <v>274.5</v>
      </c>
      <c r="H546" t="s">
        <v>25</v>
      </c>
      <c r="I546" t="s">
        <v>38</v>
      </c>
      <c r="J546" s="1">
        <v>44725</v>
      </c>
      <c r="K546" t="b">
        <v>0</v>
      </c>
    </row>
    <row r="547" spans="1:11" x14ac:dyDescent="0.3">
      <c r="A547" t="s">
        <v>759</v>
      </c>
      <c r="B547" t="s">
        <v>89</v>
      </c>
      <c r="C547" t="s">
        <v>13</v>
      </c>
      <c r="D547" t="s">
        <v>520</v>
      </c>
      <c r="E547">
        <v>15.5</v>
      </c>
      <c r="F547">
        <v>6</v>
      </c>
      <c r="G547">
        <v>93</v>
      </c>
      <c r="H547" t="s">
        <v>25</v>
      </c>
      <c r="I547" t="s">
        <v>16</v>
      </c>
      <c r="J547" s="1">
        <v>45148</v>
      </c>
    </row>
    <row r="548" spans="1:11" x14ac:dyDescent="0.3">
      <c r="A548" t="s">
        <v>760</v>
      </c>
      <c r="B548" t="s">
        <v>89</v>
      </c>
      <c r="C548" t="s">
        <v>66</v>
      </c>
      <c r="D548" t="s">
        <v>761</v>
      </c>
      <c r="E548">
        <v>6.5</v>
      </c>
      <c r="F548">
        <v>10</v>
      </c>
      <c r="G548">
        <v>65</v>
      </c>
      <c r="H548" t="s">
        <v>25</v>
      </c>
      <c r="I548" t="s">
        <v>38</v>
      </c>
      <c r="J548" s="1">
        <v>45232</v>
      </c>
    </row>
    <row r="549" spans="1:11" x14ac:dyDescent="0.3">
      <c r="A549" t="s">
        <v>762</v>
      </c>
      <c r="B549" t="s">
        <v>89</v>
      </c>
      <c r="C549" t="s">
        <v>13</v>
      </c>
      <c r="D549" t="s">
        <v>372</v>
      </c>
      <c r="E549">
        <v>23</v>
      </c>
      <c r="F549">
        <v>3</v>
      </c>
      <c r="G549">
        <v>69</v>
      </c>
      <c r="H549" t="s">
        <v>48</v>
      </c>
      <c r="I549" t="s">
        <v>38</v>
      </c>
      <c r="J549" s="1">
        <v>44786</v>
      </c>
      <c r="K549" t="b">
        <v>0</v>
      </c>
    </row>
    <row r="550" spans="1:11" x14ac:dyDescent="0.3">
      <c r="A550" t="s">
        <v>763</v>
      </c>
      <c r="B550" t="s">
        <v>12</v>
      </c>
      <c r="C550" t="s">
        <v>130</v>
      </c>
      <c r="D550" t="s">
        <v>621</v>
      </c>
      <c r="E550">
        <v>21.5</v>
      </c>
      <c r="F550">
        <v>1</v>
      </c>
      <c r="G550">
        <v>21.5</v>
      </c>
      <c r="H550" t="s">
        <v>48</v>
      </c>
      <c r="I550" t="s">
        <v>38</v>
      </c>
      <c r="J550" s="1">
        <v>45250</v>
      </c>
    </row>
    <row r="551" spans="1:11" x14ac:dyDescent="0.3">
      <c r="A551" t="s">
        <v>764</v>
      </c>
      <c r="B551" t="s">
        <v>43</v>
      </c>
      <c r="C551" t="s">
        <v>130</v>
      </c>
      <c r="D551" t="s">
        <v>212</v>
      </c>
      <c r="E551">
        <v>14</v>
      </c>
      <c r="F551">
        <v>7</v>
      </c>
      <c r="G551">
        <v>98</v>
      </c>
      <c r="H551" t="s">
        <v>48</v>
      </c>
      <c r="I551" t="s">
        <v>38</v>
      </c>
      <c r="J551" s="1">
        <v>45479</v>
      </c>
      <c r="K551" t="b">
        <v>0</v>
      </c>
    </row>
    <row r="552" spans="1:11" x14ac:dyDescent="0.3">
      <c r="A552" t="s">
        <v>765</v>
      </c>
      <c r="B552" t="s">
        <v>89</v>
      </c>
      <c r="C552" t="s">
        <v>66</v>
      </c>
      <c r="D552" t="s">
        <v>246</v>
      </c>
      <c r="E552">
        <v>15.5</v>
      </c>
      <c r="F552">
        <v>5</v>
      </c>
      <c r="G552">
        <v>77.5</v>
      </c>
      <c r="H552" t="s">
        <v>15</v>
      </c>
      <c r="I552" t="s">
        <v>16</v>
      </c>
      <c r="J552" s="1">
        <v>45413</v>
      </c>
      <c r="K552" t="b">
        <v>0</v>
      </c>
    </row>
    <row r="553" spans="1:11" x14ac:dyDescent="0.3">
      <c r="A553" t="s">
        <v>766</v>
      </c>
      <c r="B553" t="s">
        <v>89</v>
      </c>
      <c r="C553" t="s">
        <v>130</v>
      </c>
      <c r="D553" t="s">
        <v>240</v>
      </c>
      <c r="E553">
        <v>35</v>
      </c>
      <c r="F553">
        <v>8</v>
      </c>
      <c r="G553">
        <v>280</v>
      </c>
      <c r="H553" t="s">
        <v>25</v>
      </c>
      <c r="I553" t="s">
        <v>16</v>
      </c>
      <c r="J553" s="1">
        <v>45636</v>
      </c>
    </row>
    <row r="554" spans="1:11" x14ac:dyDescent="0.3">
      <c r="A554" t="s">
        <v>767</v>
      </c>
      <c r="B554" t="s">
        <v>100</v>
      </c>
      <c r="C554" t="s">
        <v>28</v>
      </c>
      <c r="F554">
        <v>5</v>
      </c>
      <c r="G554">
        <v>107.5</v>
      </c>
      <c r="H554" t="s">
        <v>25</v>
      </c>
      <c r="I554" t="s">
        <v>16</v>
      </c>
      <c r="J554" s="1">
        <v>44757</v>
      </c>
      <c r="K554" t="b">
        <v>1</v>
      </c>
    </row>
    <row r="555" spans="1:11" x14ac:dyDescent="0.3">
      <c r="A555" t="s">
        <v>768</v>
      </c>
      <c r="B555" t="s">
        <v>65</v>
      </c>
      <c r="C555" t="s">
        <v>130</v>
      </c>
      <c r="D555" t="s">
        <v>139</v>
      </c>
      <c r="E555">
        <v>11</v>
      </c>
      <c r="F555">
        <v>5</v>
      </c>
      <c r="G555">
        <v>55</v>
      </c>
      <c r="H555" t="s">
        <v>25</v>
      </c>
      <c r="I555" t="s">
        <v>16</v>
      </c>
      <c r="J555" s="1">
        <v>45091</v>
      </c>
      <c r="K555" t="b">
        <v>0</v>
      </c>
    </row>
    <row r="556" spans="1:11" x14ac:dyDescent="0.3">
      <c r="A556" t="s">
        <v>769</v>
      </c>
      <c r="B556" t="s">
        <v>63</v>
      </c>
      <c r="C556" t="s">
        <v>19</v>
      </c>
      <c r="D556" t="s">
        <v>265</v>
      </c>
      <c r="E556">
        <v>35</v>
      </c>
      <c r="F556">
        <v>7</v>
      </c>
      <c r="G556">
        <v>245</v>
      </c>
      <c r="H556" t="s">
        <v>48</v>
      </c>
      <c r="I556" t="s">
        <v>38</v>
      </c>
      <c r="J556" s="1">
        <v>45208</v>
      </c>
    </row>
    <row r="557" spans="1:11" x14ac:dyDescent="0.3">
      <c r="A557" t="s">
        <v>770</v>
      </c>
      <c r="B557" t="s">
        <v>40</v>
      </c>
      <c r="C557" t="s">
        <v>13</v>
      </c>
      <c r="D557" t="s">
        <v>14</v>
      </c>
      <c r="E557">
        <v>18.5</v>
      </c>
      <c r="F557">
        <v>6</v>
      </c>
      <c r="G557">
        <v>111</v>
      </c>
      <c r="H557" t="s">
        <v>15</v>
      </c>
      <c r="I557" t="s">
        <v>16</v>
      </c>
      <c r="J557" s="1">
        <v>44816</v>
      </c>
    </row>
    <row r="558" spans="1:11" x14ac:dyDescent="0.3">
      <c r="A558" t="s">
        <v>771</v>
      </c>
      <c r="B558" t="s">
        <v>113</v>
      </c>
      <c r="C558" t="s">
        <v>19</v>
      </c>
      <c r="D558" t="s">
        <v>540</v>
      </c>
      <c r="E558">
        <v>23</v>
      </c>
      <c r="F558">
        <v>6</v>
      </c>
      <c r="G558">
        <v>138</v>
      </c>
      <c r="H558" t="s">
        <v>48</v>
      </c>
      <c r="I558" t="s">
        <v>16</v>
      </c>
      <c r="J558" s="1">
        <v>45107</v>
      </c>
      <c r="K558" t="b">
        <v>0</v>
      </c>
    </row>
    <row r="559" spans="1:11" x14ac:dyDescent="0.3">
      <c r="A559" t="s">
        <v>772</v>
      </c>
      <c r="B559" t="s">
        <v>123</v>
      </c>
      <c r="C559" t="s">
        <v>41</v>
      </c>
      <c r="D559" t="s">
        <v>190</v>
      </c>
      <c r="E559">
        <v>20</v>
      </c>
      <c r="F559">
        <v>8</v>
      </c>
      <c r="G559">
        <v>160</v>
      </c>
      <c r="H559" t="s">
        <v>15</v>
      </c>
      <c r="I559" t="s">
        <v>16</v>
      </c>
      <c r="J559" s="1">
        <v>45084</v>
      </c>
      <c r="K559" t="b">
        <v>0</v>
      </c>
    </row>
    <row r="560" spans="1:11" x14ac:dyDescent="0.3">
      <c r="A560" t="s">
        <v>773</v>
      </c>
      <c r="B560" t="s">
        <v>63</v>
      </c>
      <c r="C560" t="s">
        <v>41</v>
      </c>
      <c r="D560" t="s">
        <v>190</v>
      </c>
      <c r="E560">
        <v>20</v>
      </c>
      <c r="F560">
        <v>8</v>
      </c>
      <c r="G560">
        <v>160</v>
      </c>
      <c r="H560" t="s">
        <v>48</v>
      </c>
      <c r="I560" t="s">
        <v>16</v>
      </c>
      <c r="J560" s="1">
        <v>45288</v>
      </c>
      <c r="K560" t="b">
        <v>1</v>
      </c>
    </row>
    <row r="561" spans="1:11" x14ac:dyDescent="0.3">
      <c r="A561" t="s">
        <v>774</v>
      </c>
      <c r="B561" t="s">
        <v>84</v>
      </c>
      <c r="C561" t="s">
        <v>66</v>
      </c>
      <c r="D561" t="s">
        <v>246</v>
      </c>
      <c r="E561">
        <v>15.5</v>
      </c>
      <c r="F561">
        <v>5</v>
      </c>
      <c r="G561">
        <v>77.5</v>
      </c>
      <c r="H561" t="s">
        <v>15</v>
      </c>
      <c r="I561" t="s">
        <v>38</v>
      </c>
      <c r="J561" s="1">
        <v>45338</v>
      </c>
      <c r="K561" t="b">
        <v>1</v>
      </c>
    </row>
    <row r="562" spans="1:11" x14ac:dyDescent="0.3">
      <c r="A562" t="s">
        <v>775</v>
      </c>
      <c r="B562" t="s">
        <v>40</v>
      </c>
      <c r="C562" t="s">
        <v>66</v>
      </c>
      <c r="D562" t="s">
        <v>420</v>
      </c>
      <c r="E562">
        <v>41</v>
      </c>
      <c r="F562">
        <v>5</v>
      </c>
      <c r="G562">
        <v>205</v>
      </c>
      <c r="H562" t="s">
        <v>15</v>
      </c>
      <c r="I562" t="s">
        <v>16</v>
      </c>
      <c r="J562" s="1">
        <v>45373</v>
      </c>
      <c r="K562" t="b">
        <v>1</v>
      </c>
    </row>
    <row r="563" spans="1:11" x14ac:dyDescent="0.3">
      <c r="A563" t="s">
        <v>776</v>
      </c>
      <c r="B563" t="s">
        <v>18</v>
      </c>
      <c r="C563" t="s">
        <v>28</v>
      </c>
      <c r="D563" t="s">
        <v>117</v>
      </c>
      <c r="E563">
        <v>36.5</v>
      </c>
      <c r="F563">
        <v>7</v>
      </c>
      <c r="G563">
        <v>255.5</v>
      </c>
      <c r="H563" t="s">
        <v>48</v>
      </c>
      <c r="I563" t="s">
        <v>38</v>
      </c>
      <c r="J563" s="1">
        <v>44642</v>
      </c>
      <c r="K563" t="b">
        <v>1</v>
      </c>
    </row>
    <row r="564" spans="1:11" x14ac:dyDescent="0.3">
      <c r="A564" t="s">
        <v>777</v>
      </c>
      <c r="B564" t="s">
        <v>31</v>
      </c>
      <c r="C564" t="s">
        <v>13</v>
      </c>
      <c r="D564" t="s">
        <v>172</v>
      </c>
      <c r="E564">
        <v>5</v>
      </c>
      <c r="F564">
        <v>8</v>
      </c>
      <c r="G564">
        <v>40</v>
      </c>
      <c r="H564" t="s">
        <v>25</v>
      </c>
      <c r="I564" t="s">
        <v>16</v>
      </c>
      <c r="J564" s="1">
        <v>44862</v>
      </c>
      <c r="K564" t="b">
        <v>0</v>
      </c>
    </row>
    <row r="565" spans="1:11" x14ac:dyDescent="0.3">
      <c r="A565" t="s">
        <v>778</v>
      </c>
      <c r="B565" t="s">
        <v>55</v>
      </c>
      <c r="C565" t="s">
        <v>23</v>
      </c>
      <c r="D565" t="s">
        <v>306</v>
      </c>
      <c r="E565">
        <v>23</v>
      </c>
      <c r="F565">
        <v>8</v>
      </c>
      <c r="G565">
        <v>184</v>
      </c>
      <c r="H565" t="s">
        <v>15</v>
      </c>
      <c r="I565" t="s">
        <v>16</v>
      </c>
      <c r="J565" s="1">
        <v>44897</v>
      </c>
    </row>
    <row r="566" spans="1:11" x14ac:dyDescent="0.3">
      <c r="A566" t="s">
        <v>779</v>
      </c>
      <c r="B566" t="s">
        <v>74</v>
      </c>
      <c r="C566" t="s">
        <v>66</v>
      </c>
      <c r="D566" t="s">
        <v>643</v>
      </c>
      <c r="E566">
        <v>26</v>
      </c>
      <c r="F566">
        <v>7</v>
      </c>
      <c r="G566">
        <v>182</v>
      </c>
      <c r="H566" t="s">
        <v>48</v>
      </c>
      <c r="I566" t="s">
        <v>16</v>
      </c>
      <c r="J566" s="1">
        <v>44696</v>
      </c>
    </row>
    <row r="567" spans="1:11" x14ac:dyDescent="0.3">
      <c r="A567" t="s">
        <v>780</v>
      </c>
      <c r="B567" t="s">
        <v>113</v>
      </c>
      <c r="C567" t="s">
        <v>19</v>
      </c>
      <c r="D567" t="s">
        <v>152</v>
      </c>
      <c r="E567">
        <v>12.5</v>
      </c>
      <c r="F567">
        <v>2</v>
      </c>
      <c r="G567">
        <v>25</v>
      </c>
      <c r="H567" t="s">
        <v>48</v>
      </c>
      <c r="I567" t="s">
        <v>38</v>
      </c>
      <c r="J567" s="1">
        <v>45517</v>
      </c>
      <c r="K567" t="b">
        <v>0</v>
      </c>
    </row>
    <row r="568" spans="1:11" x14ac:dyDescent="0.3">
      <c r="A568" t="s">
        <v>781</v>
      </c>
      <c r="B568" t="s">
        <v>168</v>
      </c>
      <c r="C568" t="s">
        <v>41</v>
      </c>
      <c r="D568" t="s">
        <v>81</v>
      </c>
      <c r="E568">
        <v>24.5</v>
      </c>
      <c r="F568">
        <v>7</v>
      </c>
      <c r="G568">
        <v>171.5</v>
      </c>
      <c r="H568" t="s">
        <v>48</v>
      </c>
      <c r="I568" t="s">
        <v>16</v>
      </c>
      <c r="J568" s="1">
        <v>44921</v>
      </c>
      <c r="K568" t="b">
        <v>1</v>
      </c>
    </row>
    <row r="569" spans="1:11" x14ac:dyDescent="0.3">
      <c r="A569" t="s">
        <v>782</v>
      </c>
      <c r="B569" t="s">
        <v>168</v>
      </c>
      <c r="C569" t="s">
        <v>13</v>
      </c>
      <c r="D569" t="s">
        <v>61</v>
      </c>
      <c r="E569">
        <v>29</v>
      </c>
      <c r="F569">
        <v>1</v>
      </c>
      <c r="G569">
        <v>29</v>
      </c>
      <c r="H569" t="s">
        <v>48</v>
      </c>
      <c r="I569" t="s">
        <v>16</v>
      </c>
      <c r="J569" s="1">
        <v>45010</v>
      </c>
      <c r="K569" t="b">
        <v>0</v>
      </c>
    </row>
    <row r="570" spans="1:11" x14ac:dyDescent="0.3">
      <c r="A570" t="s">
        <v>783</v>
      </c>
      <c r="B570" t="s">
        <v>100</v>
      </c>
      <c r="C570" t="s">
        <v>66</v>
      </c>
      <c r="D570" t="s">
        <v>377</v>
      </c>
      <c r="E570">
        <v>29</v>
      </c>
      <c r="F570">
        <v>4</v>
      </c>
      <c r="G570">
        <v>116</v>
      </c>
      <c r="H570" t="s">
        <v>15</v>
      </c>
      <c r="I570" t="s">
        <v>38</v>
      </c>
      <c r="J570" s="1">
        <v>44794</v>
      </c>
      <c r="K570" t="b">
        <v>1</v>
      </c>
    </row>
    <row r="571" spans="1:11" x14ac:dyDescent="0.3">
      <c r="A571" t="s">
        <v>784</v>
      </c>
      <c r="B571" t="s">
        <v>116</v>
      </c>
      <c r="C571" t="s">
        <v>28</v>
      </c>
      <c r="F571">
        <v>1</v>
      </c>
      <c r="G571">
        <v>33.5</v>
      </c>
      <c r="H571" t="s">
        <v>48</v>
      </c>
      <c r="I571" t="s">
        <v>38</v>
      </c>
      <c r="J571" s="1">
        <v>45589</v>
      </c>
      <c r="K571" t="b">
        <v>1</v>
      </c>
    </row>
    <row r="572" spans="1:11" x14ac:dyDescent="0.3">
      <c r="A572" t="s">
        <v>785</v>
      </c>
      <c r="B572" t="s">
        <v>74</v>
      </c>
      <c r="C572" t="s">
        <v>28</v>
      </c>
      <c r="D572" t="s">
        <v>570</v>
      </c>
      <c r="E572">
        <v>29</v>
      </c>
      <c r="F572">
        <v>1</v>
      </c>
      <c r="G572">
        <v>29</v>
      </c>
      <c r="H572" t="s">
        <v>15</v>
      </c>
      <c r="I572" t="s">
        <v>16</v>
      </c>
      <c r="J572" s="1">
        <v>44633</v>
      </c>
      <c r="K572" t="b">
        <v>1</v>
      </c>
    </row>
    <row r="573" spans="1:11" x14ac:dyDescent="0.3">
      <c r="A573" t="s">
        <v>786</v>
      </c>
      <c r="B573" t="s">
        <v>108</v>
      </c>
      <c r="C573" t="s">
        <v>41</v>
      </c>
      <c r="D573" t="s">
        <v>190</v>
      </c>
      <c r="E573">
        <v>20</v>
      </c>
      <c r="F573">
        <v>1</v>
      </c>
      <c r="G573">
        <v>20</v>
      </c>
      <c r="H573" t="s">
        <v>25</v>
      </c>
      <c r="I573" t="s">
        <v>38</v>
      </c>
      <c r="J573" s="1">
        <v>45642</v>
      </c>
    </row>
    <row r="574" spans="1:11" x14ac:dyDescent="0.3">
      <c r="A574" t="s">
        <v>787</v>
      </c>
      <c r="B574" t="s">
        <v>65</v>
      </c>
      <c r="C574" t="s">
        <v>41</v>
      </c>
      <c r="D574" t="s">
        <v>281</v>
      </c>
      <c r="E574">
        <v>5</v>
      </c>
      <c r="F574">
        <v>5</v>
      </c>
      <c r="G574">
        <v>25</v>
      </c>
      <c r="H574" t="s">
        <v>25</v>
      </c>
      <c r="I574" t="s">
        <v>16</v>
      </c>
      <c r="J574" s="1">
        <v>44910</v>
      </c>
      <c r="K574" t="b">
        <v>1</v>
      </c>
    </row>
    <row r="575" spans="1:11" x14ac:dyDescent="0.3">
      <c r="A575" t="s">
        <v>788</v>
      </c>
      <c r="B575" t="s">
        <v>31</v>
      </c>
      <c r="C575" t="s">
        <v>41</v>
      </c>
      <c r="D575" t="s">
        <v>342</v>
      </c>
      <c r="E575">
        <v>29</v>
      </c>
      <c r="F575">
        <v>2</v>
      </c>
      <c r="G575">
        <v>58</v>
      </c>
      <c r="H575" t="s">
        <v>48</v>
      </c>
      <c r="I575" t="s">
        <v>16</v>
      </c>
      <c r="J575" s="1">
        <v>44938</v>
      </c>
      <c r="K575" t="b">
        <v>0</v>
      </c>
    </row>
    <row r="576" spans="1:11" x14ac:dyDescent="0.3">
      <c r="A576" t="s">
        <v>789</v>
      </c>
      <c r="B576" t="s">
        <v>100</v>
      </c>
      <c r="C576" t="s">
        <v>19</v>
      </c>
      <c r="D576" t="s">
        <v>344</v>
      </c>
      <c r="E576">
        <v>26</v>
      </c>
      <c r="F576">
        <v>2</v>
      </c>
      <c r="G576">
        <v>52</v>
      </c>
      <c r="H576" t="s">
        <v>48</v>
      </c>
      <c r="I576" t="s">
        <v>38</v>
      </c>
      <c r="J576" s="1">
        <v>45378</v>
      </c>
      <c r="K576" t="b">
        <v>1</v>
      </c>
    </row>
    <row r="577" spans="1:11" x14ac:dyDescent="0.3">
      <c r="A577" t="s">
        <v>790</v>
      </c>
      <c r="B577" t="s">
        <v>12</v>
      </c>
      <c r="C577" t="s">
        <v>130</v>
      </c>
      <c r="D577" t="s">
        <v>326</v>
      </c>
      <c r="E577">
        <v>30.5</v>
      </c>
      <c r="F577">
        <v>9</v>
      </c>
      <c r="G577">
        <v>274.5</v>
      </c>
      <c r="H577" t="s">
        <v>48</v>
      </c>
      <c r="I577" t="s">
        <v>38</v>
      </c>
      <c r="J577" s="1">
        <v>45532</v>
      </c>
      <c r="K577" t="b">
        <v>1</v>
      </c>
    </row>
    <row r="578" spans="1:11" x14ac:dyDescent="0.3">
      <c r="A578" t="s">
        <v>791</v>
      </c>
      <c r="B578" t="s">
        <v>84</v>
      </c>
      <c r="C578" t="s">
        <v>19</v>
      </c>
      <c r="D578" t="s">
        <v>662</v>
      </c>
      <c r="E578">
        <v>30.5</v>
      </c>
      <c r="F578">
        <v>7</v>
      </c>
      <c r="G578">
        <v>213.5</v>
      </c>
      <c r="H578" t="s">
        <v>25</v>
      </c>
      <c r="I578" t="s">
        <v>38</v>
      </c>
      <c r="J578" s="1">
        <v>45203</v>
      </c>
      <c r="K578" t="b">
        <v>1</v>
      </c>
    </row>
    <row r="579" spans="1:11" x14ac:dyDescent="0.3">
      <c r="A579" t="s">
        <v>792</v>
      </c>
      <c r="B579" t="s">
        <v>98</v>
      </c>
      <c r="C579" t="s">
        <v>23</v>
      </c>
      <c r="D579" t="s">
        <v>47</v>
      </c>
      <c r="E579">
        <v>36.5</v>
      </c>
      <c r="F579">
        <v>10</v>
      </c>
      <c r="G579">
        <v>365</v>
      </c>
      <c r="H579" t="s">
        <v>15</v>
      </c>
      <c r="I579" t="s">
        <v>38</v>
      </c>
      <c r="J579" s="1">
        <v>44638</v>
      </c>
      <c r="K579" t="b">
        <v>1</v>
      </c>
    </row>
    <row r="580" spans="1:11" x14ac:dyDescent="0.3">
      <c r="A580" t="s">
        <v>793</v>
      </c>
      <c r="B580" t="s">
        <v>18</v>
      </c>
      <c r="C580" t="s">
        <v>66</v>
      </c>
      <c r="D580" t="s">
        <v>101</v>
      </c>
      <c r="E580">
        <v>35</v>
      </c>
      <c r="F580">
        <v>5</v>
      </c>
      <c r="G580">
        <v>175</v>
      </c>
      <c r="H580" t="s">
        <v>48</v>
      </c>
      <c r="I580" t="s">
        <v>38</v>
      </c>
      <c r="J580" s="1">
        <v>45654</v>
      </c>
      <c r="K580" t="b">
        <v>0</v>
      </c>
    </row>
    <row r="581" spans="1:11" x14ac:dyDescent="0.3">
      <c r="A581" t="s">
        <v>794</v>
      </c>
      <c r="B581" t="s">
        <v>69</v>
      </c>
      <c r="C581" t="s">
        <v>23</v>
      </c>
      <c r="D581" t="s">
        <v>24</v>
      </c>
      <c r="E581">
        <v>21.5</v>
      </c>
      <c r="F581">
        <v>5</v>
      </c>
      <c r="G581">
        <v>107.5</v>
      </c>
      <c r="H581" t="s">
        <v>48</v>
      </c>
      <c r="I581" t="s">
        <v>38</v>
      </c>
      <c r="J581" s="1">
        <v>44637</v>
      </c>
      <c r="K581" t="b">
        <v>1</v>
      </c>
    </row>
    <row r="582" spans="1:11" x14ac:dyDescent="0.3">
      <c r="A582" t="s">
        <v>795</v>
      </c>
      <c r="B582" t="s">
        <v>55</v>
      </c>
      <c r="C582" t="s">
        <v>13</v>
      </c>
      <c r="D582" t="s">
        <v>796</v>
      </c>
      <c r="E582">
        <v>38</v>
      </c>
      <c r="F582">
        <v>3</v>
      </c>
      <c r="G582">
        <v>114</v>
      </c>
      <c r="H582" t="s">
        <v>15</v>
      </c>
      <c r="I582" t="s">
        <v>16</v>
      </c>
      <c r="J582" s="1">
        <v>44676</v>
      </c>
      <c r="K582" t="b">
        <v>0</v>
      </c>
    </row>
    <row r="583" spans="1:11" x14ac:dyDescent="0.3">
      <c r="A583" t="s">
        <v>797</v>
      </c>
      <c r="B583" t="s">
        <v>43</v>
      </c>
      <c r="C583" t="s">
        <v>19</v>
      </c>
      <c r="D583" t="s">
        <v>142</v>
      </c>
      <c r="E583">
        <v>32</v>
      </c>
      <c r="F583">
        <v>6</v>
      </c>
      <c r="G583">
        <v>192</v>
      </c>
      <c r="H583" t="s">
        <v>25</v>
      </c>
      <c r="I583" t="s">
        <v>16</v>
      </c>
      <c r="J583" s="1">
        <v>45186</v>
      </c>
      <c r="K583" t="b">
        <v>1</v>
      </c>
    </row>
    <row r="584" spans="1:11" x14ac:dyDescent="0.3">
      <c r="A584" t="s">
        <v>798</v>
      </c>
      <c r="B584" t="s">
        <v>116</v>
      </c>
      <c r="C584" t="s">
        <v>66</v>
      </c>
      <c r="D584" t="s">
        <v>643</v>
      </c>
      <c r="E584">
        <v>26</v>
      </c>
      <c r="F584">
        <v>3</v>
      </c>
      <c r="G584">
        <v>78</v>
      </c>
      <c r="H584" t="s">
        <v>48</v>
      </c>
      <c r="I584" t="s">
        <v>38</v>
      </c>
      <c r="J584" s="1">
        <v>44802</v>
      </c>
    </row>
    <row r="585" spans="1:11" x14ac:dyDescent="0.3">
      <c r="A585" t="s">
        <v>799</v>
      </c>
      <c r="B585" t="s">
        <v>55</v>
      </c>
      <c r="C585" t="s">
        <v>32</v>
      </c>
      <c r="D585" t="s">
        <v>498</v>
      </c>
      <c r="E585">
        <v>29</v>
      </c>
      <c r="F585">
        <v>7</v>
      </c>
      <c r="G585">
        <v>203</v>
      </c>
      <c r="H585" t="s">
        <v>25</v>
      </c>
      <c r="I585" t="s">
        <v>38</v>
      </c>
      <c r="J585" s="1">
        <v>44783</v>
      </c>
    </row>
    <row r="586" spans="1:11" x14ac:dyDescent="0.3">
      <c r="A586" t="s">
        <v>800</v>
      </c>
      <c r="B586" t="s">
        <v>74</v>
      </c>
      <c r="C586" t="s">
        <v>19</v>
      </c>
      <c r="D586" t="s">
        <v>540</v>
      </c>
      <c r="E586">
        <v>23</v>
      </c>
      <c r="F586">
        <v>7</v>
      </c>
      <c r="G586">
        <v>161</v>
      </c>
      <c r="H586" t="s">
        <v>25</v>
      </c>
      <c r="I586" t="s">
        <v>38</v>
      </c>
      <c r="J586" s="1">
        <v>45238</v>
      </c>
    </row>
    <row r="587" spans="1:11" x14ac:dyDescent="0.3">
      <c r="A587" t="s">
        <v>801</v>
      </c>
      <c r="B587" t="s">
        <v>123</v>
      </c>
      <c r="C587" t="s">
        <v>19</v>
      </c>
      <c r="D587" t="s">
        <v>391</v>
      </c>
      <c r="E587">
        <v>6.5</v>
      </c>
      <c r="F587">
        <v>10</v>
      </c>
      <c r="G587">
        <v>65</v>
      </c>
      <c r="H587" t="s">
        <v>25</v>
      </c>
      <c r="I587" t="s">
        <v>16</v>
      </c>
      <c r="J587" s="1">
        <v>45097</v>
      </c>
      <c r="K587" t="b">
        <v>1</v>
      </c>
    </row>
    <row r="588" spans="1:11" x14ac:dyDescent="0.3">
      <c r="A588" t="s">
        <v>802</v>
      </c>
      <c r="B588" t="s">
        <v>55</v>
      </c>
      <c r="C588" t="s">
        <v>32</v>
      </c>
      <c r="D588" t="s">
        <v>128</v>
      </c>
      <c r="E588">
        <v>21.5</v>
      </c>
      <c r="F588">
        <v>9</v>
      </c>
      <c r="G588">
        <v>193.5</v>
      </c>
      <c r="H588" t="s">
        <v>15</v>
      </c>
      <c r="I588" t="s">
        <v>16</v>
      </c>
      <c r="J588" s="1">
        <v>44870</v>
      </c>
      <c r="K588" t="b">
        <v>0</v>
      </c>
    </row>
    <row r="589" spans="1:11" x14ac:dyDescent="0.3">
      <c r="A589" t="s">
        <v>803</v>
      </c>
      <c r="B589" t="s">
        <v>18</v>
      </c>
      <c r="C589" t="s">
        <v>19</v>
      </c>
      <c r="D589" t="s">
        <v>20</v>
      </c>
      <c r="E589">
        <v>29</v>
      </c>
      <c r="F589">
        <v>2</v>
      </c>
      <c r="G589">
        <v>58</v>
      </c>
      <c r="H589" t="s">
        <v>15</v>
      </c>
      <c r="I589" t="s">
        <v>38</v>
      </c>
      <c r="J589" s="1">
        <v>44752</v>
      </c>
      <c r="K589" t="b">
        <v>0</v>
      </c>
    </row>
    <row r="590" spans="1:11" x14ac:dyDescent="0.3">
      <c r="A590" t="s">
        <v>804</v>
      </c>
      <c r="B590" t="s">
        <v>22</v>
      </c>
      <c r="C590" t="s">
        <v>23</v>
      </c>
      <c r="D590" t="s">
        <v>114</v>
      </c>
      <c r="E590">
        <v>38</v>
      </c>
      <c r="F590">
        <v>7</v>
      </c>
      <c r="G590">
        <v>266</v>
      </c>
      <c r="H590" t="s">
        <v>25</v>
      </c>
      <c r="I590" t="s">
        <v>38</v>
      </c>
      <c r="J590" s="1">
        <v>44656</v>
      </c>
      <c r="K590" t="b">
        <v>0</v>
      </c>
    </row>
    <row r="591" spans="1:11" x14ac:dyDescent="0.3">
      <c r="A591" t="s">
        <v>805</v>
      </c>
      <c r="B591" t="s">
        <v>22</v>
      </c>
      <c r="C591" t="s">
        <v>41</v>
      </c>
      <c r="D591" t="s">
        <v>199</v>
      </c>
      <c r="E591">
        <v>39.5</v>
      </c>
      <c r="F591">
        <v>7</v>
      </c>
      <c r="G591">
        <v>276.5</v>
      </c>
      <c r="H591" t="s">
        <v>48</v>
      </c>
      <c r="I591" t="s">
        <v>38</v>
      </c>
      <c r="J591" s="1">
        <v>44759</v>
      </c>
      <c r="K591" t="b">
        <v>1</v>
      </c>
    </row>
    <row r="592" spans="1:11" x14ac:dyDescent="0.3">
      <c r="A592" t="s">
        <v>806</v>
      </c>
      <c r="B592" t="s">
        <v>46</v>
      </c>
      <c r="C592" t="s">
        <v>130</v>
      </c>
      <c r="D592" t="s">
        <v>335</v>
      </c>
      <c r="E592">
        <v>20</v>
      </c>
      <c r="F592">
        <v>7</v>
      </c>
      <c r="G592">
        <v>140</v>
      </c>
      <c r="H592" t="s">
        <v>25</v>
      </c>
      <c r="I592" t="s">
        <v>16</v>
      </c>
      <c r="J592" s="1">
        <v>44805</v>
      </c>
      <c r="K592" t="b">
        <v>0</v>
      </c>
    </row>
    <row r="593" spans="1:11" x14ac:dyDescent="0.3">
      <c r="A593" t="s">
        <v>807</v>
      </c>
      <c r="B593" t="s">
        <v>22</v>
      </c>
      <c r="C593" t="s">
        <v>41</v>
      </c>
      <c r="D593" t="s">
        <v>190</v>
      </c>
      <c r="E593">
        <v>20</v>
      </c>
      <c r="F593">
        <v>2</v>
      </c>
      <c r="G593">
        <v>40</v>
      </c>
      <c r="H593" t="s">
        <v>48</v>
      </c>
      <c r="I593" t="s">
        <v>16</v>
      </c>
      <c r="J593" s="1">
        <v>45429</v>
      </c>
      <c r="K593" t="b">
        <v>0</v>
      </c>
    </row>
    <row r="594" spans="1:11" x14ac:dyDescent="0.3">
      <c r="A594" t="s">
        <v>808</v>
      </c>
      <c r="B594" t="s">
        <v>55</v>
      </c>
      <c r="C594" t="s">
        <v>28</v>
      </c>
      <c r="D594" t="s">
        <v>111</v>
      </c>
      <c r="E594">
        <v>20</v>
      </c>
      <c r="F594">
        <v>1</v>
      </c>
      <c r="G594">
        <v>20</v>
      </c>
      <c r="H594" t="s">
        <v>15</v>
      </c>
      <c r="I594" t="s">
        <v>16</v>
      </c>
      <c r="J594" s="1">
        <v>44616</v>
      </c>
      <c r="K594" t="b">
        <v>1</v>
      </c>
    </row>
    <row r="595" spans="1:11" x14ac:dyDescent="0.3">
      <c r="A595" t="s">
        <v>809</v>
      </c>
      <c r="B595" t="s">
        <v>65</v>
      </c>
      <c r="C595" t="s">
        <v>13</v>
      </c>
      <c r="D595" t="s">
        <v>92</v>
      </c>
      <c r="E595">
        <v>36.5</v>
      </c>
      <c r="F595">
        <v>2</v>
      </c>
      <c r="G595">
        <v>73</v>
      </c>
      <c r="H595" t="s">
        <v>48</v>
      </c>
      <c r="I595" t="s">
        <v>38</v>
      </c>
      <c r="J595" s="1">
        <v>45222</v>
      </c>
      <c r="K595" t="b">
        <v>0</v>
      </c>
    </row>
    <row r="596" spans="1:11" x14ac:dyDescent="0.3">
      <c r="A596" t="s">
        <v>810</v>
      </c>
      <c r="B596" t="s">
        <v>89</v>
      </c>
      <c r="C596" t="s">
        <v>41</v>
      </c>
      <c r="E596">
        <v>9.5</v>
      </c>
      <c r="H596" t="s">
        <v>25</v>
      </c>
      <c r="I596" t="s">
        <v>16</v>
      </c>
      <c r="J596" s="1">
        <v>45529</v>
      </c>
      <c r="K596" t="b">
        <v>0</v>
      </c>
    </row>
    <row r="597" spans="1:11" x14ac:dyDescent="0.3">
      <c r="A597" t="s">
        <v>811</v>
      </c>
      <c r="B597" t="s">
        <v>63</v>
      </c>
      <c r="C597" t="s">
        <v>32</v>
      </c>
      <c r="D597" t="s">
        <v>812</v>
      </c>
      <c r="E597">
        <v>26</v>
      </c>
      <c r="F597">
        <v>4</v>
      </c>
      <c r="G597">
        <v>104</v>
      </c>
      <c r="H597" t="s">
        <v>48</v>
      </c>
      <c r="I597" t="s">
        <v>16</v>
      </c>
      <c r="J597" s="1">
        <v>44728</v>
      </c>
      <c r="K597" t="b">
        <v>1</v>
      </c>
    </row>
    <row r="598" spans="1:11" x14ac:dyDescent="0.3">
      <c r="A598" t="s">
        <v>813</v>
      </c>
      <c r="B598" t="s">
        <v>100</v>
      </c>
      <c r="C598" t="s">
        <v>41</v>
      </c>
      <c r="D598" t="s">
        <v>709</v>
      </c>
      <c r="E598">
        <v>21.5</v>
      </c>
      <c r="F598">
        <v>5</v>
      </c>
      <c r="G598">
        <v>107.5</v>
      </c>
      <c r="H598" t="s">
        <v>48</v>
      </c>
      <c r="I598" t="s">
        <v>16</v>
      </c>
      <c r="J598" s="1">
        <v>45288</v>
      </c>
      <c r="K598" t="b">
        <v>1</v>
      </c>
    </row>
    <row r="599" spans="1:11" x14ac:dyDescent="0.3">
      <c r="A599" t="s">
        <v>814</v>
      </c>
      <c r="B599" t="s">
        <v>74</v>
      </c>
      <c r="C599" t="s">
        <v>19</v>
      </c>
      <c r="D599" t="s">
        <v>20</v>
      </c>
      <c r="E599">
        <v>29</v>
      </c>
      <c r="F599">
        <v>2</v>
      </c>
      <c r="G599">
        <v>58</v>
      </c>
      <c r="H599" t="s">
        <v>25</v>
      </c>
      <c r="I599" t="s">
        <v>38</v>
      </c>
      <c r="J599" s="1">
        <v>45629</v>
      </c>
      <c r="K599" t="b">
        <v>0</v>
      </c>
    </row>
    <row r="600" spans="1:11" x14ac:dyDescent="0.3">
      <c r="A600" t="s">
        <v>815</v>
      </c>
      <c r="B600" t="s">
        <v>108</v>
      </c>
      <c r="C600" t="s">
        <v>28</v>
      </c>
      <c r="D600" t="s">
        <v>258</v>
      </c>
      <c r="E600">
        <v>33.5</v>
      </c>
      <c r="F600">
        <v>6</v>
      </c>
      <c r="G600">
        <v>201</v>
      </c>
      <c r="H600" t="s">
        <v>25</v>
      </c>
      <c r="I600" t="s">
        <v>16</v>
      </c>
      <c r="J600" s="1">
        <v>44578</v>
      </c>
      <c r="K600" t="b">
        <v>0</v>
      </c>
    </row>
    <row r="601" spans="1:11" x14ac:dyDescent="0.3">
      <c r="A601" t="s">
        <v>816</v>
      </c>
      <c r="B601" t="s">
        <v>63</v>
      </c>
      <c r="C601" t="s">
        <v>130</v>
      </c>
      <c r="D601" t="s">
        <v>183</v>
      </c>
      <c r="E601">
        <v>33.5</v>
      </c>
      <c r="F601">
        <v>7</v>
      </c>
      <c r="G601">
        <v>234.5</v>
      </c>
      <c r="H601" t="s">
        <v>25</v>
      </c>
      <c r="I601" t="s">
        <v>38</v>
      </c>
      <c r="J601" s="1">
        <v>45030</v>
      </c>
      <c r="K601" t="b">
        <v>1</v>
      </c>
    </row>
    <row r="602" spans="1:11" x14ac:dyDescent="0.3">
      <c r="A602" t="s">
        <v>817</v>
      </c>
      <c r="B602" t="s">
        <v>46</v>
      </c>
      <c r="C602" t="s">
        <v>32</v>
      </c>
      <c r="D602" t="s">
        <v>498</v>
      </c>
      <c r="E602">
        <v>29</v>
      </c>
      <c r="F602">
        <v>3</v>
      </c>
      <c r="G602">
        <v>87</v>
      </c>
      <c r="H602" t="s">
        <v>15</v>
      </c>
      <c r="I602" t="s">
        <v>38</v>
      </c>
      <c r="J602" s="1">
        <v>45622</v>
      </c>
    </row>
    <row r="603" spans="1:11" x14ac:dyDescent="0.3">
      <c r="A603" t="s">
        <v>818</v>
      </c>
      <c r="B603" t="s">
        <v>36</v>
      </c>
      <c r="C603" t="s">
        <v>32</v>
      </c>
      <c r="D603" t="s">
        <v>819</v>
      </c>
      <c r="E603">
        <v>15.5</v>
      </c>
      <c r="F603">
        <v>6</v>
      </c>
      <c r="G603">
        <v>93</v>
      </c>
      <c r="H603" t="s">
        <v>25</v>
      </c>
      <c r="I603" t="s">
        <v>38</v>
      </c>
      <c r="J603" s="1">
        <v>45504</v>
      </c>
      <c r="K603" t="b">
        <v>1</v>
      </c>
    </row>
    <row r="604" spans="1:11" x14ac:dyDescent="0.3">
      <c r="A604" t="s">
        <v>820</v>
      </c>
      <c r="B604" t="s">
        <v>43</v>
      </c>
      <c r="C604" t="s">
        <v>130</v>
      </c>
      <c r="D604" t="s">
        <v>149</v>
      </c>
      <c r="E604">
        <v>26</v>
      </c>
      <c r="F604">
        <v>4</v>
      </c>
      <c r="G604">
        <v>104</v>
      </c>
      <c r="H604" t="s">
        <v>15</v>
      </c>
      <c r="I604" t="s">
        <v>38</v>
      </c>
      <c r="J604" s="1">
        <v>45546</v>
      </c>
      <c r="K604" t="b">
        <v>1</v>
      </c>
    </row>
    <row r="605" spans="1:11" x14ac:dyDescent="0.3">
      <c r="A605" t="s">
        <v>821</v>
      </c>
      <c r="B605" t="s">
        <v>69</v>
      </c>
      <c r="C605" t="s">
        <v>32</v>
      </c>
      <c r="D605" t="s">
        <v>126</v>
      </c>
      <c r="E605">
        <v>8</v>
      </c>
      <c r="F605">
        <v>7</v>
      </c>
      <c r="G605">
        <v>56</v>
      </c>
      <c r="H605" t="s">
        <v>48</v>
      </c>
      <c r="I605" t="s">
        <v>16</v>
      </c>
      <c r="J605" s="1">
        <v>44834</v>
      </c>
      <c r="K605" t="b">
        <v>0</v>
      </c>
    </row>
    <row r="606" spans="1:11" x14ac:dyDescent="0.3">
      <c r="A606" t="s">
        <v>822</v>
      </c>
      <c r="B606" t="s">
        <v>84</v>
      </c>
      <c r="C606" t="s">
        <v>32</v>
      </c>
      <c r="D606" t="s">
        <v>203</v>
      </c>
      <c r="E606">
        <v>9.5</v>
      </c>
      <c r="F606">
        <v>3</v>
      </c>
      <c r="G606">
        <v>28.5</v>
      </c>
      <c r="H606" t="s">
        <v>25</v>
      </c>
      <c r="I606" t="s">
        <v>38</v>
      </c>
      <c r="J606" s="1">
        <v>44590</v>
      </c>
      <c r="K606" t="b">
        <v>1</v>
      </c>
    </row>
    <row r="607" spans="1:11" x14ac:dyDescent="0.3">
      <c r="A607" t="s">
        <v>823</v>
      </c>
      <c r="B607" t="s">
        <v>43</v>
      </c>
      <c r="C607" t="s">
        <v>130</v>
      </c>
      <c r="D607" t="s">
        <v>621</v>
      </c>
      <c r="E607">
        <v>21.5</v>
      </c>
      <c r="F607">
        <v>4</v>
      </c>
      <c r="G607">
        <v>86</v>
      </c>
      <c r="H607" t="s">
        <v>48</v>
      </c>
      <c r="I607" t="s">
        <v>16</v>
      </c>
      <c r="J607" s="1">
        <v>45569</v>
      </c>
    </row>
    <row r="608" spans="1:11" x14ac:dyDescent="0.3">
      <c r="A608" t="s">
        <v>824</v>
      </c>
      <c r="B608" t="s">
        <v>69</v>
      </c>
      <c r="C608" t="s">
        <v>19</v>
      </c>
      <c r="D608" t="s">
        <v>210</v>
      </c>
      <c r="E608">
        <v>9.5</v>
      </c>
      <c r="F608">
        <v>7</v>
      </c>
      <c r="G608">
        <v>66.5</v>
      </c>
      <c r="H608" t="s">
        <v>15</v>
      </c>
      <c r="I608" t="s">
        <v>38</v>
      </c>
      <c r="J608" s="1">
        <v>45319</v>
      </c>
    </row>
    <row r="609" spans="1:11" x14ac:dyDescent="0.3">
      <c r="A609" t="s">
        <v>825</v>
      </c>
      <c r="B609" t="s">
        <v>55</v>
      </c>
      <c r="C609" t="s">
        <v>23</v>
      </c>
      <c r="D609" t="s">
        <v>551</v>
      </c>
      <c r="E609">
        <v>11</v>
      </c>
      <c r="F609">
        <v>5</v>
      </c>
      <c r="G609">
        <v>55</v>
      </c>
      <c r="H609" t="s">
        <v>48</v>
      </c>
      <c r="I609" t="s">
        <v>16</v>
      </c>
      <c r="J609" s="1">
        <v>45651</v>
      </c>
      <c r="K609" t="b">
        <v>1</v>
      </c>
    </row>
    <row r="610" spans="1:11" x14ac:dyDescent="0.3">
      <c r="A610" t="s">
        <v>826</v>
      </c>
      <c r="B610" t="s">
        <v>108</v>
      </c>
      <c r="C610" t="s">
        <v>28</v>
      </c>
      <c r="D610" t="s">
        <v>124</v>
      </c>
      <c r="E610">
        <v>15.5</v>
      </c>
      <c r="F610">
        <v>6</v>
      </c>
      <c r="G610">
        <v>93</v>
      </c>
      <c r="H610" t="s">
        <v>25</v>
      </c>
      <c r="I610" t="s">
        <v>38</v>
      </c>
      <c r="J610" s="1">
        <v>45115</v>
      </c>
    </row>
    <row r="611" spans="1:11" x14ac:dyDescent="0.3">
      <c r="A611" t="s">
        <v>827</v>
      </c>
      <c r="B611" t="s">
        <v>98</v>
      </c>
      <c r="C611" t="s">
        <v>66</v>
      </c>
      <c r="D611" t="s">
        <v>215</v>
      </c>
      <c r="E611">
        <v>12.5</v>
      </c>
      <c r="F611">
        <v>2</v>
      </c>
      <c r="G611">
        <v>25</v>
      </c>
      <c r="H611" t="s">
        <v>48</v>
      </c>
      <c r="I611" t="s">
        <v>16</v>
      </c>
      <c r="J611" s="1">
        <v>44997</v>
      </c>
      <c r="K611" t="b">
        <v>0</v>
      </c>
    </row>
    <row r="612" spans="1:11" x14ac:dyDescent="0.3">
      <c r="A612" t="s">
        <v>828</v>
      </c>
      <c r="B612" t="s">
        <v>98</v>
      </c>
      <c r="C612" t="s">
        <v>41</v>
      </c>
      <c r="D612" t="s">
        <v>233</v>
      </c>
      <c r="E612">
        <v>11</v>
      </c>
      <c r="F612">
        <v>5</v>
      </c>
      <c r="G612">
        <v>55</v>
      </c>
      <c r="H612" t="s">
        <v>25</v>
      </c>
      <c r="I612" t="s">
        <v>38</v>
      </c>
      <c r="J612" s="1">
        <v>45335</v>
      </c>
      <c r="K612" t="b">
        <v>1</v>
      </c>
    </row>
    <row r="613" spans="1:11" x14ac:dyDescent="0.3">
      <c r="A613" t="s">
        <v>829</v>
      </c>
      <c r="B613" t="s">
        <v>89</v>
      </c>
      <c r="C613" t="s">
        <v>23</v>
      </c>
      <c r="D613" t="s">
        <v>85</v>
      </c>
      <c r="E613">
        <v>33.5</v>
      </c>
      <c r="F613">
        <v>2</v>
      </c>
      <c r="G613">
        <v>67</v>
      </c>
      <c r="H613" t="s">
        <v>48</v>
      </c>
      <c r="I613" t="s">
        <v>38</v>
      </c>
      <c r="J613" s="1">
        <v>45536</v>
      </c>
      <c r="K613" t="b">
        <v>1</v>
      </c>
    </row>
    <row r="614" spans="1:11" x14ac:dyDescent="0.3">
      <c r="A614" t="s">
        <v>830</v>
      </c>
      <c r="B614" t="s">
        <v>168</v>
      </c>
      <c r="C614" t="s">
        <v>23</v>
      </c>
      <c r="D614" t="s">
        <v>227</v>
      </c>
      <c r="E614">
        <v>15.5</v>
      </c>
      <c r="F614">
        <v>9</v>
      </c>
      <c r="G614">
        <v>139.5</v>
      </c>
      <c r="H614" t="s">
        <v>15</v>
      </c>
      <c r="I614" t="s">
        <v>16</v>
      </c>
      <c r="J614" s="1">
        <v>44625</v>
      </c>
      <c r="K614" t="b">
        <v>0</v>
      </c>
    </row>
    <row r="615" spans="1:11" x14ac:dyDescent="0.3">
      <c r="A615" t="s">
        <v>831</v>
      </c>
      <c r="B615" t="s">
        <v>46</v>
      </c>
      <c r="C615" t="s">
        <v>28</v>
      </c>
      <c r="D615" t="s">
        <v>727</v>
      </c>
      <c r="E615">
        <v>30.5</v>
      </c>
      <c r="F615">
        <v>1</v>
      </c>
      <c r="G615">
        <v>30.5</v>
      </c>
      <c r="H615" t="s">
        <v>15</v>
      </c>
      <c r="I615" t="s">
        <v>38</v>
      </c>
      <c r="J615" s="1">
        <v>45573</v>
      </c>
      <c r="K615" t="b">
        <v>0</v>
      </c>
    </row>
    <row r="616" spans="1:11" x14ac:dyDescent="0.3">
      <c r="A616" t="s">
        <v>832</v>
      </c>
      <c r="B616" t="s">
        <v>18</v>
      </c>
      <c r="C616" t="s">
        <v>130</v>
      </c>
      <c r="D616" t="s">
        <v>335</v>
      </c>
      <c r="E616">
        <v>20</v>
      </c>
      <c r="F616">
        <v>1</v>
      </c>
      <c r="G616">
        <v>20</v>
      </c>
      <c r="H616" t="s">
        <v>25</v>
      </c>
      <c r="I616" t="s">
        <v>16</v>
      </c>
      <c r="J616" s="1">
        <v>45036</v>
      </c>
      <c r="K616" t="b">
        <v>0</v>
      </c>
    </row>
    <row r="617" spans="1:11" x14ac:dyDescent="0.3">
      <c r="A617" t="s">
        <v>833</v>
      </c>
      <c r="B617" t="s">
        <v>43</v>
      </c>
      <c r="C617" t="s">
        <v>32</v>
      </c>
      <c r="D617" t="s">
        <v>203</v>
      </c>
      <c r="E617">
        <v>9.5</v>
      </c>
      <c r="F617">
        <v>9</v>
      </c>
      <c r="G617">
        <v>85.5</v>
      </c>
      <c r="H617" t="s">
        <v>25</v>
      </c>
      <c r="I617" t="s">
        <v>38</v>
      </c>
      <c r="J617" s="1">
        <v>45636</v>
      </c>
      <c r="K617" t="b">
        <v>1</v>
      </c>
    </row>
    <row r="618" spans="1:11" x14ac:dyDescent="0.3">
      <c r="A618" t="s">
        <v>834</v>
      </c>
      <c r="B618" t="s">
        <v>168</v>
      </c>
      <c r="C618" t="s">
        <v>41</v>
      </c>
      <c r="D618" t="s">
        <v>81</v>
      </c>
      <c r="E618">
        <v>24.5</v>
      </c>
      <c r="F618">
        <v>2</v>
      </c>
      <c r="G618">
        <v>49</v>
      </c>
      <c r="H618" t="s">
        <v>15</v>
      </c>
      <c r="I618" t="s">
        <v>38</v>
      </c>
      <c r="J618" s="1">
        <v>44680</v>
      </c>
    </row>
    <row r="619" spans="1:11" x14ac:dyDescent="0.3">
      <c r="A619" t="s">
        <v>835</v>
      </c>
      <c r="B619" t="s">
        <v>108</v>
      </c>
      <c r="C619" t="s">
        <v>28</v>
      </c>
      <c r="D619" t="s">
        <v>258</v>
      </c>
      <c r="E619">
        <v>33.5</v>
      </c>
      <c r="F619">
        <v>5</v>
      </c>
      <c r="G619">
        <v>167.5</v>
      </c>
      <c r="H619" t="s">
        <v>15</v>
      </c>
      <c r="I619" t="s">
        <v>16</v>
      </c>
      <c r="J619" s="1">
        <v>45302</v>
      </c>
      <c r="K619" t="b">
        <v>0</v>
      </c>
    </row>
    <row r="620" spans="1:11" x14ac:dyDescent="0.3">
      <c r="A620" t="s">
        <v>836</v>
      </c>
      <c r="B620" t="s">
        <v>12</v>
      </c>
      <c r="C620" t="s">
        <v>23</v>
      </c>
      <c r="D620" t="s">
        <v>85</v>
      </c>
      <c r="E620">
        <v>33.5</v>
      </c>
      <c r="F620">
        <v>2</v>
      </c>
      <c r="G620">
        <v>67</v>
      </c>
      <c r="H620" t="s">
        <v>25</v>
      </c>
      <c r="I620" t="s">
        <v>38</v>
      </c>
      <c r="J620" s="1">
        <v>44997</v>
      </c>
      <c r="K620" t="b">
        <v>0</v>
      </c>
    </row>
    <row r="621" spans="1:11" x14ac:dyDescent="0.3">
      <c r="A621" t="s">
        <v>837</v>
      </c>
      <c r="B621" t="s">
        <v>113</v>
      </c>
      <c r="C621" t="s">
        <v>28</v>
      </c>
      <c r="D621" t="s">
        <v>111</v>
      </c>
      <c r="E621">
        <v>20</v>
      </c>
      <c r="F621">
        <v>3</v>
      </c>
      <c r="G621">
        <v>60</v>
      </c>
      <c r="H621" t="s">
        <v>25</v>
      </c>
      <c r="I621" t="s">
        <v>16</v>
      </c>
      <c r="J621" s="1">
        <v>44881</v>
      </c>
      <c r="K621" t="b">
        <v>1</v>
      </c>
    </row>
    <row r="622" spans="1:11" x14ac:dyDescent="0.3">
      <c r="A622" t="s">
        <v>838</v>
      </c>
      <c r="B622" t="s">
        <v>31</v>
      </c>
      <c r="C622" t="s">
        <v>28</v>
      </c>
      <c r="D622" t="s">
        <v>124</v>
      </c>
      <c r="E622">
        <v>15.5</v>
      </c>
      <c r="F622">
        <v>4</v>
      </c>
      <c r="G622">
        <v>62</v>
      </c>
      <c r="H622" t="s">
        <v>48</v>
      </c>
      <c r="I622" t="s">
        <v>38</v>
      </c>
      <c r="J622" s="1">
        <v>44991</v>
      </c>
      <c r="K622" t="b">
        <v>0</v>
      </c>
    </row>
    <row r="623" spans="1:11" x14ac:dyDescent="0.3">
      <c r="A623" t="s">
        <v>839</v>
      </c>
      <c r="B623" t="s">
        <v>80</v>
      </c>
      <c r="C623" t="s">
        <v>32</v>
      </c>
      <c r="D623" t="s">
        <v>33</v>
      </c>
      <c r="E623">
        <v>12.5</v>
      </c>
      <c r="F623">
        <v>5</v>
      </c>
      <c r="G623">
        <v>62.5</v>
      </c>
      <c r="H623" t="s">
        <v>25</v>
      </c>
      <c r="I623" t="s">
        <v>38</v>
      </c>
      <c r="J623" s="1">
        <v>44657</v>
      </c>
      <c r="K623" t="b">
        <v>0</v>
      </c>
    </row>
    <row r="624" spans="1:11" x14ac:dyDescent="0.3">
      <c r="A624" t="s">
        <v>840</v>
      </c>
      <c r="B624" t="s">
        <v>36</v>
      </c>
      <c r="C624" t="s">
        <v>41</v>
      </c>
      <c r="D624" t="s">
        <v>233</v>
      </c>
      <c r="E624">
        <v>11</v>
      </c>
      <c r="F624">
        <v>5</v>
      </c>
      <c r="G624">
        <v>55</v>
      </c>
      <c r="H624" t="s">
        <v>25</v>
      </c>
      <c r="I624" t="s">
        <v>38</v>
      </c>
      <c r="J624" s="1">
        <v>45345</v>
      </c>
    </row>
    <row r="625" spans="1:11" x14ac:dyDescent="0.3">
      <c r="A625" t="s">
        <v>841</v>
      </c>
      <c r="B625" t="s">
        <v>77</v>
      </c>
      <c r="C625" t="s">
        <v>32</v>
      </c>
      <c r="D625" t="s">
        <v>33</v>
      </c>
      <c r="E625">
        <v>12.5</v>
      </c>
      <c r="F625">
        <v>3</v>
      </c>
      <c r="G625">
        <v>37.5</v>
      </c>
      <c r="H625" t="s">
        <v>48</v>
      </c>
      <c r="I625" t="s">
        <v>16</v>
      </c>
      <c r="J625" s="1">
        <v>44745</v>
      </c>
    </row>
    <row r="626" spans="1:11" x14ac:dyDescent="0.3">
      <c r="A626" t="s">
        <v>842</v>
      </c>
      <c r="B626" t="s">
        <v>98</v>
      </c>
      <c r="C626" t="s">
        <v>66</v>
      </c>
      <c r="D626" t="s">
        <v>119</v>
      </c>
      <c r="E626">
        <v>18.5</v>
      </c>
      <c r="F626">
        <v>3</v>
      </c>
      <c r="G626">
        <v>55.5</v>
      </c>
      <c r="H626" t="s">
        <v>25</v>
      </c>
      <c r="I626" t="s">
        <v>16</v>
      </c>
      <c r="J626" s="1">
        <v>45295</v>
      </c>
      <c r="K626" t="b">
        <v>0</v>
      </c>
    </row>
    <row r="627" spans="1:11" x14ac:dyDescent="0.3">
      <c r="A627" t="s">
        <v>843</v>
      </c>
      <c r="B627" t="s">
        <v>113</v>
      </c>
      <c r="C627" t="s">
        <v>66</v>
      </c>
      <c r="D627" t="s">
        <v>101</v>
      </c>
      <c r="E627">
        <v>35</v>
      </c>
      <c r="F627">
        <v>5</v>
      </c>
      <c r="G627">
        <v>175</v>
      </c>
      <c r="H627" t="s">
        <v>25</v>
      </c>
      <c r="I627" t="s">
        <v>16</v>
      </c>
      <c r="J627" s="1">
        <v>44783</v>
      </c>
      <c r="K627" t="b">
        <v>1</v>
      </c>
    </row>
    <row r="628" spans="1:11" x14ac:dyDescent="0.3">
      <c r="A628" t="s">
        <v>844</v>
      </c>
      <c r="B628" t="s">
        <v>46</v>
      </c>
      <c r="C628" t="s">
        <v>23</v>
      </c>
      <c r="D628" t="s">
        <v>135</v>
      </c>
      <c r="E628">
        <v>27.5</v>
      </c>
      <c r="F628">
        <v>4</v>
      </c>
      <c r="G628">
        <v>110</v>
      </c>
      <c r="H628" t="s">
        <v>15</v>
      </c>
      <c r="I628" t="s">
        <v>38</v>
      </c>
      <c r="J628" s="1">
        <v>44696</v>
      </c>
      <c r="K628" t="b">
        <v>0</v>
      </c>
    </row>
    <row r="629" spans="1:11" x14ac:dyDescent="0.3">
      <c r="A629" t="s">
        <v>845</v>
      </c>
      <c r="B629" t="s">
        <v>40</v>
      </c>
      <c r="C629" t="s">
        <v>13</v>
      </c>
      <c r="E629">
        <v>5</v>
      </c>
      <c r="H629" t="s">
        <v>15</v>
      </c>
      <c r="I629" t="s">
        <v>38</v>
      </c>
      <c r="J629" s="1">
        <v>44993</v>
      </c>
      <c r="K629" t="b">
        <v>1</v>
      </c>
    </row>
    <row r="630" spans="1:11" x14ac:dyDescent="0.3">
      <c r="A630" t="s">
        <v>846</v>
      </c>
      <c r="B630" t="s">
        <v>65</v>
      </c>
      <c r="C630" t="s">
        <v>41</v>
      </c>
      <c r="D630" t="s">
        <v>674</v>
      </c>
      <c r="E630">
        <v>12.5</v>
      </c>
      <c r="F630">
        <v>9</v>
      </c>
      <c r="G630">
        <v>112.5</v>
      </c>
      <c r="H630" t="s">
        <v>25</v>
      </c>
      <c r="I630" t="s">
        <v>38</v>
      </c>
      <c r="J630" s="1">
        <v>45437</v>
      </c>
      <c r="K630" t="b">
        <v>0</v>
      </c>
    </row>
    <row r="631" spans="1:11" x14ac:dyDescent="0.3">
      <c r="A631" t="s">
        <v>847</v>
      </c>
      <c r="B631" t="s">
        <v>69</v>
      </c>
      <c r="C631" t="s">
        <v>41</v>
      </c>
      <c r="D631" t="s">
        <v>199</v>
      </c>
      <c r="E631">
        <v>39.5</v>
      </c>
      <c r="F631">
        <v>1</v>
      </c>
      <c r="G631">
        <v>39.5</v>
      </c>
      <c r="H631" t="s">
        <v>15</v>
      </c>
      <c r="I631" t="s">
        <v>38</v>
      </c>
      <c r="J631" s="1">
        <v>45648</v>
      </c>
      <c r="K631" t="b">
        <v>0</v>
      </c>
    </row>
    <row r="632" spans="1:11" x14ac:dyDescent="0.3">
      <c r="A632" t="s">
        <v>848</v>
      </c>
      <c r="B632" t="s">
        <v>46</v>
      </c>
      <c r="C632" t="s">
        <v>130</v>
      </c>
      <c r="D632" t="s">
        <v>516</v>
      </c>
      <c r="E632">
        <v>29</v>
      </c>
      <c r="F632">
        <v>6</v>
      </c>
      <c r="G632">
        <v>174</v>
      </c>
      <c r="H632" t="s">
        <v>25</v>
      </c>
      <c r="I632" t="s">
        <v>16</v>
      </c>
      <c r="J632" s="1">
        <v>44575</v>
      </c>
      <c r="K632" t="b">
        <v>1</v>
      </c>
    </row>
    <row r="633" spans="1:11" x14ac:dyDescent="0.3">
      <c r="A633" t="s">
        <v>849</v>
      </c>
      <c r="B633" t="s">
        <v>116</v>
      </c>
      <c r="C633" t="s">
        <v>19</v>
      </c>
      <c r="F633">
        <v>1</v>
      </c>
      <c r="G633">
        <v>27.5</v>
      </c>
      <c r="H633" t="s">
        <v>25</v>
      </c>
      <c r="I633" t="s">
        <v>16</v>
      </c>
      <c r="J633" s="1">
        <v>44810</v>
      </c>
      <c r="K633" t="b">
        <v>1</v>
      </c>
    </row>
    <row r="634" spans="1:11" x14ac:dyDescent="0.3">
      <c r="A634" t="s">
        <v>850</v>
      </c>
      <c r="B634" t="s">
        <v>89</v>
      </c>
      <c r="C634" t="s">
        <v>13</v>
      </c>
      <c r="D634" t="s">
        <v>520</v>
      </c>
      <c r="E634">
        <v>15.5</v>
      </c>
      <c r="F634">
        <v>10</v>
      </c>
      <c r="G634">
        <v>155</v>
      </c>
      <c r="H634" t="s">
        <v>15</v>
      </c>
      <c r="I634" t="s">
        <v>38</v>
      </c>
      <c r="J634" s="1">
        <v>44880</v>
      </c>
    </row>
    <row r="635" spans="1:11" x14ac:dyDescent="0.3">
      <c r="A635" t="s">
        <v>851</v>
      </c>
      <c r="B635" t="s">
        <v>74</v>
      </c>
      <c r="C635" t="s">
        <v>66</v>
      </c>
      <c r="D635" t="s">
        <v>246</v>
      </c>
      <c r="E635">
        <v>15.5</v>
      </c>
      <c r="F635">
        <v>3</v>
      </c>
      <c r="G635">
        <v>46.5</v>
      </c>
      <c r="H635" t="s">
        <v>48</v>
      </c>
      <c r="I635" t="s">
        <v>16</v>
      </c>
      <c r="J635" s="1">
        <v>45097</v>
      </c>
      <c r="K635" t="b">
        <v>0</v>
      </c>
    </row>
    <row r="636" spans="1:11" x14ac:dyDescent="0.3">
      <c r="A636" t="s">
        <v>852</v>
      </c>
      <c r="B636" t="s">
        <v>123</v>
      </c>
      <c r="C636" t="s">
        <v>130</v>
      </c>
      <c r="D636" t="s">
        <v>131</v>
      </c>
      <c r="E636">
        <v>27.5</v>
      </c>
      <c r="F636">
        <v>5</v>
      </c>
      <c r="G636">
        <v>137.5</v>
      </c>
      <c r="H636" t="s">
        <v>15</v>
      </c>
      <c r="I636" t="s">
        <v>38</v>
      </c>
      <c r="J636" s="1">
        <v>44648</v>
      </c>
      <c r="K636" t="b">
        <v>1</v>
      </c>
    </row>
    <row r="637" spans="1:11" x14ac:dyDescent="0.3">
      <c r="A637" t="s">
        <v>853</v>
      </c>
      <c r="B637" t="s">
        <v>43</v>
      </c>
      <c r="C637" t="s">
        <v>66</v>
      </c>
      <c r="D637" t="s">
        <v>352</v>
      </c>
      <c r="E637">
        <v>38</v>
      </c>
      <c r="F637">
        <v>9</v>
      </c>
      <c r="G637">
        <v>342</v>
      </c>
      <c r="H637" t="s">
        <v>48</v>
      </c>
      <c r="I637" t="s">
        <v>16</v>
      </c>
      <c r="J637" s="1">
        <v>45410</v>
      </c>
      <c r="K637" t="b">
        <v>1</v>
      </c>
    </row>
    <row r="638" spans="1:11" x14ac:dyDescent="0.3">
      <c r="A638" t="s">
        <v>854</v>
      </c>
      <c r="B638" t="s">
        <v>100</v>
      </c>
      <c r="C638" t="s">
        <v>19</v>
      </c>
      <c r="D638" t="s">
        <v>287</v>
      </c>
      <c r="E638">
        <v>20</v>
      </c>
      <c r="F638">
        <v>1</v>
      </c>
      <c r="G638">
        <v>20</v>
      </c>
      <c r="H638" t="s">
        <v>15</v>
      </c>
      <c r="I638" t="s">
        <v>38</v>
      </c>
      <c r="J638" s="1">
        <v>44659</v>
      </c>
      <c r="K638" t="b">
        <v>0</v>
      </c>
    </row>
    <row r="639" spans="1:11" x14ac:dyDescent="0.3">
      <c r="A639" t="s">
        <v>855</v>
      </c>
      <c r="B639" t="s">
        <v>22</v>
      </c>
      <c r="C639" t="s">
        <v>32</v>
      </c>
      <c r="D639" t="s">
        <v>409</v>
      </c>
      <c r="E639">
        <v>11</v>
      </c>
      <c r="F639">
        <v>2</v>
      </c>
      <c r="G639">
        <v>22</v>
      </c>
      <c r="H639" t="s">
        <v>25</v>
      </c>
      <c r="I639" t="s">
        <v>16</v>
      </c>
      <c r="J639" s="1">
        <v>44875</v>
      </c>
    </row>
    <row r="640" spans="1:11" x14ac:dyDescent="0.3">
      <c r="A640" t="s">
        <v>856</v>
      </c>
      <c r="B640" t="s">
        <v>22</v>
      </c>
      <c r="C640" t="s">
        <v>23</v>
      </c>
      <c r="D640" t="s">
        <v>47</v>
      </c>
      <c r="E640">
        <v>36.5</v>
      </c>
      <c r="F640">
        <v>7</v>
      </c>
      <c r="G640">
        <v>255.5</v>
      </c>
      <c r="H640" t="s">
        <v>48</v>
      </c>
      <c r="I640" t="s">
        <v>38</v>
      </c>
      <c r="J640" s="1">
        <v>44997</v>
      </c>
      <c r="K640" t="b">
        <v>1</v>
      </c>
    </row>
    <row r="641" spans="1:11" x14ac:dyDescent="0.3">
      <c r="A641" t="s">
        <v>857</v>
      </c>
      <c r="B641" t="s">
        <v>108</v>
      </c>
      <c r="C641" t="s">
        <v>130</v>
      </c>
      <c r="D641" t="s">
        <v>212</v>
      </c>
      <c r="E641">
        <v>14</v>
      </c>
      <c r="F641">
        <v>3</v>
      </c>
      <c r="G641">
        <v>42</v>
      </c>
      <c r="H641" t="s">
        <v>15</v>
      </c>
      <c r="I641" t="s">
        <v>16</v>
      </c>
      <c r="J641" s="1">
        <v>45096</v>
      </c>
      <c r="K641" t="b">
        <v>1</v>
      </c>
    </row>
    <row r="642" spans="1:11" x14ac:dyDescent="0.3">
      <c r="A642" t="s">
        <v>858</v>
      </c>
      <c r="B642" t="s">
        <v>65</v>
      </c>
      <c r="C642" t="s">
        <v>32</v>
      </c>
      <c r="D642" t="s">
        <v>128</v>
      </c>
      <c r="E642">
        <v>21.5</v>
      </c>
      <c r="F642">
        <v>8</v>
      </c>
      <c r="G642">
        <v>172</v>
      </c>
      <c r="H642" t="s">
        <v>48</v>
      </c>
      <c r="I642" t="s">
        <v>16</v>
      </c>
      <c r="J642" s="1">
        <v>44810</v>
      </c>
      <c r="K642" t="b">
        <v>1</v>
      </c>
    </row>
    <row r="643" spans="1:11" x14ac:dyDescent="0.3">
      <c r="A643" t="s">
        <v>859</v>
      </c>
      <c r="B643" t="s">
        <v>168</v>
      </c>
      <c r="C643" t="s">
        <v>23</v>
      </c>
      <c r="D643" t="s">
        <v>217</v>
      </c>
      <c r="E643">
        <v>35</v>
      </c>
      <c r="F643">
        <v>5</v>
      </c>
      <c r="G643">
        <v>175</v>
      </c>
      <c r="H643" t="s">
        <v>25</v>
      </c>
      <c r="I643" t="s">
        <v>38</v>
      </c>
      <c r="J643" s="1">
        <v>44980</v>
      </c>
      <c r="K643" t="b">
        <v>0</v>
      </c>
    </row>
    <row r="644" spans="1:11" x14ac:dyDescent="0.3">
      <c r="A644" t="s">
        <v>860</v>
      </c>
      <c r="B644" t="s">
        <v>22</v>
      </c>
      <c r="C644" t="s">
        <v>130</v>
      </c>
      <c r="D644" t="s">
        <v>516</v>
      </c>
      <c r="E644">
        <v>29</v>
      </c>
      <c r="F644">
        <v>1</v>
      </c>
      <c r="G644">
        <v>29</v>
      </c>
      <c r="H644" t="s">
        <v>48</v>
      </c>
      <c r="I644" t="s">
        <v>16</v>
      </c>
      <c r="J644" s="1">
        <v>44906</v>
      </c>
      <c r="K644" t="b">
        <v>0</v>
      </c>
    </row>
    <row r="645" spans="1:11" x14ac:dyDescent="0.3">
      <c r="A645" t="s">
        <v>861</v>
      </c>
      <c r="B645" t="s">
        <v>80</v>
      </c>
      <c r="C645" t="s">
        <v>19</v>
      </c>
      <c r="D645" t="s">
        <v>142</v>
      </c>
      <c r="E645">
        <v>32</v>
      </c>
      <c r="F645">
        <v>10</v>
      </c>
      <c r="G645">
        <v>320</v>
      </c>
      <c r="H645" t="s">
        <v>48</v>
      </c>
      <c r="I645" t="s">
        <v>16</v>
      </c>
      <c r="J645" s="1">
        <v>45451</v>
      </c>
      <c r="K645" t="b">
        <v>1</v>
      </c>
    </row>
    <row r="646" spans="1:11" x14ac:dyDescent="0.3">
      <c r="A646" t="s">
        <v>862</v>
      </c>
      <c r="B646" t="s">
        <v>100</v>
      </c>
      <c r="C646" t="s">
        <v>41</v>
      </c>
      <c r="D646" t="s">
        <v>303</v>
      </c>
      <c r="E646">
        <v>15.5</v>
      </c>
      <c r="F646">
        <v>9</v>
      </c>
      <c r="G646">
        <v>139.5</v>
      </c>
      <c r="H646" t="s">
        <v>48</v>
      </c>
      <c r="I646" t="s">
        <v>38</v>
      </c>
      <c r="J646" s="1">
        <v>44689</v>
      </c>
    </row>
    <row r="647" spans="1:11" x14ac:dyDescent="0.3">
      <c r="A647" t="s">
        <v>863</v>
      </c>
      <c r="B647" t="s">
        <v>98</v>
      </c>
      <c r="C647" t="s">
        <v>28</v>
      </c>
      <c r="D647" t="s">
        <v>676</v>
      </c>
      <c r="E647">
        <v>39.5</v>
      </c>
      <c r="F647">
        <v>4</v>
      </c>
      <c r="G647">
        <v>158</v>
      </c>
      <c r="H647" t="s">
        <v>48</v>
      </c>
      <c r="I647" t="s">
        <v>38</v>
      </c>
      <c r="J647" s="1">
        <v>45634</v>
      </c>
      <c r="K647" t="b">
        <v>1</v>
      </c>
    </row>
    <row r="648" spans="1:11" x14ac:dyDescent="0.3">
      <c r="A648" t="s">
        <v>864</v>
      </c>
      <c r="B648" t="s">
        <v>98</v>
      </c>
      <c r="C648" t="s">
        <v>28</v>
      </c>
      <c r="D648" t="s">
        <v>865</v>
      </c>
      <c r="E648">
        <v>26</v>
      </c>
      <c r="F648">
        <v>1</v>
      </c>
      <c r="G648">
        <v>26</v>
      </c>
      <c r="H648" t="s">
        <v>25</v>
      </c>
      <c r="I648" t="s">
        <v>38</v>
      </c>
      <c r="J648" s="1">
        <v>44813</v>
      </c>
      <c r="K648" t="b">
        <v>0</v>
      </c>
    </row>
    <row r="649" spans="1:11" x14ac:dyDescent="0.3">
      <c r="A649" t="s">
        <v>866</v>
      </c>
      <c r="B649" t="s">
        <v>74</v>
      </c>
      <c r="C649" t="s">
        <v>19</v>
      </c>
      <c r="D649" t="s">
        <v>540</v>
      </c>
      <c r="E649">
        <v>23</v>
      </c>
      <c r="F649">
        <v>9</v>
      </c>
      <c r="G649">
        <v>207</v>
      </c>
      <c r="H649" t="s">
        <v>15</v>
      </c>
      <c r="I649" t="s">
        <v>38</v>
      </c>
      <c r="J649" s="1">
        <v>45587</v>
      </c>
      <c r="K649" t="b">
        <v>1</v>
      </c>
    </row>
    <row r="650" spans="1:11" x14ac:dyDescent="0.3">
      <c r="A650" t="s">
        <v>867</v>
      </c>
      <c r="B650" t="s">
        <v>123</v>
      </c>
      <c r="C650" t="s">
        <v>41</v>
      </c>
      <c r="D650" t="s">
        <v>197</v>
      </c>
      <c r="E650">
        <v>35</v>
      </c>
      <c r="F650">
        <v>2</v>
      </c>
      <c r="G650">
        <v>70</v>
      </c>
      <c r="H650" t="s">
        <v>15</v>
      </c>
      <c r="I650" t="s">
        <v>38</v>
      </c>
      <c r="J650" s="1">
        <v>45189</v>
      </c>
      <c r="K650" t="b">
        <v>1</v>
      </c>
    </row>
    <row r="651" spans="1:11" x14ac:dyDescent="0.3">
      <c r="A651" t="s">
        <v>868</v>
      </c>
      <c r="B651" t="s">
        <v>84</v>
      </c>
      <c r="C651" t="s">
        <v>130</v>
      </c>
      <c r="D651" t="s">
        <v>335</v>
      </c>
      <c r="E651">
        <v>20</v>
      </c>
      <c r="F651">
        <v>6</v>
      </c>
      <c r="G651">
        <v>120</v>
      </c>
      <c r="H651" t="s">
        <v>25</v>
      </c>
      <c r="I651" t="s">
        <v>16</v>
      </c>
      <c r="J651" s="1">
        <v>44769</v>
      </c>
      <c r="K651" t="b">
        <v>1</v>
      </c>
    </row>
    <row r="652" spans="1:11" x14ac:dyDescent="0.3">
      <c r="A652" t="s">
        <v>869</v>
      </c>
      <c r="B652" t="s">
        <v>65</v>
      </c>
      <c r="C652" t="s">
        <v>28</v>
      </c>
      <c r="D652" t="s">
        <v>570</v>
      </c>
      <c r="E652">
        <v>29</v>
      </c>
      <c r="F652">
        <v>1</v>
      </c>
      <c r="G652">
        <v>29</v>
      </c>
      <c r="H652" t="s">
        <v>48</v>
      </c>
      <c r="I652" t="s">
        <v>38</v>
      </c>
      <c r="J652" s="1">
        <v>45114</v>
      </c>
      <c r="K652" t="b">
        <v>1</v>
      </c>
    </row>
    <row r="653" spans="1:11" x14ac:dyDescent="0.3">
      <c r="A653" t="s">
        <v>870</v>
      </c>
      <c r="B653" t="s">
        <v>98</v>
      </c>
      <c r="C653" t="s">
        <v>19</v>
      </c>
      <c r="D653" t="s">
        <v>871</v>
      </c>
      <c r="E653">
        <v>33.5</v>
      </c>
      <c r="F653">
        <v>2</v>
      </c>
      <c r="G653">
        <v>67</v>
      </c>
      <c r="H653" t="s">
        <v>15</v>
      </c>
      <c r="I653" t="s">
        <v>38</v>
      </c>
      <c r="J653" s="1">
        <v>44922</v>
      </c>
      <c r="K653" t="b">
        <v>0</v>
      </c>
    </row>
    <row r="654" spans="1:11" x14ac:dyDescent="0.3">
      <c r="A654" t="s">
        <v>872</v>
      </c>
      <c r="B654" t="s">
        <v>74</v>
      </c>
      <c r="C654" t="s">
        <v>130</v>
      </c>
      <c r="D654" t="s">
        <v>275</v>
      </c>
      <c r="E654">
        <v>6.5</v>
      </c>
      <c r="F654">
        <v>1</v>
      </c>
      <c r="G654">
        <v>6.5</v>
      </c>
      <c r="H654" t="s">
        <v>48</v>
      </c>
      <c r="I654" t="s">
        <v>38</v>
      </c>
      <c r="J654" s="1">
        <v>45318</v>
      </c>
    </row>
    <row r="655" spans="1:11" x14ac:dyDescent="0.3">
      <c r="A655" t="s">
        <v>873</v>
      </c>
      <c r="B655" t="s">
        <v>63</v>
      </c>
      <c r="C655" t="s">
        <v>13</v>
      </c>
      <c r="D655" t="s">
        <v>509</v>
      </c>
      <c r="E655">
        <v>17</v>
      </c>
      <c r="F655">
        <v>2</v>
      </c>
      <c r="G655">
        <v>34</v>
      </c>
      <c r="H655" t="s">
        <v>48</v>
      </c>
      <c r="I655" t="s">
        <v>38</v>
      </c>
      <c r="J655" s="1">
        <v>45571</v>
      </c>
      <c r="K655" t="b">
        <v>1</v>
      </c>
    </row>
    <row r="656" spans="1:11" x14ac:dyDescent="0.3">
      <c r="A656" t="s">
        <v>874</v>
      </c>
      <c r="B656" t="s">
        <v>98</v>
      </c>
      <c r="C656" t="s">
        <v>13</v>
      </c>
      <c r="D656" t="s">
        <v>520</v>
      </c>
      <c r="E656">
        <v>15.5</v>
      </c>
      <c r="F656">
        <v>3</v>
      </c>
      <c r="G656">
        <v>46.5</v>
      </c>
      <c r="H656" t="s">
        <v>25</v>
      </c>
      <c r="I656" t="s">
        <v>16</v>
      </c>
      <c r="J656" s="1">
        <v>44775</v>
      </c>
      <c r="K656" t="b">
        <v>1</v>
      </c>
    </row>
    <row r="657" spans="1:11" x14ac:dyDescent="0.3">
      <c r="A657" t="s">
        <v>875</v>
      </c>
      <c r="B657" t="s">
        <v>100</v>
      </c>
      <c r="C657" t="s">
        <v>19</v>
      </c>
      <c r="D657" t="s">
        <v>553</v>
      </c>
      <c r="E657">
        <v>36.5</v>
      </c>
      <c r="F657">
        <v>10</v>
      </c>
      <c r="G657">
        <v>365</v>
      </c>
      <c r="H657" t="s">
        <v>48</v>
      </c>
      <c r="I657" t="s">
        <v>16</v>
      </c>
      <c r="J657" s="1">
        <v>45632</v>
      </c>
      <c r="K657" t="b">
        <v>0</v>
      </c>
    </row>
    <row r="658" spans="1:11" x14ac:dyDescent="0.3">
      <c r="A658" t="s">
        <v>876</v>
      </c>
      <c r="B658" t="s">
        <v>123</v>
      </c>
      <c r="C658" t="s">
        <v>13</v>
      </c>
      <c r="D658" t="s">
        <v>133</v>
      </c>
      <c r="E658">
        <v>20</v>
      </c>
      <c r="F658">
        <v>1</v>
      </c>
      <c r="G658">
        <v>20</v>
      </c>
      <c r="H658" t="s">
        <v>25</v>
      </c>
      <c r="I658" t="s">
        <v>16</v>
      </c>
      <c r="J658" s="1">
        <v>45660</v>
      </c>
      <c r="K658" t="b">
        <v>0</v>
      </c>
    </row>
    <row r="659" spans="1:11" x14ac:dyDescent="0.3">
      <c r="A659" t="s">
        <v>877</v>
      </c>
      <c r="B659" t="s">
        <v>46</v>
      </c>
      <c r="C659" t="s">
        <v>28</v>
      </c>
      <c r="D659" t="s">
        <v>865</v>
      </c>
      <c r="E659">
        <v>26</v>
      </c>
      <c r="F659">
        <v>6</v>
      </c>
      <c r="G659">
        <v>156</v>
      </c>
      <c r="H659" t="s">
        <v>48</v>
      </c>
      <c r="I659" t="s">
        <v>38</v>
      </c>
      <c r="J659" s="1">
        <v>45586</v>
      </c>
    </row>
    <row r="660" spans="1:11" x14ac:dyDescent="0.3">
      <c r="A660" t="s">
        <v>878</v>
      </c>
      <c r="B660" t="s">
        <v>123</v>
      </c>
      <c r="C660" t="s">
        <v>41</v>
      </c>
      <c r="D660" t="s">
        <v>197</v>
      </c>
      <c r="E660">
        <v>35</v>
      </c>
      <c r="F660">
        <v>10</v>
      </c>
      <c r="G660">
        <v>350</v>
      </c>
      <c r="H660" t="s">
        <v>15</v>
      </c>
      <c r="I660" t="s">
        <v>16</v>
      </c>
      <c r="J660" s="1">
        <v>45096</v>
      </c>
      <c r="K660" t="b">
        <v>0</v>
      </c>
    </row>
    <row r="661" spans="1:11" x14ac:dyDescent="0.3">
      <c r="A661" t="s">
        <v>879</v>
      </c>
      <c r="B661" t="s">
        <v>123</v>
      </c>
      <c r="C661" t="s">
        <v>13</v>
      </c>
      <c r="D661" t="s">
        <v>796</v>
      </c>
      <c r="E661">
        <v>38</v>
      </c>
      <c r="F661">
        <v>6</v>
      </c>
      <c r="G661">
        <v>228</v>
      </c>
      <c r="H661" t="s">
        <v>48</v>
      </c>
      <c r="I661" t="s">
        <v>38</v>
      </c>
      <c r="J661" s="1">
        <v>45572</v>
      </c>
      <c r="K661" t="b">
        <v>0</v>
      </c>
    </row>
    <row r="662" spans="1:11" x14ac:dyDescent="0.3">
      <c r="A662" t="s">
        <v>880</v>
      </c>
      <c r="B662" t="s">
        <v>168</v>
      </c>
      <c r="C662" t="s">
        <v>130</v>
      </c>
      <c r="D662" t="s">
        <v>158</v>
      </c>
      <c r="E662">
        <v>36.5</v>
      </c>
      <c r="F662">
        <v>8</v>
      </c>
      <c r="G662">
        <v>292</v>
      </c>
      <c r="H662" t="s">
        <v>25</v>
      </c>
      <c r="I662" t="s">
        <v>16</v>
      </c>
      <c r="J662" s="1">
        <v>45238</v>
      </c>
      <c r="K662" t="b">
        <v>0</v>
      </c>
    </row>
    <row r="663" spans="1:11" x14ac:dyDescent="0.3">
      <c r="A663" t="s">
        <v>881</v>
      </c>
      <c r="B663" t="s">
        <v>89</v>
      </c>
      <c r="C663" t="s">
        <v>13</v>
      </c>
      <c r="D663" t="s">
        <v>166</v>
      </c>
      <c r="E663">
        <v>21.5</v>
      </c>
      <c r="F663">
        <v>3</v>
      </c>
      <c r="G663">
        <v>64.5</v>
      </c>
      <c r="H663" t="s">
        <v>15</v>
      </c>
      <c r="I663" t="s">
        <v>16</v>
      </c>
      <c r="J663" s="1">
        <v>45177</v>
      </c>
      <c r="K663" t="b">
        <v>1</v>
      </c>
    </row>
    <row r="664" spans="1:11" x14ac:dyDescent="0.3">
      <c r="A664" t="s">
        <v>882</v>
      </c>
      <c r="B664" t="s">
        <v>116</v>
      </c>
      <c r="C664" t="s">
        <v>28</v>
      </c>
      <c r="D664" t="s">
        <v>174</v>
      </c>
      <c r="E664">
        <v>9.5</v>
      </c>
      <c r="F664">
        <v>6</v>
      </c>
      <c r="G664">
        <v>57</v>
      </c>
      <c r="H664" t="s">
        <v>25</v>
      </c>
      <c r="I664" t="s">
        <v>38</v>
      </c>
      <c r="J664" s="1">
        <v>44901</v>
      </c>
      <c r="K664" t="b">
        <v>1</v>
      </c>
    </row>
    <row r="665" spans="1:11" x14ac:dyDescent="0.3">
      <c r="A665" t="s">
        <v>883</v>
      </c>
      <c r="B665" t="s">
        <v>113</v>
      </c>
      <c r="C665" t="s">
        <v>28</v>
      </c>
      <c r="D665" t="s">
        <v>301</v>
      </c>
      <c r="E665">
        <v>35</v>
      </c>
      <c r="F665">
        <v>9</v>
      </c>
      <c r="G665">
        <v>315</v>
      </c>
      <c r="H665" t="s">
        <v>25</v>
      </c>
      <c r="I665" t="s">
        <v>16</v>
      </c>
      <c r="J665" s="1">
        <v>45524</v>
      </c>
      <c r="K665" t="b">
        <v>0</v>
      </c>
    </row>
    <row r="666" spans="1:11" x14ac:dyDescent="0.3">
      <c r="A666" t="s">
        <v>884</v>
      </c>
      <c r="B666" t="s">
        <v>113</v>
      </c>
      <c r="C666" t="s">
        <v>32</v>
      </c>
      <c r="D666" t="s">
        <v>498</v>
      </c>
      <c r="E666">
        <v>29</v>
      </c>
      <c r="F666">
        <v>6</v>
      </c>
      <c r="G666">
        <v>174</v>
      </c>
      <c r="H666" t="s">
        <v>15</v>
      </c>
      <c r="I666" t="s">
        <v>16</v>
      </c>
      <c r="J666" s="1">
        <v>44710</v>
      </c>
    </row>
    <row r="667" spans="1:11" x14ac:dyDescent="0.3">
      <c r="A667" t="s">
        <v>885</v>
      </c>
      <c r="B667" t="s">
        <v>77</v>
      </c>
      <c r="C667" t="s">
        <v>41</v>
      </c>
      <c r="D667" t="s">
        <v>453</v>
      </c>
      <c r="E667">
        <v>26</v>
      </c>
      <c r="F667">
        <v>6</v>
      </c>
      <c r="G667">
        <v>156</v>
      </c>
      <c r="H667" t="s">
        <v>48</v>
      </c>
      <c r="I667" t="s">
        <v>38</v>
      </c>
      <c r="J667" s="1">
        <v>44940</v>
      </c>
      <c r="K667" t="b">
        <v>0</v>
      </c>
    </row>
    <row r="668" spans="1:11" x14ac:dyDescent="0.3">
      <c r="A668" t="s">
        <v>886</v>
      </c>
      <c r="B668" t="s">
        <v>84</v>
      </c>
      <c r="C668" t="s">
        <v>19</v>
      </c>
      <c r="F668">
        <v>4</v>
      </c>
      <c r="G668">
        <v>110</v>
      </c>
      <c r="H668" t="s">
        <v>15</v>
      </c>
      <c r="I668" t="s">
        <v>38</v>
      </c>
      <c r="J668" s="1">
        <v>45501</v>
      </c>
      <c r="K668" t="b">
        <v>1</v>
      </c>
    </row>
    <row r="669" spans="1:11" x14ac:dyDescent="0.3">
      <c r="A669" t="s">
        <v>887</v>
      </c>
      <c r="B669" t="s">
        <v>63</v>
      </c>
      <c r="C669" t="s">
        <v>28</v>
      </c>
      <c r="D669" t="s">
        <v>174</v>
      </c>
      <c r="E669">
        <v>9.5</v>
      </c>
      <c r="F669">
        <v>8</v>
      </c>
      <c r="G669">
        <v>76</v>
      </c>
      <c r="H669" t="s">
        <v>15</v>
      </c>
      <c r="I669" t="s">
        <v>38</v>
      </c>
      <c r="J669" s="1">
        <v>44568</v>
      </c>
      <c r="K669" t="b">
        <v>0</v>
      </c>
    </row>
    <row r="670" spans="1:11" x14ac:dyDescent="0.3">
      <c r="A670" t="s">
        <v>888</v>
      </c>
      <c r="B670" t="s">
        <v>22</v>
      </c>
      <c r="C670" t="s">
        <v>23</v>
      </c>
      <c r="F670">
        <v>10</v>
      </c>
      <c r="G670">
        <v>380</v>
      </c>
      <c r="H670" t="s">
        <v>15</v>
      </c>
      <c r="I670" t="s">
        <v>16</v>
      </c>
      <c r="J670" s="1">
        <v>44841</v>
      </c>
      <c r="K670" t="b">
        <v>0</v>
      </c>
    </row>
    <row r="671" spans="1:11" x14ac:dyDescent="0.3">
      <c r="A671" t="s">
        <v>889</v>
      </c>
      <c r="B671" t="s">
        <v>84</v>
      </c>
      <c r="C671" t="s">
        <v>130</v>
      </c>
      <c r="D671" t="s">
        <v>291</v>
      </c>
      <c r="E671">
        <v>23</v>
      </c>
      <c r="F671">
        <v>8</v>
      </c>
      <c r="G671">
        <v>184</v>
      </c>
      <c r="H671" t="s">
        <v>25</v>
      </c>
      <c r="I671" t="s">
        <v>16</v>
      </c>
      <c r="J671" s="1">
        <v>45132</v>
      </c>
    </row>
    <row r="672" spans="1:11" x14ac:dyDescent="0.3">
      <c r="A672" t="s">
        <v>890</v>
      </c>
      <c r="B672" t="s">
        <v>89</v>
      </c>
      <c r="C672" t="s">
        <v>41</v>
      </c>
      <c r="D672" t="s">
        <v>197</v>
      </c>
      <c r="E672">
        <v>35</v>
      </c>
      <c r="F672">
        <v>10</v>
      </c>
      <c r="G672">
        <v>350</v>
      </c>
      <c r="H672" t="s">
        <v>25</v>
      </c>
      <c r="I672" t="s">
        <v>16</v>
      </c>
      <c r="J672" s="1">
        <v>45512</v>
      </c>
      <c r="K672" t="b">
        <v>1</v>
      </c>
    </row>
    <row r="673" spans="1:11" x14ac:dyDescent="0.3">
      <c r="A673" t="s">
        <v>891</v>
      </c>
      <c r="B673" t="s">
        <v>116</v>
      </c>
      <c r="C673" t="s">
        <v>130</v>
      </c>
      <c r="D673" t="s">
        <v>183</v>
      </c>
      <c r="E673">
        <v>33.5</v>
      </c>
      <c r="F673">
        <v>5</v>
      </c>
      <c r="G673">
        <v>167.5</v>
      </c>
      <c r="H673" t="s">
        <v>48</v>
      </c>
      <c r="I673" t="s">
        <v>38</v>
      </c>
      <c r="J673" s="1">
        <v>44870</v>
      </c>
      <c r="K673" t="b">
        <v>1</v>
      </c>
    </row>
    <row r="674" spans="1:11" x14ac:dyDescent="0.3">
      <c r="A674" t="s">
        <v>892</v>
      </c>
      <c r="B674" t="s">
        <v>27</v>
      </c>
      <c r="C674" t="s">
        <v>32</v>
      </c>
      <c r="D674" t="s">
        <v>160</v>
      </c>
      <c r="E674">
        <v>36.5</v>
      </c>
      <c r="F674">
        <v>2</v>
      </c>
      <c r="G674">
        <v>73</v>
      </c>
      <c r="H674" t="s">
        <v>48</v>
      </c>
      <c r="I674" t="s">
        <v>16</v>
      </c>
      <c r="J674" s="1">
        <v>45050</v>
      </c>
      <c r="K674" t="b">
        <v>0</v>
      </c>
    </row>
    <row r="675" spans="1:11" x14ac:dyDescent="0.3">
      <c r="A675" t="s">
        <v>893</v>
      </c>
      <c r="B675" t="s">
        <v>168</v>
      </c>
      <c r="C675" t="s">
        <v>41</v>
      </c>
      <c r="D675" t="s">
        <v>594</v>
      </c>
      <c r="E675">
        <v>33.5</v>
      </c>
      <c r="F675">
        <v>1</v>
      </c>
      <c r="G675">
        <v>33.5</v>
      </c>
      <c r="H675" t="s">
        <v>48</v>
      </c>
      <c r="I675" t="s">
        <v>16</v>
      </c>
      <c r="J675" s="1">
        <v>45614</v>
      </c>
    </row>
    <row r="676" spans="1:11" x14ac:dyDescent="0.3">
      <c r="A676" t="s">
        <v>894</v>
      </c>
      <c r="B676" t="s">
        <v>74</v>
      </c>
      <c r="C676" t="s">
        <v>28</v>
      </c>
      <c r="D676" t="s">
        <v>570</v>
      </c>
      <c r="E676">
        <v>29</v>
      </c>
      <c r="F676">
        <v>5</v>
      </c>
      <c r="G676">
        <v>145</v>
      </c>
      <c r="H676" t="s">
        <v>48</v>
      </c>
      <c r="I676" t="s">
        <v>16</v>
      </c>
      <c r="J676" s="1">
        <v>45063</v>
      </c>
    </row>
    <row r="677" spans="1:11" x14ac:dyDescent="0.3">
      <c r="A677" t="s">
        <v>895</v>
      </c>
      <c r="B677" t="s">
        <v>31</v>
      </c>
      <c r="C677" t="s">
        <v>41</v>
      </c>
      <c r="D677" t="s">
        <v>709</v>
      </c>
      <c r="E677">
        <v>21.5</v>
      </c>
      <c r="F677">
        <v>10</v>
      </c>
      <c r="G677">
        <v>215</v>
      </c>
      <c r="H677" t="s">
        <v>25</v>
      </c>
      <c r="I677" t="s">
        <v>16</v>
      </c>
      <c r="J677" s="1">
        <v>45165</v>
      </c>
    </row>
    <row r="678" spans="1:11" x14ac:dyDescent="0.3">
      <c r="A678" t="s">
        <v>896</v>
      </c>
      <c r="B678" t="s">
        <v>108</v>
      </c>
      <c r="C678" t="s">
        <v>41</v>
      </c>
      <c r="D678" t="s">
        <v>233</v>
      </c>
      <c r="E678">
        <v>11</v>
      </c>
      <c r="F678">
        <v>4</v>
      </c>
      <c r="G678">
        <v>44</v>
      </c>
      <c r="H678" t="s">
        <v>25</v>
      </c>
      <c r="I678" t="s">
        <v>38</v>
      </c>
      <c r="J678" s="1">
        <v>44896</v>
      </c>
    </row>
    <row r="679" spans="1:11" x14ac:dyDescent="0.3">
      <c r="A679" t="s">
        <v>897</v>
      </c>
      <c r="B679" t="s">
        <v>116</v>
      </c>
      <c r="C679" t="s">
        <v>130</v>
      </c>
      <c r="D679" t="s">
        <v>293</v>
      </c>
      <c r="E679">
        <v>12.5</v>
      </c>
      <c r="F679">
        <v>6</v>
      </c>
      <c r="G679">
        <v>75</v>
      </c>
      <c r="H679" t="s">
        <v>15</v>
      </c>
      <c r="I679" t="s">
        <v>16</v>
      </c>
      <c r="J679" s="1">
        <v>44960</v>
      </c>
      <c r="K679" t="b">
        <v>0</v>
      </c>
    </row>
    <row r="680" spans="1:11" x14ac:dyDescent="0.3">
      <c r="A680" t="s">
        <v>898</v>
      </c>
      <c r="B680" t="s">
        <v>43</v>
      </c>
      <c r="C680" t="s">
        <v>19</v>
      </c>
      <c r="D680" t="s">
        <v>58</v>
      </c>
      <c r="E680">
        <v>27.5</v>
      </c>
      <c r="F680">
        <v>1</v>
      </c>
      <c r="G680">
        <v>27.5</v>
      </c>
      <c r="H680" t="s">
        <v>25</v>
      </c>
      <c r="I680" t="s">
        <v>16</v>
      </c>
      <c r="J680" s="1">
        <v>45160</v>
      </c>
      <c r="K680" t="b">
        <v>0</v>
      </c>
    </row>
    <row r="681" spans="1:11" x14ac:dyDescent="0.3">
      <c r="A681" t="s">
        <v>899</v>
      </c>
      <c r="B681" t="s">
        <v>43</v>
      </c>
      <c r="C681" t="s">
        <v>19</v>
      </c>
      <c r="D681" t="s">
        <v>540</v>
      </c>
      <c r="E681">
        <v>23</v>
      </c>
      <c r="F681">
        <v>1</v>
      </c>
      <c r="G681">
        <v>23</v>
      </c>
      <c r="H681" t="s">
        <v>15</v>
      </c>
      <c r="I681" t="s">
        <v>38</v>
      </c>
      <c r="J681" s="1">
        <v>45182</v>
      </c>
    </row>
    <row r="682" spans="1:11" x14ac:dyDescent="0.3">
      <c r="A682" t="s">
        <v>900</v>
      </c>
      <c r="B682" t="s">
        <v>27</v>
      </c>
      <c r="C682" t="s">
        <v>32</v>
      </c>
      <c r="D682" t="s">
        <v>482</v>
      </c>
      <c r="E682">
        <v>23</v>
      </c>
      <c r="F682">
        <v>5</v>
      </c>
      <c r="G682">
        <v>115</v>
      </c>
      <c r="H682" t="s">
        <v>15</v>
      </c>
      <c r="I682" t="s">
        <v>16</v>
      </c>
      <c r="J682" s="1">
        <v>45673</v>
      </c>
    </row>
    <row r="683" spans="1:11" x14ac:dyDescent="0.3">
      <c r="A683" t="s">
        <v>901</v>
      </c>
      <c r="B683" t="s">
        <v>65</v>
      </c>
      <c r="C683" t="s">
        <v>23</v>
      </c>
      <c r="D683" t="s">
        <v>277</v>
      </c>
      <c r="E683">
        <v>30.5</v>
      </c>
      <c r="F683">
        <v>10</v>
      </c>
      <c r="G683">
        <v>305</v>
      </c>
      <c r="H683" t="s">
        <v>48</v>
      </c>
      <c r="I683" t="s">
        <v>16</v>
      </c>
      <c r="J683" s="1">
        <v>44774</v>
      </c>
      <c r="K683" t="b">
        <v>0</v>
      </c>
    </row>
    <row r="684" spans="1:11" x14ac:dyDescent="0.3">
      <c r="A684" t="s">
        <v>902</v>
      </c>
      <c r="B684" t="s">
        <v>84</v>
      </c>
      <c r="C684" t="s">
        <v>130</v>
      </c>
      <c r="D684" t="s">
        <v>744</v>
      </c>
      <c r="E684">
        <v>38</v>
      </c>
      <c r="F684">
        <v>3</v>
      </c>
      <c r="G684">
        <v>114</v>
      </c>
      <c r="H684" t="s">
        <v>48</v>
      </c>
      <c r="I684" t="s">
        <v>38</v>
      </c>
      <c r="J684" s="1">
        <v>44683</v>
      </c>
    </row>
    <row r="685" spans="1:11" x14ac:dyDescent="0.3">
      <c r="A685" t="s">
        <v>903</v>
      </c>
      <c r="B685" t="s">
        <v>77</v>
      </c>
      <c r="C685" t="s">
        <v>23</v>
      </c>
      <c r="D685" t="s">
        <v>383</v>
      </c>
      <c r="E685">
        <v>41</v>
      </c>
      <c r="F685">
        <v>8</v>
      </c>
      <c r="G685">
        <v>328</v>
      </c>
      <c r="H685" t="s">
        <v>25</v>
      </c>
      <c r="I685" t="s">
        <v>16</v>
      </c>
      <c r="J685" s="1">
        <v>45368</v>
      </c>
    </row>
    <row r="686" spans="1:11" x14ac:dyDescent="0.3">
      <c r="A686" t="s">
        <v>904</v>
      </c>
      <c r="B686" t="s">
        <v>100</v>
      </c>
      <c r="C686" t="s">
        <v>130</v>
      </c>
      <c r="D686" t="s">
        <v>326</v>
      </c>
      <c r="E686">
        <v>30.5</v>
      </c>
      <c r="F686">
        <v>9</v>
      </c>
      <c r="G686">
        <v>274.5</v>
      </c>
      <c r="H686" t="s">
        <v>15</v>
      </c>
      <c r="I686" t="s">
        <v>38</v>
      </c>
      <c r="J686" s="1">
        <v>44604</v>
      </c>
    </row>
    <row r="687" spans="1:11" x14ac:dyDescent="0.3">
      <c r="A687" t="s">
        <v>905</v>
      </c>
      <c r="B687" t="s">
        <v>46</v>
      </c>
      <c r="C687" t="s">
        <v>23</v>
      </c>
      <c r="D687" t="s">
        <v>217</v>
      </c>
      <c r="E687">
        <v>35</v>
      </c>
      <c r="F687">
        <v>6</v>
      </c>
      <c r="G687">
        <v>210</v>
      </c>
      <c r="H687" t="s">
        <v>48</v>
      </c>
      <c r="I687" t="s">
        <v>16</v>
      </c>
      <c r="J687" s="1">
        <v>44742</v>
      </c>
    </row>
    <row r="688" spans="1:11" x14ac:dyDescent="0.3">
      <c r="A688" t="s">
        <v>906</v>
      </c>
      <c r="B688" t="s">
        <v>43</v>
      </c>
      <c r="C688" t="s">
        <v>130</v>
      </c>
      <c r="D688" t="s">
        <v>243</v>
      </c>
      <c r="E688">
        <v>15.5</v>
      </c>
      <c r="F688">
        <v>7</v>
      </c>
      <c r="G688">
        <v>108.5</v>
      </c>
      <c r="H688" t="s">
        <v>15</v>
      </c>
      <c r="I688" t="s">
        <v>38</v>
      </c>
      <c r="J688" s="1">
        <v>45070</v>
      </c>
      <c r="K688" t="b">
        <v>1</v>
      </c>
    </row>
    <row r="689" spans="1:11" x14ac:dyDescent="0.3">
      <c r="A689" t="s">
        <v>907</v>
      </c>
      <c r="B689" t="s">
        <v>108</v>
      </c>
      <c r="C689" t="s">
        <v>23</v>
      </c>
      <c r="D689" t="s">
        <v>397</v>
      </c>
      <c r="E689">
        <v>5</v>
      </c>
      <c r="F689">
        <v>3</v>
      </c>
      <c r="G689">
        <v>15</v>
      </c>
      <c r="H689" t="s">
        <v>48</v>
      </c>
      <c r="I689" t="s">
        <v>16</v>
      </c>
      <c r="J689" s="1">
        <v>45460</v>
      </c>
    </row>
    <row r="690" spans="1:11" x14ac:dyDescent="0.3">
      <c r="A690" t="s">
        <v>908</v>
      </c>
      <c r="B690" t="s">
        <v>113</v>
      </c>
      <c r="C690" t="s">
        <v>130</v>
      </c>
      <c r="D690" t="s">
        <v>225</v>
      </c>
      <c r="E690">
        <v>41</v>
      </c>
      <c r="F690">
        <v>6</v>
      </c>
      <c r="G690">
        <v>246</v>
      </c>
      <c r="H690" t="s">
        <v>15</v>
      </c>
      <c r="I690" t="s">
        <v>38</v>
      </c>
      <c r="J690" s="1">
        <v>44780</v>
      </c>
    </row>
    <row r="691" spans="1:11" x14ac:dyDescent="0.3">
      <c r="A691" t="s">
        <v>909</v>
      </c>
      <c r="B691" t="s">
        <v>18</v>
      </c>
      <c r="C691" t="s">
        <v>28</v>
      </c>
      <c r="D691" t="s">
        <v>268</v>
      </c>
      <c r="E691">
        <v>12.5</v>
      </c>
      <c r="F691">
        <v>8</v>
      </c>
      <c r="G691">
        <v>100</v>
      </c>
      <c r="H691" t="s">
        <v>15</v>
      </c>
      <c r="I691" t="s">
        <v>16</v>
      </c>
      <c r="J691" s="1">
        <v>45331</v>
      </c>
      <c r="K691" t="b">
        <v>1</v>
      </c>
    </row>
    <row r="692" spans="1:11" x14ac:dyDescent="0.3">
      <c r="A692" t="s">
        <v>910</v>
      </c>
      <c r="B692" t="s">
        <v>168</v>
      </c>
      <c r="C692" t="s">
        <v>13</v>
      </c>
      <c r="D692" t="s">
        <v>207</v>
      </c>
      <c r="E692">
        <v>9.5</v>
      </c>
      <c r="F692">
        <v>10</v>
      </c>
      <c r="G692">
        <v>95</v>
      </c>
      <c r="H692" t="s">
        <v>15</v>
      </c>
      <c r="I692" t="s">
        <v>38</v>
      </c>
      <c r="J692" s="1">
        <v>44796</v>
      </c>
      <c r="K692" t="b">
        <v>0</v>
      </c>
    </row>
    <row r="693" spans="1:11" x14ac:dyDescent="0.3">
      <c r="A693" t="s">
        <v>911</v>
      </c>
      <c r="B693" t="s">
        <v>31</v>
      </c>
      <c r="C693" t="s">
        <v>13</v>
      </c>
      <c r="D693" t="s">
        <v>178</v>
      </c>
      <c r="E693">
        <v>14</v>
      </c>
      <c r="F693">
        <v>9</v>
      </c>
      <c r="G693">
        <v>126</v>
      </c>
      <c r="H693" t="s">
        <v>15</v>
      </c>
      <c r="I693" t="s">
        <v>38</v>
      </c>
      <c r="J693" s="1">
        <v>44830</v>
      </c>
      <c r="K693" t="b">
        <v>0</v>
      </c>
    </row>
    <row r="694" spans="1:11" x14ac:dyDescent="0.3">
      <c r="A694" t="s">
        <v>912</v>
      </c>
      <c r="B694" t="s">
        <v>100</v>
      </c>
      <c r="C694" t="s">
        <v>28</v>
      </c>
      <c r="D694" t="s">
        <v>308</v>
      </c>
      <c r="E694">
        <v>6.5</v>
      </c>
      <c r="F694">
        <v>3</v>
      </c>
      <c r="G694">
        <v>19.5</v>
      </c>
      <c r="H694" t="s">
        <v>48</v>
      </c>
      <c r="I694" t="s">
        <v>16</v>
      </c>
      <c r="J694" s="1">
        <v>45439</v>
      </c>
      <c r="K694" t="b">
        <v>1</v>
      </c>
    </row>
    <row r="695" spans="1:11" x14ac:dyDescent="0.3">
      <c r="A695" t="s">
        <v>913</v>
      </c>
      <c r="B695" t="s">
        <v>22</v>
      </c>
      <c r="C695" t="s">
        <v>32</v>
      </c>
      <c r="D695" t="s">
        <v>409</v>
      </c>
      <c r="E695">
        <v>11</v>
      </c>
      <c r="F695">
        <v>9</v>
      </c>
      <c r="G695">
        <v>99</v>
      </c>
      <c r="H695" t="s">
        <v>15</v>
      </c>
      <c r="I695" t="s">
        <v>38</v>
      </c>
      <c r="J695" s="1">
        <v>45627</v>
      </c>
      <c r="K695" t="b">
        <v>1</v>
      </c>
    </row>
    <row r="696" spans="1:11" x14ac:dyDescent="0.3">
      <c r="A696" t="s">
        <v>914</v>
      </c>
      <c r="B696" t="s">
        <v>46</v>
      </c>
      <c r="C696" t="s">
        <v>13</v>
      </c>
      <c r="D696" t="s">
        <v>503</v>
      </c>
      <c r="E696">
        <v>33.5</v>
      </c>
      <c r="F696">
        <v>7</v>
      </c>
      <c r="G696">
        <v>234.5</v>
      </c>
      <c r="H696" t="s">
        <v>25</v>
      </c>
      <c r="I696" t="s">
        <v>38</v>
      </c>
      <c r="J696" s="1">
        <v>44745</v>
      </c>
      <c r="K696" t="b">
        <v>0</v>
      </c>
    </row>
    <row r="697" spans="1:11" x14ac:dyDescent="0.3">
      <c r="A697" t="s">
        <v>915</v>
      </c>
      <c r="B697" t="s">
        <v>55</v>
      </c>
      <c r="C697" t="s">
        <v>66</v>
      </c>
      <c r="D697" t="s">
        <v>464</v>
      </c>
      <c r="E697">
        <v>11</v>
      </c>
      <c r="F697">
        <v>2</v>
      </c>
      <c r="G697">
        <v>22</v>
      </c>
      <c r="H697" t="s">
        <v>15</v>
      </c>
      <c r="I697" t="s">
        <v>38</v>
      </c>
      <c r="J697" s="1">
        <v>44630</v>
      </c>
      <c r="K697" t="b">
        <v>1</v>
      </c>
    </row>
    <row r="698" spans="1:11" x14ac:dyDescent="0.3">
      <c r="A698" t="s">
        <v>916</v>
      </c>
      <c r="B698" t="s">
        <v>74</v>
      </c>
      <c r="C698" t="s">
        <v>130</v>
      </c>
      <c r="D698" t="s">
        <v>621</v>
      </c>
      <c r="E698">
        <v>21.5</v>
      </c>
      <c r="F698">
        <v>7</v>
      </c>
      <c r="G698">
        <v>150.5</v>
      </c>
      <c r="H698" t="s">
        <v>48</v>
      </c>
      <c r="I698" t="s">
        <v>16</v>
      </c>
      <c r="J698" s="1">
        <v>44667</v>
      </c>
      <c r="K698" t="b">
        <v>0</v>
      </c>
    </row>
    <row r="699" spans="1:11" x14ac:dyDescent="0.3">
      <c r="A699" t="s">
        <v>917</v>
      </c>
      <c r="B699" t="s">
        <v>43</v>
      </c>
      <c r="C699" t="s">
        <v>28</v>
      </c>
      <c r="D699" t="s">
        <v>865</v>
      </c>
      <c r="E699">
        <v>26</v>
      </c>
      <c r="F699">
        <v>9</v>
      </c>
      <c r="G699">
        <v>234</v>
      </c>
      <c r="H699" t="s">
        <v>25</v>
      </c>
      <c r="I699" t="s">
        <v>16</v>
      </c>
      <c r="J699" s="1">
        <v>44642</v>
      </c>
    </row>
    <row r="700" spans="1:11" x14ac:dyDescent="0.3">
      <c r="A700" t="s">
        <v>918</v>
      </c>
      <c r="B700" t="s">
        <v>108</v>
      </c>
      <c r="C700" t="s">
        <v>66</v>
      </c>
      <c r="D700" t="s">
        <v>919</v>
      </c>
      <c r="E700">
        <v>17</v>
      </c>
      <c r="F700">
        <v>3</v>
      </c>
      <c r="G700">
        <v>51</v>
      </c>
      <c r="H700" t="s">
        <v>48</v>
      </c>
      <c r="I700" t="s">
        <v>16</v>
      </c>
      <c r="J700" s="1">
        <v>44973</v>
      </c>
      <c r="K700" t="b">
        <v>1</v>
      </c>
    </row>
    <row r="701" spans="1:11" x14ac:dyDescent="0.3">
      <c r="A701" t="s">
        <v>920</v>
      </c>
      <c r="B701" t="s">
        <v>116</v>
      </c>
      <c r="C701" t="s">
        <v>41</v>
      </c>
      <c r="F701">
        <v>3</v>
      </c>
      <c r="G701">
        <v>105</v>
      </c>
      <c r="H701" t="s">
        <v>48</v>
      </c>
      <c r="I701" t="s">
        <v>16</v>
      </c>
      <c r="J701" s="1">
        <v>45466</v>
      </c>
      <c r="K701" t="b">
        <v>0</v>
      </c>
    </row>
    <row r="702" spans="1:11" x14ac:dyDescent="0.3">
      <c r="A702" t="s">
        <v>921</v>
      </c>
      <c r="B702" t="s">
        <v>123</v>
      </c>
      <c r="C702" t="s">
        <v>41</v>
      </c>
      <c r="F702">
        <v>2</v>
      </c>
      <c r="G702">
        <v>10</v>
      </c>
      <c r="H702" t="s">
        <v>15</v>
      </c>
      <c r="I702" t="s">
        <v>38</v>
      </c>
      <c r="J702" s="1">
        <v>45121</v>
      </c>
      <c r="K702" t="b">
        <v>1</v>
      </c>
    </row>
    <row r="703" spans="1:11" x14ac:dyDescent="0.3">
      <c r="A703" t="s">
        <v>922</v>
      </c>
      <c r="B703" t="s">
        <v>84</v>
      </c>
      <c r="C703" t="s">
        <v>13</v>
      </c>
      <c r="D703" t="s">
        <v>178</v>
      </c>
      <c r="E703">
        <v>14</v>
      </c>
      <c r="F703">
        <v>10</v>
      </c>
      <c r="G703">
        <v>140</v>
      </c>
      <c r="H703" t="s">
        <v>15</v>
      </c>
      <c r="I703" t="s">
        <v>38</v>
      </c>
      <c r="J703" s="1">
        <v>44862</v>
      </c>
      <c r="K703" t="b">
        <v>1</v>
      </c>
    </row>
    <row r="704" spans="1:11" x14ac:dyDescent="0.3">
      <c r="A704" t="s">
        <v>923</v>
      </c>
      <c r="B704" t="s">
        <v>123</v>
      </c>
      <c r="C704" t="s">
        <v>41</v>
      </c>
      <c r="D704" t="s">
        <v>146</v>
      </c>
      <c r="E704">
        <v>14</v>
      </c>
      <c r="F704">
        <v>7</v>
      </c>
      <c r="G704">
        <v>98</v>
      </c>
      <c r="H704" t="s">
        <v>25</v>
      </c>
      <c r="I704" t="s">
        <v>16</v>
      </c>
      <c r="J704" s="1">
        <v>44858</v>
      </c>
      <c r="K704" t="b">
        <v>1</v>
      </c>
    </row>
    <row r="705" spans="1:11" x14ac:dyDescent="0.3">
      <c r="A705" t="s">
        <v>924</v>
      </c>
      <c r="B705" t="s">
        <v>18</v>
      </c>
      <c r="C705" t="s">
        <v>66</v>
      </c>
      <c r="D705" t="s">
        <v>367</v>
      </c>
      <c r="E705">
        <v>21.5</v>
      </c>
      <c r="F705">
        <v>2</v>
      </c>
      <c r="G705">
        <v>43</v>
      </c>
      <c r="H705" t="s">
        <v>25</v>
      </c>
      <c r="I705" t="s">
        <v>16</v>
      </c>
      <c r="J705" s="1">
        <v>44912</v>
      </c>
    </row>
    <row r="706" spans="1:11" x14ac:dyDescent="0.3">
      <c r="A706" t="s">
        <v>925</v>
      </c>
      <c r="B706" t="s">
        <v>89</v>
      </c>
      <c r="C706" t="s">
        <v>19</v>
      </c>
      <c r="D706" t="s">
        <v>391</v>
      </c>
      <c r="E706">
        <v>6.5</v>
      </c>
      <c r="F706">
        <v>8</v>
      </c>
      <c r="G706">
        <v>52</v>
      </c>
      <c r="H706" t="s">
        <v>25</v>
      </c>
      <c r="I706" t="s">
        <v>38</v>
      </c>
      <c r="J706" s="1">
        <v>45481</v>
      </c>
      <c r="K706" t="b">
        <v>0</v>
      </c>
    </row>
    <row r="707" spans="1:11" x14ac:dyDescent="0.3">
      <c r="A707" t="s">
        <v>926</v>
      </c>
      <c r="B707" t="s">
        <v>84</v>
      </c>
      <c r="C707" t="s">
        <v>66</v>
      </c>
      <c r="D707" t="s">
        <v>215</v>
      </c>
      <c r="E707">
        <v>12.5</v>
      </c>
      <c r="F707">
        <v>6</v>
      </c>
      <c r="G707">
        <v>75</v>
      </c>
      <c r="H707" t="s">
        <v>48</v>
      </c>
      <c r="I707" t="s">
        <v>38</v>
      </c>
      <c r="J707" s="1">
        <v>44878</v>
      </c>
      <c r="K707" t="b">
        <v>0</v>
      </c>
    </row>
    <row r="708" spans="1:11" x14ac:dyDescent="0.3">
      <c r="A708" t="s">
        <v>927</v>
      </c>
      <c r="B708" t="s">
        <v>65</v>
      </c>
      <c r="C708" t="s">
        <v>41</v>
      </c>
      <c r="D708" t="s">
        <v>453</v>
      </c>
      <c r="E708">
        <v>26</v>
      </c>
      <c r="F708">
        <v>1</v>
      </c>
      <c r="G708">
        <v>26</v>
      </c>
      <c r="H708" t="s">
        <v>48</v>
      </c>
      <c r="I708" t="s">
        <v>16</v>
      </c>
      <c r="J708" s="1">
        <v>44744</v>
      </c>
      <c r="K708" t="b">
        <v>1</v>
      </c>
    </row>
    <row r="709" spans="1:11" x14ac:dyDescent="0.3">
      <c r="A709" t="s">
        <v>928</v>
      </c>
      <c r="B709" t="s">
        <v>46</v>
      </c>
      <c r="C709" t="s">
        <v>41</v>
      </c>
      <c r="D709" t="s">
        <v>594</v>
      </c>
      <c r="E709">
        <v>33.5</v>
      </c>
      <c r="F709">
        <v>1</v>
      </c>
      <c r="G709">
        <v>33.5</v>
      </c>
      <c r="H709" t="s">
        <v>15</v>
      </c>
      <c r="I709" t="s">
        <v>38</v>
      </c>
      <c r="J709" s="1">
        <v>44717</v>
      </c>
      <c r="K709" t="b">
        <v>1</v>
      </c>
    </row>
    <row r="710" spans="1:11" x14ac:dyDescent="0.3">
      <c r="A710" t="s">
        <v>929</v>
      </c>
      <c r="B710" t="s">
        <v>18</v>
      </c>
      <c r="C710" t="s">
        <v>28</v>
      </c>
      <c r="D710" t="s">
        <v>205</v>
      </c>
      <c r="E710">
        <v>24.5</v>
      </c>
      <c r="F710">
        <v>2</v>
      </c>
      <c r="G710">
        <v>49</v>
      </c>
      <c r="H710" t="s">
        <v>15</v>
      </c>
      <c r="I710" t="s">
        <v>38</v>
      </c>
      <c r="J710" s="1">
        <v>44918</v>
      </c>
      <c r="K710" t="b">
        <v>1</v>
      </c>
    </row>
    <row r="711" spans="1:11" x14ac:dyDescent="0.3">
      <c r="A711" t="s">
        <v>930</v>
      </c>
      <c r="B711" t="s">
        <v>100</v>
      </c>
      <c r="C711" t="s">
        <v>19</v>
      </c>
      <c r="D711" t="s">
        <v>271</v>
      </c>
      <c r="E711">
        <v>5</v>
      </c>
      <c r="F711">
        <v>5</v>
      </c>
      <c r="G711">
        <v>25</v>
      </c>
      <c r="H711" t="s">
        <v>25</v>
      </c>
      <c r="I711" t="s">
        <v>16</v>
      </c>
      <c r="J711" s="1">
        <v>45378</v>
      </c>
    </row>
    <row r="712" spans="1:11" x14ac:dyDescent="0.3">
      <c r="A712" t="s">
        <v>931</v>
      </c>
      <c r="B712" t="s">
        <v>40</v>
      </c>
      <c r="C712" t="s">
        <v>130</v>
      </c>
      <c r="D712" t="s">
        <v>275</v>
      </c>
      <c r="E712">
        <v>6.5</v>
      </c>
      <c r="F712">
        <v>6</v>
      </c>
      <c r="G712">
        <v>39</v>
      </c>
      <c r="H712" t="s">
        <v>15</v>
      </c>
      <c r="I712" t="s">
        <v>38</v>
      </c>
      <c r="J712" s="1">
        <v>44580</v>
      </c>
    </row>
    <row r="713" spans="1:11" x14ac:dyDescent="0.3">
      <c r="A713" t="s">
        <v>932</v>
      </c>
      <c r="B713" t="s">
        <v>98</v>
      </c>
      <c r="C713" t="s">
        <v>41</v>
      </c>
      <c r="D713" t="s">
        <v>190</v>
      </c>
      <c r="E713">
        <v>20</v>
      </c>
      <c r="F713">
        <v>9</v>
      </c>
      <c r="G713">
        <v>180</v>
      </c>
      <c r="H713" t="s">
        <v>48</v>
      </c>
      <c r="I713" t="s">
        <v>38</v>
      </c>
      <c r="J713" s="1">
        <v>45139</v>
      </c>
      <c r="K713" t="b">
        <v>0</v>
      </c>
    </row>
    <row r="714" spans="1:11" x14ac:dyDescent="0.3">
      <c r="A714" t="s">
        <v>933</v>
      </c>
      <c r="B714" t="s">
        <v>18</v>
      </c>
      <c r="C714" t="s">
        <v>130</v>
      </c>
      <c r="E714">
        <v>30.5</v>
      </c>
      <c r="H714" t="s">
        <v>25</v>
      </c>
      <c r="I714" t="s">
        <v>38</v>
      </c>
      <c r="J714" s="1">
        <v>45598</v>
      </c>
      <c r="K714" t="b">
        <v>1</v>
      </c>
    </row>
    <row r="715" spans="1:11" x14ac:dyDescent="0.3">
      <c r="A715" t="s">
        <v>934</v>
      </c>
      <c r="B715" t="s">
        <v>108</v>
      </c>
      <c r="C715" t="s">
        <v>23</v>
      </c>
      <c r="D715" t="s">
        <v>306</v>
      </c>
      <c r="E715">
        <v>23</v>
      </c>
      <c r="F715">
        <v>3</v>
      </c>
      <c r="G715">
        <v>69</v>
      </c>
      <c r="H715" t="s">
        <v>15</v>
      </c>
      <c r="I715" t="s">
        <v>38</v>
      </c>
      <c r="J715" s="1">
        <v>45481</v>
      </c>
      <c r="K715" t="b">
        <v>0</v>
      </c>
    </row>
    <row r="716" spans="1:11" x14ac:dyDescent="0.3">
      <c r="A716" t="s">
        <v>935</v>
      </c>
      <c r="B716" t="s">
        <v>36</v>
      </c>
      <c r="C716" t="s">
        <v>41</v>
      </c>
      <c r="D716" t="s">
        <v>87</v>
      </c>
      <c r="E716">
        <v>41</v>
      </c>
      <c r="F716">
        <v>9</v>
      </c>
      <c r="G716">
        <v>369</v>
      </c>
      <c r="H716" t="s">
        <v>15</v>
      </c>
      <c r="I716" t="s">
        <v>38</v>
      </c>
      <c r="J716" s="1">
        <v>45480</v>
      </c>
    </row>
    <row r="717" spans="1:11" x14ac:dyDescent="0.3">
      <c r="A717" t="s">
        <v>936</v>
      </c>
      <c r="B717" t="s">
        <v>77</v>
      </c>
      <c r="C717" t="s">
        <v>66</v>
      </c>
      <c r="D717" t="s">
        <v>352</v>
      </c>
      <c r="E717">
        <v>38</v>
      </c>
      <c r="F717">
        <v>4</v>
      </c>
      <c r="G717">
        <v>152</v>
      </c>
      <c r="H717" t="s">
        <v>15</v>
      </c>
      <c r="I717" t="s">
        <v>16</v>
      </c>
      <c r="J717" s="1">
        <v>44781</v>
      </c>
      <c r="K717" t="b">
        <v>0</v>
      </c>
    </row>
    <row r="718" spans="1:11" x14ac:dyDescent="0.3">
      <c r="A718" t="s">
        <v>937</v>
      </c>
      <c r="B718" t="s">
        <v>36</v>
      </c>
      <c r="C718" t="s">
        <v>23</v>
      </c>
      <c r="D718" t="s">
        <v>938</v>
      </c>
      <c r="E718">
        <v>20</v>
      </c>
      <c r="F718">
        <v>10</v>
      </c>
      <c r="G718">
        <v>200</v>
      </c>
      <c r="H718" t="s">
        <v>15</v>
      </c>
      <c r="I718" t="s">
        <v>16</v>
      </c>
      <c r="J718" s="1">
        <v>45619</v>
      </c>
    </row>
    <row r="719" spans="1:11" x14ac:dyDescent="0.3">
      <c r="A719" t="s">
        <v>939</v>
      </c>
      <c r="B719" t="s">
        <v>12</v>
      </c>
      <c r="C719" t="s">
        <v>23</v>
      </c>
      <c r="D719" t="s">
        <v>47</v>
      </c>
      <c r="E719">
        <v>36.5</v>
      </c>
      <c r="F719">
        <v>2</v>
      </c>
      <c r="G719">
        <v>73</v>
      </c>
      <c r="H719" t="s">
        <v>48</v>
      </c>
      <c r="I719" t="s">
        <v>16</v>
      </c>
      <c r="J719" s="1">
        <v>45035</v>
      </c>
      <c r="K719" t="b">
        <v>1</v>
      </c>
    </row>
    <row r="720" spans="1:11" x14ac:dyDescent="0.3">
      <c r="A720" t="s">
        <v>940</v>
      </c>
      <c r="B720" t="s">
        <v>108</v>
      </c>
      <c r="C720" t="s">
        <v>13</v>
      </c>
      <c r="D720" t="s">
        <v>92</v>
      </c>
      <c r="E720">
        <v>36.5</v>
      </c>
      <c r="F720">
        <v>10</v>
      </c>
      <c r="G720">
        <v>365</v>
      </c>
      <c r="H720" t="s">
        <v>48</v>
      </c>
      <c r="I720" t="s">
        <v>38</v>
      </c>
      <c r="J720" s="1">
        <v>44869</v>
      </c>
      <c r="K720" t="b">
        <v>1</v>
      </c>
    </row>
    <row r="721" spans="1:11" x14ac:dyDescent="0.3">
      <c r="A721" t="s">
        <v>941</v>
      </c>
      <c r="B721" t="s">
        <v>123</v>
      </c>
      <c r="C721" t="s">
        <v>66</v>
      </c>
      <c r="D721" t="s">
        <v>643</v>
      </c>
      <c r="E721">
        <v>26</v>
      </c>
      <c r="F721">
        <v>3</v>
      </c>
      <c r="G721">
        <v>78</v>
      </c>
      <c r="H721" t="s">
        <v>48</v>
      </c>
      <c r="I721" t="s">
        <v>38</v>
      </c>
      <c r="J721" s="1">
        <v>45654</v>
      </c>
      <c r="K721" t="b">
        <v>1</v>
      </c>
    </row>
    <row r="722" spans="1:11" x14ac:dyDescent="0.3">
      <c r="A722" t="s">
        <v>942</v>
      </c>
      <c r="B722" t="s">
        <v>74</v>
      </c>
      <c r="C722" t="s">
        <v>28</v>
      </c>
      <c r="D722" t="s">
        <v>71</v>
      </c>
      <c r="E722">
        <v>14</v>
      </c>
      <c r="F722">
        <v>1</v>
      </c>
      <c r="G722">
        <v>14</v>
      </c>
      <c r="H722" t="s">
        <v>48</v>
      </c>
      <c r="I722" t="s">
        <v>38</v>
      </c>
      <c r="J722" s="1">
        <v>44782</v>
      </c>
    </row>
    <row r="723" spans="1:11" x14ac:dyDescent="0.3">
      <c r="A723" t="s">
        <v>943</v>
      </c>
      <c r="B723" t="s">
        <v>36</v>
      </c>
      <c r="C723" t="s">
        <v>28</v>
      </c>
      <c r="D723" t="s">
        <v>205</v>
      </c>
      <c r="E723">
        <v>24.5</v>
      </c>
      <c r="F723">
        <v>2</v>
      </c>
      <c r="G723">
        <v>49</v>
      </c>
      <c r="H723" t="s">
        <v>25</v>
      </c>
      <c r="I723" t="s">
        <v>38</v>
      </c>
      <c r="J723" s="1">
        <v>44696</v>
      </c>
      <c r="K723" t="b">
        <v>1</v>
      </c>
    </row>
    <row r="724" spans="1:11" x14ac:dyDescent="0.3">
      <c r="A724" t="s">
        <v>944</v>
      </c>
      <c r="B724" t="s">
        <v>31</v>
      </c>
      <c r="C724" t="s">
        <v>28</v>
      </c>
      <c r="D724" t="s">
        <v>676</v>
      </c>
      <c r="E724">
        <v>39.5</v>
      </c>
      <c r="F724">
        <v>6</v>
      </c>
      <c r="G724">
        <v>237</v>
      </c>
      <c r="H724" t="s">
        <v>25</v>
      </c>
      <c r="I724" t="s">
        <v>38</v>
      </c>
      <c r="J724" s="1">
        <v>44929</v>
      </c>
      <c r="K724" t="b">
        <v>1</v>
      </c>
    </row>
    <row r="725" spans="1:11" x14ac:dyDescent="0.3">
      <c r="A725" t="s">
        <v>945</v>
      </c>
      <c r="B725" t="s">
        <v>22</v>
      </c>
      <c r="C725" t="s">
        <v>13</v>
      </c>
      <c r="D725" t="s">
        <v>207</v>
      </c>
      <c r="E725">
        <v>9.5</v>
      </c>
      <c r="F725">
        <v>9</v>
      </c>
      <c r="G725">
        <v>85.5</v>
      </c>
      <c r="H725" t="s">
        <v>48</v>
      </c>
      <c r="I725" t="s">
        <v>38</v>
      </c>
      <c r="J725" s="1">
        <v>44757</v>
      </c>
    </row>
    <row r="726" spans="1:11" x14ac:dyDescent="0.3">
      <c r="A726" t="s">
        <v>946</v>
      </c>
      <c r="B726" t="s">
        <v>55</v>
      </c>
      <c r="C726" t="s">
        <v>19</v>
      </c>
      <c r="D726" t="s">
        <v>152</v>
      </c>
      <c r="E726">
        <v>12.5</v>
      </c>
      <c r="F726">
        <v>6</v>
      </c>
      <c r="G726">
        <v>75</v>
      </c>
      <c r="H726" t="s">
        <v>25</v>
      </c>
      <c r="I726" t="s">
        <v>16</v>
      </c>
      <c r="J726" s="1">
        <v>45198</v>
      </c>
      <c r="K726" t="b">
        <v>0</v>
      </c>
    </row>
    <row r="727" spans="1:11" x14ac:dyDescent="0.3">
      <c r="A727" t="s">
        <v>947</v>
      </c>
      <c r="B727" t="s">
        <v>65</v>
      </c>
      <c r="C727" t="s">
        <v>41</v>
      </c>
      <c r="D727" t="s">
        <v>190</v>
      </c>
      <c r="E727">
        <v>20</v>
      </c>
      <c r="F727">
        <v>8</v>
      </c>
      <c r="G727">
        <v>160</v>
      </c>
      <c r="H727" t="s">
        <v>25</v>
      </c>
      <c r="I727" t="s">
        <v>38</v>
      </c>
      <c r="J727" s="1">
        <v>45166</v>
      </c>
      <c r="K727" t="b">
        <v>0</v>
      </c>
    </row>
    <row r="728" spans="1:11" x14ac:dyDescent="0.3">
      <c r="A728" t="s">
        <v>948</v>
      </c>
      <c r="B728" t="s">
        <v>100</v>
      </c>
      <c r="C728" t="s">
        <v>23</v>
      </c>
      <c r="D728" t="s">
        <v>85</v>
      </c>
      <c r="E728">
        <v>33.5</v>
      </c>
      <c r="F728">
        <v>8</v>
      </c>
      <c r="G728">
        <v>268</v>
      </c>
      <c r="H728" t="s">
        <v>25</v>
      </c>
      <c r="I728" t="s">
        <v>16</v>
      </c>
      <c r="J728" s="1">
        <v>44797</v>
      </c>
    </row>
    <row r="729" spans="1:11" x14ac:dyDescent="0.3">
      <c r="A729" t="s">
        <v>949</v>
      </c>
      <c r="B729" t="s">
        <v>80</v>
      </c>
      <c r="C729" t="s">
        <v>32</v>
      </c>
      <c r="D729" t="s">
        <v>33</v>
      </c>
      <c r="E729">
        <v>12.5</v>
      </c>
      <c r="F729">
        <v>10</v>
      </c>
      <c r="G729">
        <v>125</v>
      </c>
      <c r="H729" t="s">
        <v>25</v>
      </c>
      <c r="I729" t="s">
        <v>38</v>
      </c>
      <c r="J729" s="1">
        <v>44960</v>
      </c>
    </row>
    <row r="730" spans="1:11" x14ac:dyDescent="0.3">
      <c r="A730" t="s">
        <v>950</v>
      </c>
      <c r="B730" t="s">
        <v>27</v>
      </c>
      <c r="C730" t="s">
        <v>66</v>
      </c>
      <c r="D730" t="s">
        <v>367</v>
      </c>
      <c r="E730">
        <v>21.5</v>
      </c>
      <c r="F730">
        <v>8</v>
      </c>
      <c r="G730">
        <v>172</v>
      </c>
      <c r="H730" t="s">
        <v>15</v>
      </c>
      <c r="I730" t="s">
        <v>16</v>
      </c>
      <c r="J730" s="1">
        <v>44890</v>
      </c>
    </row>
    <row r="731" spans="1:11" x14ac:dyDescent="0.3">
      <c r="A731" t="s">
        <v>951</v>
      </c>
      <c r="B731" t="s">
        <v>46</v>
      </c>
      <c r="C731" t="s">
        <v>19</v>
      </c>
      <c r="D731" t="s">
        <v>540</v>
      </c>
      <c r="E731">
        <v>23</v>
      </c>
      <c r="F731">
        <v>3</v>
      </c>
      <c r="G731">
        <v>69</v>
      </c>
      <c r="H731" t="s">
        <v>15</v>
      </c>
      <c r="I731" t="s">
        <v>16</v>
      </c>
      <c r="J731" s="1">
        <v>45528</v>
      </c>
    </row>
    <row r="732" spans="1:11" x14ac:dyDescent="0.3">
      <c r="A732" t="s">
        <v>952</v>
      </c>
      <c r="B732" t="s">
        <v>43</v>
      </c>
      <c r="C732" t="s">
        <v>13</v>
      </c>
      <c r="E732">
        <v>20</v>
      </c>
      <c r="H732" t="s">
        <v>48</v>
      </c>
      <c r="I732" t="s">
        <v>16</v>
      </c>
      <c r="J732" s="1">
        <v>44566</v>
      </c>
    </row>
    <row r="733" spans="1:11" x14ac:dyDescent="0.3">
      <c r="A733" t="s">
        <v>953</v>
      </c>
      <c r="B733" t="s">
        <v>12</v>
      </c>
      <c r="C733" t="s">
        <v>41</v>
      </c>
      <c r="D733" t="s">
        <v>44</v>
      </c>
      <c r="E733">
        <v>27.5</v>
      </c>
      <c r="F733">
        <v>8</v>
      </c>
      <c r="G733">
        <v>220</v>
      </c>
      <c r="H733" t="s">
        <v>48</v>
      </c>
      <c r="I733" t="s">
        <v>16</v>
      </c>
      <c r="J733" s="1">
        <v>45038</v>
      </c>
      <c r="K733" t="b">
        <v>0</v>
      </c>
    </row>
    <row r="734" spans="1:11" x14ac:dyDescent="0.3">
      <c r="A734" t="s">
        <v>954</v>
      </c>
      <c r="B734" t="s">
        <v>108</v>
      </c>
      <c r="C734" t="s">
        <v>66</v>
      </c>
      <c r="D734" t="s">
        <v>955</v>
      </c>
      <c r="E734">
        <v>30.5</v>
      </c>
      <c r="F734">
        <v>2</v>
      </c>
      <c r="G734">
        <v>61</v>
      </c>
      <c r="H734" t="s">
        <v>15</v>
      </c>
      <c r="I734" t="s">
        <v>16</v>
      </c>
      <c r="J734" s="1">
        <v>44887</v>
      </c>
      <c r="K734" t="b">
        <v>0</v>
      </c>
    </row>
    <row r="735" spans="1:11" x14ac:dyDescent="0.3">
      <c r="A735" t="s">
        <v>956</v>
      </c>
      <c r="B735" t="s">
        <v>69</v>
      </c>
      <c r="C735" t="s">
        <v>32</v>
      </c>
      <c r="D735" t="s">
        <v>498</v>
      </c>
      <c r="E735">
        <v>29</v>
      </c>
      <c r="F735">
        <v>3</v>
      </c>
      <c r="G735">
        <v>87</v>
      </c>
      <c r="H735" t="s">
        <v>15</v>
      </c>
      <c r="I735" t="s">
        <v>38</v>
      </c>
      <c r="J735" s="1">
        <v>44714</v>
      </c>
      <c r="K735" t="b">
        <v>0</v>
      </c>
    </row>
    <row r="736" spans="1:11" x14ac:dyDescent="0.3">
      <c r="A736" t="s">
        <v>957</v>
      </c>
      <c r="B736" t="s">
        <v>63</v>
      </c>
      <c r="C736" t="s">
        <v>13</v>
      </c>
      <c r="D736" t="s">
        <v>96</v>
      </c>
      <c r="E736">
        <v>12.5</v>
      </c>
      <c r="F736">
        <v>10</v>
      </c>
      <c r="G736">
        <v>125</v>
      </c>
      <c r="H736" t="s">
        <v>25</v>
      </c>
      <c r="I736" t="s">
        <v>16</v>
      </c>
      <c r="J736" s="1">
        <v>45624</v>
      </c>
      <c r="K736" t="b">
        <v>0</v>
      </c>
    </row>
    <row r="737" spans="1:11" x14ac:dyDescent="0.3">
      <c r="A737" t="s">
        <v>958</v>
      </c>
      <c r="B737" t="s">
        <v>98</v>
      </c>
      <c r="C737" t="s">
        <v>130</v>
      </c>
      <c r="D737" t="s">
        <v>320</v>
      </c>
      <c r="E737">
        <v>24.5</v>
      </c>
      <c r="F737">
        <v>9</v>
      </c>
      <c r="G737">
        <v>220.5</v>
      </c>
      <c r="H737" t="s">
        <v>25</v>
      </c>
      <c r="I737" t="s">
        <v>38</v>
      </c>
      <c r="J737" s="1">
        <v>45170</v>
      </c>
      <c r="K737" t="b">
        <v>0</v>
      </c>
    </row>
    <row r="738" spans="1:11" x14ac:dyDescent="0.3">
      <c r="A738" t="s">
        <v>959</v>
      </c>
      <c r="B738" t="s">
        <v>65</v>
      </c>
      <c r="C738" t="s">
        <v>23</v>
      </c>
      <c r="D738" t="s">
        <v>135</v>
      </c>
      <c r="E738">
        <v>27.5</v>
      </c>
      <c r="F738">
        <v>7</v>
      </c>
      <c r="G738">
        <v>192.5</v>
      </c>
      <c r="H738" t="s">
        <v>15</v>
      </c>
      <c r="I738" t="s">
        <v>16</v>
      </c>
      <c r="J738" s="1">
        <v>44817</v>
      </c>
      <c r="K738" t="b">
        <v>1</v>
      </c>
    </row>
    <row r="739" spans="1:11" x14ac:dyDescent="0.3">
      <c r="A739" t="s">
        <v>960</v>
      </c>
      <c r="B739" t="s">
        <v>36</v>
      </c>
      <c r="C739" t="s">
        <v>32</v>
      </c>
      <c r="D739" t="s">
        <v>33</v>
      </c>
      <c r="E739">
        <v>12.5</v>
      </c>
      <c r="F739">
        <v>10</v>
      </c>
      <c r="G739">
        <v>125</v>
      </c>
      <c r="H739" t="s">
        <v>48</v>
      </c>
      <c r="I739" t="s">
        <v>38</v>
      </c>
      <c r="J739" s="1">
        <v>44587</v>
      </c>
      <c r="K739" t="b">
        <v>0</v>
      </c>
    </row>
    <row r="740" spans="1:11" x14ac:dyDescent="0.3">
      <c r="A740" t="s">
        <v>961</v>
      </c>
      <c r="B740" t="s">
        <v>98</v>
      </c>
      <c r="C740" t="s">
        <v>41</v>
      </c>
      <c r="D740" t="s">
        <v>453</v>
      </c>
      <c r="E740">
        <v>26</v>
      </c>
      <c r="F740">
        <v>8</v>
      </c>
      <c r="G740">
        <v>208</v>
      </c>
      <c r="H740" t="s">
        <v>25</v>
      </c>
      <c r="I740" t="s">
        <v>38</v>
      </c>
      <c r="J740" s="1">
        <v>45273</v>
      </c>
    </row>
    <row r="741" spans="1:11" x14ac:dyDescent="0.3">
      <c r="A741" t="s">
        <v>962</v>
      </c>
      <c r="B741" t="s">
        <v>55</v>
      </c>
      <c r="C741" t="s">
        <v>19</v>
      </c>
      <c r="D741" t="s">
        <v>488</v>
      </c>
      <c r="E741">
        <v>17</v>
      </c>
      <c r="F741">
        <v>8</v>
      </c>
      <c r="G741">
        <v>136</v>
      </c>
      <c r="H741" t="s">
        <v>48</v>
      </c>
      <c r="I741" t="s">
        <v>16</v>
      </c>
      <c r="J741" s="1">
        <v>45165</v>
      </c>
      <c r="K741" t="b">
        <v>1</v>
      </c>
    </row>
    <row r="742" spans="1:11" x14ac:dyDescent="0.3">
      <c r="A742" t="s">
        <v>963</v>
      </c>
      <c r="B742" t="s">
        <v>69</v>
      </c>
      <c r="C742" t="s">
        <v>19</v>
      </c>
      <c r="D742" t="s">
        <v>210</v>
      </c>
      <c r="E742">
        <v>9.5</v>
      </c>
      <c r="F742">
        <v>1</v>
      </c>
      <c r="G742">
        <v>9.5</v>
      </c>
      <c r="H742" t="s">
        <v>25</v>
      </c>
      <c r="I742" t="s">
        <v>38</v>
      </c>
      <c r="J742" s="1">
        <v>45096</v>
      </c>
      <c r="K742" t="b">
        <v>1</v>
      </c>
    </row>
    <row r="743" spans="1:11" x14ac:dyDescent="0.3">
      <c r="A743" t="s">
        <v>964</v>
      </c>
      <c r="B743" t="s">
        <v>31</v>
      </c>
      <c r="C743" t="s">
        <v>41</v>
      </c>
      <c r="D743" t="s">
        <v>190</v>
      </c>
      <c r="E743">
        <v>20</v>
      </c>
      <c r="F743">
        <v>2</v>
      </c>
      <c r="G743">
        <v>40</v>
      </c>
      <c r="H743" t="s">
        <v>25</v>
      </c>
      <c r="I743" t="s">
        <v>16</v>
      </c>
      <c r="J743" s="1">
        <v>45296</v>
      </c>
      <c r="K743" t="b">
        <v>1</v>
      </c>
    </row>
    <row r="744" spans="1:11" x14ac:dyDescent="0.3">
      <c r="A744" t="s">
        <v>965</v>
      </c>
      <c r="B744" t="s">
        <v>74</v>
      </c>
      <c r="C744" t="s">
        <v>66</v>
      </c>
      <c r="D744" t="s">
        <v>377</v>
      </c>
      <c r="E744">
        <v>29</v>
      </c>
      <c r="F744">
        <v>1</v>
      </c>
      <c r="G744">
        <v>29</v>
      </c>
      <c r="H744" t="s">
        <v>25</v>
      </c>
      <c r="I744" t="s">
        <v>38</v>
      </c>
      <c r="J744" s="1">
        <v>45350</v>
      </c>
      <c r="K744" t="b">
        <v>1</v>
      </c>
    </row>
    <row r="745" spans="1:11" x14ac:dyDescent="0.3">
      <c r="A745" t="s">
        <v>966</v>
      </c>
      <c r="B745" t="s">
        <v>74</v>
      </c>
      <c r="C745" t="s">
        <v>13</v>
      </c>
      <c r="D745" t="s">
        <v>164</v>
      </c>
      <c r="E745">
        <v>24.5</v>
      </c>
      <c r="F745">
        <v>7</v>
      </c>
      <c r="G745">
        <v>171.5</v>
      </c>
      <c r="H745" t="s">
        <v>48</v>
      </c>
      <c r="I745" t="s">
        <v>38</v>
      </c>
      <c r="J745" s="1">
        <v>44752</v>
      </c>
    </row>
    <row r="746" spans="1:11" x14ac:dyDescent="0.3">
      <c r="A746" t="s">
        <v>967</v>
      </c>
      <c r="B746" t="s">
        <v>18</v>
      </c>
      <c r="C746" t="s">
        <v>23</v>
      </c>
      <c r="D746" t="s">
        <v>50</v>
      </c>
      <c r="E746">
        <v>8</v>
      </c>
      <c r="F746">
        <v>9</v>
      </c>
      <c r="G746">
        <v>72</v>
      </c>
      <c r="H746" t="s">
        <v>15</v>
      </c>
      <c r="I746" t="s">
        <v>38</v>
      </c>
      <c r="J746" s="1">
        <v>44753</v>
      </c>
      <c r="K746" t="b">
        <v>0</v>
      </c>
    </row>
    <row r="747" spans="1:11" x14ac:dyDescent="0.3">
      <c r="A747" t="s">
        <v>968</v>
      </c>
      <c r="B747" t="s">
        <v>113</v>
      </c>
      <c r="C747" t="s">
        <v>41</v>
      </c>
      <c r="D747" t="s">
        <v>556</v>
      </c>
      <c r="E747">
        <v>9.5</v>
      </c>
      <c r="F747">
        <v>2</v>
      </c>
      <c r="G747">
        <v>19</v>
      </c>
      <c r="H747" t="s">
        <v>48</v>
      </c>
      <c r="I747" t="s">
        <v>16</v>
      </c>
      <c r="J747" s="1">
        <v>44670</v>
      </c>
    </row>
    <row r="748" spans="1:11" x14ac:dyDescent="0.3">
      <c r="A748" t="s">
        <v>969</v>
      </c>
      <c r="B748" t="s">
        <v>31</v>
      </c>
      <c r="C748" t="s">
        <v>28</v>
      </c>
      <c r="D748" t="s">
        <v>478</v>
      </c>
      <c r="E748">
        <v>8</v>
      </c>
      <c r="F748">
        <v>2</v>
      </c>
      <c r="G748">
        <v>16</v>
      </c>
      <c r="H748" t="s">
        <v>48</v>
      </c>
      <c r="I748" t="s">
        <v>16</v>
      </c>
      <c r="J748" s="1">
        <v>45252</v>
      </c>
      <c r="K748" t="b">
        <v>0</v>
      </c>
    </row>
    <row r="749" spans="1:11" x14ac:dyDescent="0.3">
      <c r="A749" t="s">
        <v>970</v>
      </c>
      <c r="B749" t="s">
        <v>113</v>
      </c>
      <c r="C749" t="s">
        <v>23</v>
      </c>
      <c r="D749" t="s">
        <v>383</v>
      </c>
      <c r="E749">
        <v>41</v>
      </c>
      <c r="F749">
        <v>5</v>
      </c>
      <c r="G749">
        <v>205</v>
      </c>
      <c r="H749" t="s">
        <v>25</v>
      </c>
      <c r="I749" t="s">
        <v>16</v>
      </c>
      <c r="J749" s="1">
        <v>45198</v>
      </c>
      <c r="K749" t="b">
        <v>0</v>
      </c>
    </row>
    <row r="750" spans="1:11" x14ac:dyDescent="0.3">
      <c r="A750" t="s">
        <v>971</v>
      </c>
      <c r="B750" t="s">
        <v>77</v>
      </c>
      <c r="C750" t="s">
        <v>19</v>
      </c>
      <c r="D750" t="s">
        <v>972</v>
      </c>
      <c r="E750">
        <v>11</v>
      </c>
      <c r="F750">
        <v>1</v>
      </c>
      <c r="G750">
        <v>11</v>
      </c>
      <c r="H750" t="s">
        <v>48</v>
      </c>
      <c r="I750" t="s">
        <v>38</v>
      </c>
      <c r="J750" s="1">
        <v>44710</v>
      </c>
    </row>
    <row r="751" spans="1:11" x14ac:dyDescent="0.3">
      <c r="A751" t="s">
        <v>973</v>
      </c>
      <c r="B751" t="s">
        <v>84</v>
      </c>
      <c r="C751" t="s">
        <v>19</v>
      </c>
      <c r="D751" t="s">
        <v>142</v>
      </c>
      <c r="E751">
        <v>32</v>
      </c>
      <c r="F751">
        <v>2</v>
      </c>
      <c r="G751">
        <v>64</v>
      </c>
      <c r="H751" t="s">
        <v>25</v>
      </c>
      <c r="I751" t="s">
        <v>38</v>
      </c>
      <c r="J751" s="1">
        <v>45636</v>
      </c>
      <c r="K751" t="b">
        <v>0</v>
      </c>
    </row>
    <row r="752" spans="1:11" x14ac:dyDescent="0.3">
      <c r="A752" t="s">
        <v>974</v>
      </c>
      <c r="B752" t="s">
        <v>80</v>
      </c>
      <c r="C752" t="s">
        <v>32</v>
      </c>
      <c r="D752" t="s">
        <v>128</v>
      </c>
      <c r="E752">
        <v>21.5</v>
      </c>
      <c r="F752">
        <v>10</v>
      </c>
      <c r="G752">
        <v>215</v>
      </c>
      <c r="H752" t="s">
        <v>48</v>
      </c>
      <c r="I752" t="s">
        <v>16</v>
      </c>
      <c r="J752" s="1">
        <v>45543</v>
      </c>
      <c r="K752" t="b">
        <v>0</v>
      </c>
    </row>
    <row r="753" spans="1:11" x14ac:dyDescent="0.3">
      <c r="A753" t="s">
        <v>975</v>
      </c>
      <c r="B753" t="s">
        <v>55</v>
      </c>
      <c r="C753" t="s">
        <v>28</v>
      </c>
      <c r="D753" t="s">
        <v>205</v>
      </c>
      <c r="E753">
        <v>24.5</v>
      </c>
      <c r="F753">
        <v>7</v>
      </c>
      <c r="G753">
        <v>171.5</v>
      </c>
      <c r="H753" t="s">
        <v>25</v>
      </c>
      <c r="I753" t="s">
        <v>38</v>
      </c>
      <c r="J753" s="1">
        <v>44570</v>
      </c>
    </row>
    <row r="754" spans="1:11" x14ac:dyDescent="0.3">
      <c r="A754" t="s">
        <v>976</v>
      </c>
      <c r="B754" t="s">
        <v>89</v>
      </c>
      <c r="C754" t="s">
        <v>13</v>
      </c>
      <c r="D754" t="s">
        <v>92</v>
      </c>
      <c r="E754">
        <v>36.5</v>
      </c>
      <c r="F754">
        <v>1</v>
      </c>
      <c r="G754">
        <v>36.5</v>
      </c>
      <c r="H754" t="s">
        <v>15</v>
      </c>
      <c r="I754" t="s">
        <v>38</v>
      </c>
      <c r="J754" s="1">
        <v>45391</v>
      </c>
      <c r="K754" t="b">
        <v>1</v>
      </c>
    </row>
    <row r="755" spans="1:11" x14ac:dyDescent="0.3">
      <c r="A755" t="s">
        <v>977</v>
      </c>
      <c r="B755" t="s">
        <v>116</v>
      </c>
      <c r="C755" t="s">
        <v>66</v>
      </c>
      <c r="D755" t="s">
        <v>377</v>
      </c>
      <c r="E755">
        <v>29</v>
      </c>
      <c r="F755">
        <v>1</v>
      </c>
      <c r="G755">
        <v>29</v>
      </c>
      <c r="H755" t="s">
        <v>48</v>
      </c>
      <c r="I755" t="s">
        <v>38</v>
      </c>
      <c r="J755" s="1">
        <v>44917</v>
      </c>
      <c r="K755" t="b">
        <v>0</v>
      </c>
    </row>
    <row r="756" spans="1:11" x14ac:dyDescent="0.3">
      <c r="A756" t="s">
        <v>978</v>
      </c>
      <c r="B756" t="s">
        <v>69</v>
      </c>
      <c r="C756" t="s">
        <v>41</v>
      </c>
      <c r="D756" t="s">
        <v>303</v>
      </c>
      <c r="E756">
        <v>15.5</v>
      </c>
      <c r="F756">
        <v>4</v>
      </c>
      <c r="G756">
        <v>62</v>
      </c>
      <c r="H756" t="s">
        <v>25</v>
      </c>
      <c r="I756" t="s">
        <v>16</v>
      </c>
      <c r="J756" s="1">
        <v>45165</v>
      </c>
    </row>
    <row r="757" spans="1:11" x14ac:dyDescent="0.3">
      <c r="A757" t="s">
        <v>979</v>
      </c>
      <c r="B757" t="s">
        <v>40</v>
      </c>
      <c r="C757" t="s">
        <v>66</v>
      </c>
      <c r="D757" t="s">
        <v>643</v>
      </c>
      <c r="E757">
        <v>26</v>
      </c>
      <c r="F757">
        <v>6</v>
      </c>
      <c r="G757">
        <v>156</v>
      </c>
      <c r="H757" t="s">
        <v>15</v>
      </c>
      <c r="I757" t="s">
        <v>16</v>
      </c>
      <c r="J757" s="1">
        <v>45347</v>
      </c>
      <c r="K757" t="b">
        <v>0</v>
      </c>
    </row>
    <row r="758" spans="1:11" x14ac:dyDescent="0.3">
      <c r="A758" t="s">
        <v>980</v>
      </c>
      <c r="B758" t="s">
        <v>123</v>
      </c>
      <c r="C758" t="s">
        <v>23</v>
      </c>
      <c r="D758" t="s">
        <v>306</v>
      </c>
      <c r="E758">
        <v>23</v>
      </c>
      <c r="F758">
        <v>4</v>
      </c>
      <c r="G758">
        <v>92</v>
      </c>
      <c r="H758" t="s">
        <v>25</v>
      </c>
      <c r="I758" t="s">
        <v>16</v>
      </c>
      <c r="J758" s="1">
        <v>44867</v>
      </c>
      <c r="K758" t="b">
        <v>1</v>
      </c>
    </row>
    <row r="759" spans="1:11" x14ac:dyDescent="0.3">
      <c r="A759" t="s">
        <v>981</v>
      </c>
      <c r="B759" t="s">
        <v>31</v>
      </c>
      <c r="C759" t="s">
        <v>41</v>
      </c>
      <c r="D759" t="s">
        <v>982</v>
      </c>
      <c r="E759">
        <v>8</v>
      </c>
      <c r="F759">
        <v>9</v>
      </c>
      <c r="G759">
        <v>72</v>
      </c>
      <c r="H759" t="s">
        <v>48</v>
      </c>
      <c r="I759" t="s">
        <v>38</v>
      </c>
      <c r="J759" s="1">
        <v>45635</v>
      </c>
      <c r="K759" t="b">
        <v>1</v>
      </c>
    </row>
    <row r="760" spans="1:11" x14ac:dyDescent="0.3">
      <c r="A760" t="s">
        <v>983</v>
      </c>
      <c r="B760" t="s">
        <v>46</v>
      </c>
      <c r="C760" t="s">
        <v>13</v>
      </c>
      <c r="D760" t="s">
        <v>579</v>
      </c>
      <c r="E760">
        <v>32</v>
      </c>
      <c r="F760">
        <v>6</v>
      </c>
      <c r="G760">
        <v>192</v>
      </c>
      <c r="H760" t="s">
        <v>48</v>
      </c>
      <c r="I760" t="s">
        <v>38</v>
      </c>
      <c r="J760" s="1">
        <v>45331</v>
      </c>
      <c r="K760" t="b">
        <v>0</v>
      </c>
    </row>
    <row r="761" spans="1:11" x14ac:dyDescent="0.3">
      <c r="A761" t="s">
        <v>984</v>
      </c>
      <c r="B761" t="s">
        <v>98</v>
      </c>
      <c r="C761" t="s">
        <v>130</v>
      </c>
      <c r="D761" t="s">
        <v>149</v>
      </c>
      <c r="E761">
        <v>26</v>
      </c>
      <c r="F761">
        <v>10</v>
      </c>
      <c r="G761">
        <v>260</v>
      </c>
      <c r="H761" t="s">
        <v>48</v>
      </c>
      <c r="I761" t="s">
        <v>16</v>
      </c>
      <c r="J761" s="1">
        <v>44845</v>
      </c>
      <c r="K761" t="b">
        <v>0</v>
      </c>
    </row>
    <row r="762" spans="1:11" x14ac:dyDescent="0.3">
      <c r="A762" t="s">
        <v>985</v>
      </c>
      <c r="B762" t="s">
        <v>116</v>
      </c>
      <c r="C762" t="s">
        <v>32</v>
      </c>
      <c r="D762" t="s">
        <v>90</v>
      </c>
      <c r="E762">
        <v>24.5</v>
      </c>
      <c r="F762">
        <v>10</v>
      </c>
      <c r="G762">
        <v>245</v>
      </c>
      <c r="H762" t="s">
        <v>48</v>
      </c>
      <c r="I762" t="s">
        <v>38</v>
      </c>
      <c r="J762" s="1">
        <v>45293</v>
      </c>
      <c r="K762" t="b">
        <v>1</v>
      </c>
    </row>
    <row r="763" spans="1:11" x14ac:dyDescent="0.3">
      <c r="A763" t="s">
        <v>986</v>
      </c>
      <c r="B763" t="s">
        <v>27</v>
      </c>
      <c r="C763" t="s">
        <v>130</v>
      </c>
      <c r="D763" t="s">
        <v>335</v>
      </c>
      <c r="E763">
        <v>20</v>
      </c>
      <c r="F763">
        <v>3</v>
      </c>
      <c r="G763">
        <v>60</v>
      </c>
      <c r="H763" t="s">
        <v>25</v>
      </c>
      <c r="I763" t="s">
        <v>16</v>
      </c>
      <c r="J763" s="1">
        <v>45273</v>
      </c>
    </row>
    <row r="764" spans="1:11" x14ac:dyDescent="0.3">
      <c r="A764" t="s">
        <v>987</v>
      </c>
      <c r="B764" t="s">
        <v>22</v>
      </c>
      <c r="C764" t="s">
        <v>13</v>
      </c>
      <c r="D764" t="s">
        <v>509</v>
      </c>
      <c r="E764">
        <v>17</v>
      </c>
      <c r="F764">
        <v>7</v>
      </c>
      <c r="G764">
        <v>119</v>
      </c>
      <c r="H764" t="s">
        <v>25</v>
      </c>
      <c r="I764" t="s">
        <v>38</v>
      </c>
      <c r="J764" s="1">
        <v>45194</v>
      </c>
      <c r="K764" t="b">
        <v>0</v>
      </c>
    </row>
    <row r="765" spans="1:11" x14ac:dyDescent="0.3">
      <c r="A765" t="s">
        <v>988</v>
      </c>
      <c r="B765" t="s">
        <v>12</v>
      </c>
      <c r="C765" t="s">
        <v>41</v>
      </c>
      <c r="D765" t="s">
        <v>453</v>
      </c>
      <c r="E765">
        <v>26</v>
      </c>
      <c r="F765">
        <v>8</v>
      </c>
      <c r="G765">
        <v>208</v>
      </c>
      <c r="H765" t="s">
        <v>48</v>
      </c>
      <c r="I765" t="s">
        <v>38</v>
      </c>
      <c r="J765" s="1">
        <v>45275</v>
      </c>
      <c r="K765" t="b">
        <v>1</v>
      </c>
    </row>
    <row r="766" spans="1:11" x14ac:dyDescent="0.3">
      <c r="A766" t="s">
        <v>989</v>
      </c>
      <c r="B766" t="s">
        <v>46</v>
      </c>
      <c r="C766" t="s">
        <v>13</v>
      </c>
      <c r="D766" t="s">
        <v>455</v>
      </c>
      <c r="E766">
        <v>26</v>
      </c>
      <c r="F766">
        <v>3</v>
      </c>
      <c r="G766">
        <v>78</v>
      </c>
      <c r="H766" t="s">
        <v>48</v>
      </c>
      <c r="I766" t="s">
        <v>16</v>
      </c>
      <c r="J766" s="1">
        <v>45017</v>
      </c>
      <c r="K766" t="b">
        <v>1</v>
      </c>
    </row>
    <row r="767" spans="1:11" x14ac:dyDescent="0.3">
      <c r="A767" t="s">
        <v>990</v>
      </c>
      <c r="B767" t="s">
        <v>40</v>
      </c>
      <c r="C767" t="s">
        <v>32</v>
      </c>
      <c r="D767" t="s">
        <v>78</v>
      </c>
      <c r="E767">
        <v>18.5</v>
      </c>
      <c r="F767">
        <v>9</v>
      </c>
      <c r="G767">
        <v>166.5</v>
      </c>
      <c r="H767" t="s">
        <v>48</v>
      </c>
      <c r="I767" t="s">
        <v>16</v>
      </c>
      <c r="J767" s="1">
        <v>45672</v>
      </c>
    </row>
    <row r="768" spans="1:11" x14ac:dyDescent="0.3">
      <c r="A768" t="s">
        <v>991</v>
      </c>
      <c r="B768" t="s">
        <v>12</v>
      </c>
      <c r="C768" t="s">
        <v>19</v>
      </c>
      <c r="D768" t="s">
        <v>287</v>
      </c>
      <c r="E768">
        <v>20</v>
      </c>
      <c r="F768">
        <v>10</v>
      </c>
      <c r="G768">
        <v>200</v>
      </c>
      <c r="H768" t="s">
        <v>48</v>
      </c>
      <c r="I768" t="s">
        <v>16</v>
      </c>
      <c r="J768" s="1">
        <v>45585</v>
      </c>
    </row>
    <row r="769" spans="1:11" x14ac:dyDescent="0.3">
      <c r="A769" t="s">
        <v>992</v>
      </c>
      <c r="B769" t="s">
        <v>108</v>
      </c>
      <c r="C769" t="s">
        <v>41</v>
      </c>
      <c r="D769" t="s">
        <v>295</v>
      </c>
      <c r="E769">
        <v>6.5</v>
      </c>
      <c r="F769">
        <v>9</v>
      </c>
      <c r="G769">
        <v>58.5</v>
      </c>
      <c r="H769" t="s">
        <v>25</v>
      </c>
      <c r="I769" t="s">
        <v>16</v>
      </c>
      <c r="J769" s="1">
        <v>45353</v>
      </c>
      <c r="K769" t="b">
        <v>1</v>
      </c>
    </row>
    <row r="770" spans="1:11" x14ac:dyDescent="0.3">
      <c r="A770" t="s">
        <v>993</v>
      </c>
      <c r="B770" t="s">
        <v>40</v>
      </c>
      <c r="C770" t="s">
        <v>41</v>
      </c>
      <c r="D770" t="s">
        <v>295</v>
      </c>
      <c r="E770">
        <v>6.5</v>
      </c>
      <c r="F770">
        <v>1</v>
      </c>
      <c r="G770">
        <v>6.5</v>
      </c>
      <c r="H770" t="s">
        <v>15</v>
      </c>
      <c r="I770" t="s">
        <v>16</v>
      </c>
      <c r="J770" s="1">
        <v>44762</v>
      </c>
    </row>
    <row r="771" spans="1:11" x14ac:dyDescent="0.3">
      <c r="A771" t="s">
        <v>994</v>
      </c>
      <c r="B771" t="s">
        <v>69</v>
      </c>
      <c r="C771" t="s">
        <v>41</v>
      </c>
      <c r="D771" t="s">
        <v>109</v>
      </c>
      <c r="E771">
        <v>18.5</v>
      </c>
      <c r="F771">
        <v>3</v>
      </c>
      <c r="G771">
        <v>55.5</v>
      </c>
      <c r="H771" t="s">
        <v>25</v>
      </c>
      <c r="I771" t="s">
        <v>16</v>
      </c>
      <c r="J771" s="1">
        <v>45546</v>
      </c>
      <c r="K771" t="b">
        <v>0</v>
      </c>
    </row>
    <row r="772" spans="1:11" x14ac:dyDescent="0.3">
      <c r="A772" t="s">
        <v>995</v>
      </c>
      <c r="B772" t="s">
        <v>89</v>
      </c>
      <c r="C772" t="s">
        <v>19</v>
      </c>
      <c r="D772" t="s">
        <v>344</v>
      </c>
      <c r="E772">
        <v>26</v>
      </c>
      <c r="F772">
        <v>1</v>
      </c>
      <c r="G772">
        <v>26</v>
      </c>
      <c r="H772" t="s">
        <v>48</v>
      </c>
      <c r="I772" t="s">
        <v>16</v>
      </c>
      <c r="J772" s="1">
        <v>44723</v>
      </c>
      <c r="K772" t="b">
        <v>1</v>
      </c>
    </row>
    <row r="773" spans="1:11" x14ac:dyDescent="0.3">
      <c r="A773" t="s">
        <v>996</v>
      </c>
      <c r="B773" t="s">
        <v>123</v>
      </c>
      <c r="C773" t="s">
        <v>66</v>
      </c>
      <c r="D773" t="s">
        <v>464</v>
      </c>
      <c r="E773">
        <v>11</v>
      </c>
      <c r="F773">
        <v>10</v>
      </c>
      <c r="G773">
        <v>110</v>
      </c>
      <c r="H773" t="s">
        <v>48</v>
      </c>
      <c r="I773" t="s">
        <v>16</v>
      </c>
      <c r="J773" s="1">
        <v>44839</v>
      </c>
    </row>
    <row r="774" spans="1:11" x14ac:dyDescent="0.3">
      <c r="A774" t="s">
        <v>997</v>
      </c>
      <c r="B774" t="s">
        <v>77</v>
      </c>
      <c r="C774" t="s">
        <v>23</v>
      </c>
      <c r="D774" t="s">
        <v>998</v>
      </c>
      <c r="E774">
        <v>32</v>
      </c>
      <c r="F774">
        <v>9</v>
      </c>
      <c r="G774">
        <v>288</v>
      </c>
      <c r="H774" t="s">
        <v>15</v>
      </c>
      <c r="I774" t="s">
        <v>16</v>
      </c>
      <c r="J774" s="1">
        <v>44699</v>
      </c>
      <c r="K774" t="b">
        <v>1</v>
      </c>
    </row>
    <row r="775" spans="1:11" x14ac:dyDescent="0.3">
      <c r="A775" t="s">
        <v>999</v>
      </c>
      <c r="B775" t="s">
        <v>74</v>
      </c>
      <c r="C775" t="s">
        <v>32</v>
      </c>
      <c r="D775" t="s">
        <v>33</v>
      </c>
      <c r="E775">
        <v>12.5</v>
      </c>
      <c r="F775">
        <v>3</v>
      </c>
      <c r="G775">
        <v>37.5</v>
      </c>
      <c r="H775" t="s">
        <v>48</v>
      </c>
      <c r="I775" t="s">
        <v>38</v>
      </c>
      <c r="J775" s="1">
        <v>45427</v>
      </c>
      <c r="K775" t="b">
        <v>0</v>
      </c>
    </row>
    <row r="776" spans="1:11" x14ac:dyDescent="0.3">
      <c r="A776" t="s">
        <v>1000</v>
      </c>
      <c r="B776" t="s">
        <v>84</v>
      </c>
      <c r="C776" t="s">
        <v>28</v>
      </c>
      <c r="D776" t="s">
        <v>258</v>
      </c>
      <c r="E776">
        <v>33.5</v>
      </c>
      <c r="F776">
        <v>1</v>
      </c>
      <c r="G776">
        <v>33.5</v>
      </c>
      <c r="H776" t="s">
        <v>48</v>
      </c>
      <c r="I776" t="s">
        <v>16</v>
      </c>
      <c r="J776" s="1">
        <v>45656</v>
      </c>
    </row>
    <row r="777" spans="1:11" x14ac:dyDescent="0.3">
      <c r="A777" t="s">
        <v>1001</v>
      </c>
      <c r="B777" t="s">
        <v>27</v>
      </c>
      <c r="C777" t="s">
        <v>28</v>
      </c>
      <c r="D777" t="s">
        <v>124</v>
      </c>
      <c r="E777">
        <v>15.5</v>
      </c>
      <c r="F777">
        <v>3</v>
      </c>
      <c r="G777">
        <v>46.5</v>
      </c>
      <c r="H777" t="s">
        <v>25</v>
      </c>
      <c r="I777" t="s">
        <v>16</v>
      </c>
      <c r="J777" s="1">
        <v>45138</v>
      </c>
      <c r="K777" t="b">
        <v>1</v>
      </c>
    </row>
    <row r="778" spans="1:11" x14ac:dyDescent="0.3">
      <c r="A778" t="s">
        <v>1002</v>
      </c>
      <c r="B778" t="s">
        <v>65</v>
      </c>
      <c r="C778" t="s">
        <v>19</v>
      </c>
      <c r="D778" t="s">
        <v>271</v>
      </c>
      <c r="E778">
        <v>5</v>
      </c>
      <c r="F778">
        <v>2</v>
      </c>
      <c r="G778">
        <v>10</v>
      </c>
      <c r="H778" t="s">
        <v>48</v>
      </c>
      <c r="I778" t="s">
        <v>38</v>
      </c>
      <c r="J778" s="1">
        <v>45118</v>
      </c>
    </row>
    <row r="779" spans="1:11" x14ac:dyDescent="0.3">
      <c r="A779" t="s">
        <v>1003</v>
      </c>
      <c r="B779" t="s">
        <v>18</v>
      </c>
      <c r="C779" t="s">
        <v>32</v>
      </c>
      <c r="D779" t="s">
        <v>203</v>
      </c>
      <c r="E779">
        <v>9.5</v>
      </c>
      <c r="F779">
        <v>3</v>
      </c>
      <c r="G779">
        <v>28.5</v>
      </c>
      <c r="H779" t="s">
        <v>25</v>
      </c>
      <c r="I779" t="s">
        <v>16</v>
      </c>
      <c r="J779" s="1">
        <v>45260</v>
      </c>
    </row>
    <row r="780" spans="1:11" x14ac:dyDescent="0.3">
      <c r="A780" t="s">
        <v>1004</v>
      </c>
      <c r="B780" t="s">
        <v>98</v>
      </c>
      <c r="C780" t="s">
        <v>13</v>
      </c>
      <c r="D780" t="s">
        <v>133</v>
      </c>
      <c r="E780">
        <v>20</v>
      </c>
      <c r="F780">
        <v>5</v>
      </c>
      <c r="G780">
        <v>100</v>
      </c>
      <c r="H780" t="s">
        <v>48</v>
      </c>
      <c r="I780" t="s">
        <v>38</v>
      </c>
      <c r="J780" s="1">
        <v>45419</v>
      </c>
      <c r="K780" t="b">
        <v>0</v>
      </c>
    </row>
    <row r="781" spans="1:11" x14ac:dyDescent="0.3">
      <c r="A781" t="s">
        <v>1005</v>
      </c>
      <c r="B781" t="s">
        <v>36</v>
      </c>
      <c r="C781" t="s">
        <v>130</v>
      </c>
      <c r="D781" t="s">
        <v>320</v>
      </c>
      <c r="E781">
        <v>24.5</v>
      </c>
      <c r="F781">
        <v>10</v>
      </c>
      <c r="G781">
        <v>245</v>
      </c>
      <c r="H781" t="s">
        <v>25</v>
      </c>
      <c r="I781" t="s">
        <v>38</v>
      </c>
      <c r="J781" s="1">
        <v>44594</v>
      </c>
      <c r="K781" t="b">
        <v>1</v>
      </c>
    </row>
    <row r="782" spans="1:11" x14ac:dyDescent="0.3">
      <c r="A782" t="s">
        <v>1006</v>
      </c>
      <c r="B782" t="s">
        <v>89</v>
      </c>
      <c r="C782" t="s">
        <v>13</v>
      </c>
      <c r="D782" t="s">
        <v>585</v>
      </c>
      <c r="E782">
        <v>6.5</v>
      </c>
      <c r="F782">
        <v>4</v>
      </c>
      <c r="G782">
        <v>26</v>
      </c>
      <c r="H782" t="s">
        <v>25</v>
      </c>
      <c r="I782" t="s">
        <v>38</v>
      </c>
      <c r="J782" s="1">
        <v>45444</v>
      </c>
      <c r="K782" t="b">
        <v>0</v>
      </c>
    </row>
    <row r="783" spans="1:11" x14ac:dyDescent="0.3">
      <c r="A783" t="s">
        <v>1007</v>
      </c>
      <c r="B783" t="s">
        <v>74</v>
      </c>
      <c r="C783" t="s">
        <v>23</v>
      </c>
      <c r="D783" t="s">
        <v>114</v>
      </c>
      <c r="E783">
        <v>38</v>
      </c>
      <c r="F783">
        <v>5</v>
      </c>
      <c r="G783">
        <v>190</v>
      </c>
      <c r="H783" t="s">
        <v>15</v>
      </c>
      <c r="I783" t="s">
        <v>16</v>
      </c>
      <c r="J783" s="1">
        <v>44654</v>
      </c>
      <c r="K783" t="b">
        <v>1</v>
      </c>
    </row>
    <row r="784" spans="1:11" x14ac:dyDescent="0.3">
      <c r="A784" t="s">
        <v>1008</v>
      </c>
      <c r="B784" t="s">
        <v>108</v>
      </c>
      <c r="C784" t="s">
        <v>28</v>
      </c>
      <c r="D784" t="s">
        <v>570</v>
      </c>
      <c r="E784">
        <v>29</v>
      </c>
      <c r="F784">
        <v>8</v>
      </c>
      <c r="G784">
        <v>232</v>
      </c>
      <c r="H784" t="s">
        <v>25</v>
      </c>
      <c r="I784" t="s">
        <v>38</v>
      </c>
      <c r="J784" s="1">
        <v>44600</v>
      </c>
      <c r="K784" t="b">
        <v>0</v>
      </c>
    </row>
    <row r="785" spans="1:11" x14ac:dyDescent="0.3">
      <c r="A785" t="s">
        <v>1009</v>
      </c>
      <c r="B785" t="s">
        <v>100</v>
      </c>
      <c r="C785" t="s">
        <v>41</v>
      </c>
      <c r="D785" t="s">
        <v>146</v>
      </c>
      <c r="E785">
        <v>14</v>
      </c>
      <c r="F785">
        <v>7</v>
      </c>
      <c r="G785">
        <v>98</v>
      </c>
      <c r="H785" t="s">
        <v>25</v>
      </c>
      <c r="I785" t="s">
        <v>16</v>
      </c>
      <c r="J785" s="1">
        <v>44710</v>
      </c>
      <c r="K785" t="b">
        <v>1</v>
      </c>
    </row>
    <row r="786" spans="1:11" x14ac:dyDescent="0.3">
      <c r="A786" t="s">
        <v>1010</v>
      </c>
      <c r="B786" t="s">
        <v>43</v>
      </c>
      <c r="C786" t="s">
        <v>130</v>
      </c>
      <c r="E786">
        <v>23</v>
      </c>
      <c r="H786" t="s">
        <v>15</v>
      </c>
      <c r="I786" t="s">
        <v>38</v>
      </c>
      <c r="J786" s="1">
        <v>44905</v>
      </c>
    </row>
    <row r="787" spans="1:11" x14ac:dyDescent="0.3">
      <c r="A787" t="s">
        <v>1011</v>
      </c>
      <c r="B787" t="s">
        <v>27</v>
      </c>
      <c r="C787" t="s">
        <v>130</v>
      </c>
      <c r="D787" t="s">
        <v>621</v>
      </c>
      <c r="E787">
        <v>21.5</v>
      </c>
      <c r="F787">
        <v>8</v>
      </c>
      <c r="G787">
        <v>172</v>
      </c>
      <c r="H787" t="s">
        <v>15</v>
      </c>
      <c r="I787" t="s">
        <v>38</v>
      </c>
      <c r="J787" s="1">
        <v>45397</v>
      </c>
      <c r="K787" t="b">
        <v>0</v>
      </c>
    </row>
    <row r="788" spans="1:11" x14ac:dyDescent="0.3">
      <c r="A788" t="s">
        <v>1012</v>
      </c>
      <c r="B788" t="s">
        <v>43</v>
      </c>
      <c r="C788" t="s">
        <v>32</v>
      </c>
      <c r="D788" t="s">
        <v>203</v>
      </c>
      <c r="E788">
        <v>9.5</v>
      </c>
      <c r="F788">
        <v>6</v>
      </c>
      <c r="G788">
        <v>57</v>
      </c>
      <c r="H788" t="s">
        <v>25</v>
      </c>
      <c r="I788" t="s">
        <v>16</v>
      </c>
      <c r="J788" s="1">
        <v>45333</v>
      </c>
    </row>
    <row r="789" spans="1:11" x14ac:dyDescent="0.3">
      <c r="A789" t="s">
        <v>1013</v>
      </c>
      <c r="B789" t="s">
        <v>80</v>
      </c>
      <c r="C789" t="s">
        <v>32</v>
      </c>
      <c r="D789" t="s">
        <v>33</v>
      </c>
      <c r="E789">
        <v>12.5</v>
      </c>
      <c r="F789">
        <v>9</v>
      </c>
      <c r="G789">
        <v>112.5</v>
      </c>
      <c r="H789" t="s">
        <v>25</v>
      </c>
      <c r="I789" t="s">
        <v>38</v>
      </c>
      <c r="J789" s="1">
        <v>45293</v>
      </c>
      <c r="K789" t="b">
        <v>1</v>
      </c>
    </row>
    <row r="790" spans="1:11" x14ac:dyDescent="0.3">
      <c r="A790" t="s">
        <v>1014</v>
      </c>
      <c r="B790" t="s">
        <v>116</v>
      </c>
      <c r="C790" t="s">
        <v>28</v>
      </c>
      <c r="D790" t="s">
        <v>676</v>
      </c>
      <c r="E790">
        <v>39.5</v>
      </c>
      <c r="F790">
        <v>3</v>
      </c>
      <c r="G790">
        <v>118.5</v>
      </c>
      <c r="H790" t="s">
        <v>15</v>
      </c>
      <c r="I790" t="s">
        <v>16</v>
      </c>
      <c r="J790" s="1">
        <v>44744</v>
      </c>
      <c r="K790" t="b">
        <v>1</v>
      </c>
    </row>
    <row r="791" spans="1:11" x14ac:dyDescent="0.3">
      <c r="A791" t="s">
        <v>1015</v>
      </c>
      <c r="B791" t="s">
        <v>123</v>
      </c>
      <c r="C791" t="s">
        <v>28</v>
      </c>
      <c r="D791" t="s">
        <v>256</v>
      </c>
      <c r="E791">
        <v>32</v>
      </c>
      <c r="F791">
        <v>7</v>
      </c>
      <c r="G791">
        <v>224</v>
      </c>
      <c r="H791" t="s">
        <v>15</v>
      </c>
      <c r="I791" t="s">
        <v>16</v>
      </c>
      <c r="J791" s="1">
        <v>44843</v>
      </c>
      <c r="K791" t="b">
        <v>1</v>
      </c>
    </row>
    <row r="792" spans="1:11" x14ac:dyDescent="0.3">
      <c r="A792" t="s">
        <v>1016</v>
      </c>
      <c r="B792" t="s">
        <v>27</v>
      </c>
      <c r="C792" t="s">
        <v>66</v>
      </c>
      <c r="D792" t="s">
        <v>486</v>
      </c>
      <c r="E792">
        <v>20</v>
      </c>
      <c r="F792">
        <v>2</v>
      </c>
      <c r="G792">
        <v>40</v>
      </c>
      <c r="H792" t="s">
        <v>25</v>
      </c>
      <c r="I792" t="s">
        <v>38</v>
      </c>
      <c r="J792" s="1">
        <v>44600</v>
      </c>
      <c r="K792" t="b">
        <v>1</v>
      </c>
    </row>
    <row r="793" spans="1:11" x14ac:dyDescent="0.3">
      <c r="A793" t="s">
        <v>1017</v>
      </c>
      <c r="B793" t="s">
        <v>36</v>
      </c>
      <c r="C793" t="s">
        <v>19</v>
      </c>
      <c r="D793" t="s">
        <v>284</v>
      </c>
      <c r="E793">
        <v>8</v>
      </c>
      <c r="F793">
        <v>6</v>
      </c>
      <c r="G793">
        <v>48</v>
      </c>
      <c r="H793" t="s">
        <v>48</v>
      </c>
      <c r="I793" t="s">
        <v>38</v>
      </c>
      <c r="J793" s="1">
        <v>45453</v>
      </c>
      <c r="K793" t="b">
        <v>0</v>
      </c>
    </row>
    <row r="794" spans="1:11" x14ac:dyDescent="0.3">
      <c r="A794" t="s">
        <v>1018</v>
      </c>
      <c r="B794" t="s">
        <v>113</v>
      </c>
      <c r="C794" t="s">
        <v>23</v>
      </c>
      <c r="D794" t="s">
        <v>114</v>
      </c>
      <c r="E794">
        <v>38</v>
      </c>
      <c r="F794">
        <v>2</v>
      </c>
      <c r="G794">
        <v>76</v>
      </c>
      <c r="H794" t="s">
        <v>48</v>
      </c>
      <c r="I794" t="s">
        <v>38</v>
      </c>
      <c r="J794" s="1">
        <v>45503</v>
      </c>
      <c r="K794" t="b">
        <v>1</v>
      </c>
    </row>
    <row r="795" spans="1:11" x14ac:dyDescent="0.3">
      <c r="A795" t="s">
        <v>1019</v>
      </c>
      <c r="B795" t="s">
        <v>63</v>
      </c>
      <c r="C795" t="s">
        <v>41</v>
      </c>
      <c r="D795" t="s">
        <v>44</v>
      </c>
      <c r="E795">
        <v>27.5</v>
      </c>
      <c r="F795">
        <v>5</v>
      </c>
      <c r="G795">
        <v>137.5</v>
      </c>
      <c r="H795" t="s">
        <v>25</v>
      </c>
      <c r="I795" t="s">
        <v>16</v>
      </c>
      <c r="J795" s="1">
        <v>45397</v>
      </c>
      <c r="K795" t="b">
        <v>0</v>
      </c>
    </row>
    <row r="796" spans="1:11" x14ac:dyDescent="0.3">
      <c r="A796" t="s">
        <v>1020</v>
      </c>
      <c r="B796" t="s">
        <v>36</v>
      </c>
      <c r="C796" t="s">
        <v>19</v>
      </c>
      <c r="D796" t="s">
        <v>152</v>
      </c>
      <c r="E796">
        <v>12.5</v>
      </c>
      <c r="F796">
        <v>4</v>
      </c>
      <c r="G796">
        <v>50</v>
      </c>
      <c r="H796" t="s">
        <v>48</v>
      </c>
      <c r="I796" t="s">
        <v>38</v>
      </c>
      <c r="J796" s="1">
        <v>44980</v>
      </c>
      <c r="K796" t="b">
        <v>1</v>
      </c>
    </row>
    <row r="797" spans="1:11" x14ac:dyDescent="0.3">
      <c r="A797" t="s">
        <v>1021</v>
      </c>
      <c r="B797" t="s">
        <v>22</v>
      </c>
      <c r="C797" t="s">
        <v>19</v>
      </c>
      <c r="D797" t="s">
        <v>540</v>
      </c>
      <c r="E797">
        <v>23</v>
      </c>
      <c r="F797">
        <v>7</v>
      </c>
      <c r="G797">
        <v>161</v>
      </c>
      <c r="H797" t="s">
        <v>25</v>
      </c>
      <c r="I797" t="s">
        <v>16</v>
      </c>
      <c r="J797" s="1">
        <v>45370</v>
      </c>
      <c r="K797" t="b">
        <v>1</v>
      </c>
    </row>
    <row r="798" spans="1:11" x14ac:dyDescent="0.3">
      <c r="A798" t="s">
        <v>1022</v>
      </c>
      <c r="B798" t="s">
        <v>100</v>
      </c>
      <c r="C798" t="s">
        <v>23</v>
      </c>
      <c r="D798" t="s">
        <v>383</v>
      </c>
      <c r="E798">
        <v>41</v>
      </c>
      <c r="F798">
        <v>5</v>
      </c>
      <c r="G798">
        <v>205</v>
      </c>
      <c r="H798" t="s">
        <v>48</v>
      </c>
      <c r="I798" t="s">
        <v>16</v>
      </c>
      <c r="J798" s="1">
        <v>44978</v>
      </c>
      <c r="K798" t="b">
        <v>1</v>
      </c>
    </row>
    <row r="799" spans="1:11" x14ac:dyDescent="0.3">
      <c r="A799" t="s">
        <v>1023</v>
      </c>
      <c r="B799" t="s">
        <v>89</v>
      </c>
      <c r="C799" t="s">
        <v>41</v>
      </c>
      <c r="D799" t="s">
        <v>594</v>
      </c>
      <c r="E799">
        <v>33.5</v>
      </c>
      <c r="F799">
        <v>9</v>
      </c>
      <c r="G799">
        <v>301.5</v>
      </c>
      <c r="H799" t="s">
        <v>15</v>
      </c>
      <c r="I799" t="s">
        <v>38</v>
      </c>
      <c r="J799" s="1">
        <v>45563</v>
      </c>
      <c r="K799" t="b">
        <v>0</v>
      </c>
    </row>
    <row r="800" spans="1:11" x14ac:dyDescent="0.3">
      <c r="A800" t="s">
        <v>1024</v>
      </c>
      <c r="B800" t="s">
        <v>36</v>
      </c>
      <c r="C800" t="s">
        <v>41</v>
      </c>
      <c r="D800" t="s">
        <v>190</v>
      </c>
      <c r="E800">
        <v>20</v>
      </c>
      <c r="F800">
        <v>6</v>
      </c>
      <c r="G800">
        <v>120</v>
      </c>
      <c r="H800" t="s">
        <v>15</v>
      </c>
      <c r="I800" t="s">
        <v>16</v>
      </c>
      <c r="J800" s="1">
        <v>44598</v>
      </c>
      <c r="K800" t="b">
        <v>0</v>
      </c>
    </row>
    <row r="801" spans="1:11" x14ac:dyDescent="0.3">
      <c r="A801" t="s">
        <v>1025</v>
      </c>
      <c r="B801" t="s">
        <v>36</v>
      </c>
      <c r="C801" t="s">
        <v>66</v>
      </c>
      <c r="D801" t="s">
        <v>352</v>
      </c>
      <c r="E801">
        <v>38</v>
      </c>
      <c r="F801">
        <v>3</v>
      </c>
      <c r="G801">
        <v>114</v>
      </c>
      <c r="H801" t="s">
        <v>48</v>
      </c>
      <c r="I801" t="s">
        <v>16</v>
      </c>
      <c r="J801" s="1">
        <v>44855</v>
      </c>
      <c r="K801" t="b">
        <v>1</v>
      </c>
    </row>
    <row r="802" spans="1:11" x14ac:dyDescent="0.3">
      <c r="A802" t="s">
        <v>1026</v>
      </c>
      <c r="B802" t="s">
        <v>108</v>
      </c>
      <c r="C802" t="s">
        <v>32</v>
      </c>
      <c r="D802" t="s">
        <v>185</v>
      </c>
      <c r="E802">
        <v>33.5</v>
      </c>
      <c r="F802">
        <v>4</v>
      </c>
      <c r="G802">
        <v>134</v>
      </c>
      <c r="H802" t="s">
        <v>48</v>
      </c>
      <c r="I802" t="s">
        <v>16</v>
      </c>
      <c r="J802" s="1">
        <v>44644</v>
      </c>
    </row>
    <row r="803" spans="1:11" x14ac:dyDescent="0.3">
      <c r="A803" t="s">
        <v>1027</v>
      </c>
      <c r="B803" t="s">
        <v>80</v>
      </c>
      <c r="C803" t="s">
        <v>32</v>
      </c>
      <c r="D803" t="s">
        <v>203</v>
      </c>
      <c r="E803">
        <v>9.5</v>
      </c>
      <c r="F803">
        <v>4</v>
      </c>
      <c r="G803">
        <v>38</v>
      </c>
      <c r="H803" t="s">
        <v>25</v>
      </c>
      <c r="I803" t="s">
        <v>16</v>
      </c>
      <c r="J803" s="1">
        <v>45592</v>
      </c>
      <c r="K803" t="b">
        <v>1</v>
      </c>
    </row>
    <row r="804" spans="1:11" x14ac:dyDescent="0.3">
      <c r="A804" t="s">
        <v>1028</v>
      </c>
      <c r="B804" t="s">
        <v>18</v>
      </c>
      <c r="C804" t="s">
        <v>130</v>
      </c>
      <c r="E804">
        <v>20</v>
      </c>
      <c r="H804" t="s">
        <v>25</v>
      </c>
      <c r="I804" t="s">
        <v>38</v>
      </c>
      <c r="J804" s="1">
        <v>45296</v>
      </c>
      <c r="K804" t="b">
        <v>0</v>
      </c>
    </row>
    <row r="805" spans="1:11" x14ac:dyDescent="0.3">
      <c r="A805" t="s">
        <v>1029</v>
      </c>
      <c r="B805" t="s">
        <v>36</v>
      </c>
      <c r="C805" t="s">
        <v>41</v>
      </c>
      <c r="D805" t="s">
        <v>709</v>
      </c>
      <c r="E805">
        <v>21.5</v>
      </c>
      <c r="F805">
        <v>4</v>
      </c>
      <c r="G805">
        <v>86</v>
      </c>
      <c r="H805" t="s">
        <v>25</v>
      </c>
      <c r="I805" t="s">
        <v>16</v>
      </c>
      <c r="J805" s="1">
        <v>44932</v>
      </c>
      <c r="K805" t="b">
        <v>1</v>
      </c>
    </row>
    <row r="806" spans="1:11" x14ac:dyDescent="0.3">
      <c r="A806" t="s">
        <v>1030</v>
      </c>
      <c r="B806" t="s">
        <v>27</v>
      </c>
      <c r="C806" t="s">
        <v>23</v>
      </c>
      <c r="D806" t="s">
        <v>227</v>
      </c>
      <c r="E806">
        <v>15.5</v>
      </c>
      <c r="F806">
        <v>3</v>
      </c>
      <c r="G806">
        <v>46.5</v>
      </c>
      <c r="H806" t="s">
        <v>48</v>
      </c>
      <c r="I806" t="s">
        <v>38</v>
      </c>
      <c r="J806" s="1">
        <v>45259</v>
      </c>
      <c r="K806" t="b">
        <v>0</v>
      </c>
    </row>
    <row r="807" spans="1:11" x14ac:dyDescent="0.3">
      <c r="A807" t="s">
        <v>1031</v>
      </c>
      <c r="B807" t="s">
        <v>46</v>
      </c>
      <c r="C807" t="s">
        <v>28</v>
      </c>
      <c r="E807">
        <v>27.5</v>
      </c>
      <c r="H807" t="s">
        <v>48</v>
      </c>
      <c r="I807" t="s">
        <v>38</v>
      </c>
      <c r="J807" s="1">
        <v>45619</v>
      </c>
      <c r="K807" t="b">
        <v>1</v>
      </c>
    </row>
    <row r="808" spans="1:11" x14ac:dyDescent="0.3">
      <c r="A808" t="s">
        <v>1032</v>
      </c>
      <c r="B808" t="s">
        <v>63</v>
      </c>
      <c r="C808" t="s">
        <v>41</v>
      </c>
      <c r="D808" t="s">
        <v>295</v>
      </c>
      <c r="E808">
        <v>6.5</v>
      </c>
      <c r="F808">
        <v>3</v>
      </c>
      <c r="G808">
        <v>19.5</v>
      </c>
      <c r="H808" t="s">
        <v>15</v>
      </c>
      <c r="I808" t="s">
        <v>16</v>
      </c>
      <c r="J808" s="1">
        <v>44670</v>
      </c>
      <c r="K808" t="b">
        <v>0</v>
      </c>
    </row>
    <row r="809" spans="1:11" x14ac:dyDescent="0.3">
      <c r="A809" t="s">
        <v>1033</v>
      </c>
      <c r="B809" t="s">
        <v>77</v>
      </c>
      <c r="C809" t="s">
        <v>41</v>
      </c>
      <c r="D809" t="s">
        <v>594</v>
      </c>
      <c r="E809">
        <v>33.5</v>
      </c>
      <c r="F809">
        <v>2</v>
      </c>
      <c r="G809">
        <v>67</v>
      </c>
      <c r="H809" t="s">
        <v>48</v>
      </c>
      <c r="I809" t="s">
        <v>16</v>
      </c>
      <c r="J809" s="1">
        <v>45271</v>
      </c>
    </row>
    <row r="810" spans="1:11" x14ac:dyDescent="0.3">
      <c r="A810" t="s">
        <v>1034</v>
      </c>
      <c r="B810" t="s">
        <v>40</v>
      </c>
      <c r="C810" t="s">
        <v>23</v>
      </c>
      <c r="D810" t="s">
        <v>85</v>
      </c>
      <c r="E810">
        <v>33.5</v>
      </c>
      <c r="F810">
        <v>7</v>
      </c>
      <c r="G810">
        <v>234.5</v>
      </c>
      <c r="H810" t="s">
        <v>48</v>
      </c>
      <c r="I810" t="s">
        <v>16</v>
      </c>
      <c r="J810" s="1">
        <v>44906</v>
      </c>
    </row>
    <row r="811" spans="1:11" x14ac:dyDescent="0.3">
      <c r="A811" t="s">
        <v>1035</v>
      </c>
      <c r="B811" t="s">
        <v>108</v>
      </c>
      <c r="C811" t="s">
        <v>23</v>
      </c>
      <c r="D811" t="s">
        <v>355</v>
      </c>
      <c r="E811">
        <v>14</v>
      </c>
      <c r="F811">
        <v>9</v>
      </c>
      <c r="G811">
        <v>126</v>
      </c>
      <c r="H811" t="s">
        <v>25</v>
      </c>
      <c r="I811" t="s">
        <v>38</v>
      </c>
      <c r="J811" s="1">
        <v>44812</v>
      </c>
    </row>
    <row r="812" spans="1:11" x14ac:dyDescent="0.3">
      <c r="A812" t="s">
        <v>1036</v>
      </c>
      <c r="B812" t="s">
        <v>108</v>
      </c>
      <c r="C812" t="s">
        <v>130</v>
      </c>
      <c r="D812" t="s">
        <v>225</v>
      </c>
      <c r="E812">
        <v>41</v>
      </c>
      <c r="F812">
        <v>7</v>
      </c>
      <c r="G812">
        <v>287</v>
      </c>
      <c r="H812" t="s">
        <v>25</v>
      </c>
      <c r="I812" t="s">
        <v>38</v>
      </c>
      <c r="J812" s="1">
        <v>45491</v>
      </c>
    </row>
    <row r="813" spans="1:11" x14ac:dyDescent="0.3">
      <c r="A813" t="s">
        <v>1037</v>
      </c>
      <c r="B813" t="s">
        <v>63</v>
      </c>
      <c r="C813" t="s">
        <v>32</v>
      </c>
      <c r="D813" t="s">
        <v>160</v>
      </c>
      <c r="E813">
        <v>36.5</v>
      </c>
      <c r="F813">
        <v>10</v>
      </c>
      <c r="G813">
        <v>365</v>
      </c>
      <c r="H813" t="s">
        <v>25</v>
      </c>
      <c r="I813" t="s">
        <v>16</v>
      </c>
      <c r="J813" s="1">
        <v>45488</v>
      </c>
    </row>
    <row r="814" spans="1:11" x14ac:dyDescent="0.3">
      <c r="A814" t="s">
        <v>1038</v>
      </c>
      <c r="B814" t="s">
        <v>108</v>
      </c>
      <c r="C814" t="s">
        <v>130</v>
      </c>
      <c r="D814" t="s">
        <v>427</v>
      </c>
      <c r="E814">
        <v>17</v>
      </c>
      <c r="F814">
        <v>8</v>
      </c>
      <c r="G814">
        <v>136</v>
      </c>
      <c r="H814" t="s">
        <v>25</v>
      </c>
      <c r="I814" t="s">
        <v>16</v>
      </c>
      <c r="J814" s="1">
        <v>44795</v>
      </c>
      <c r="K814" t="b">
        <v>1</v>
      </c>
    </row>
    <row r="815" spans="1:11" x14ac:dyDescent="0.3">
      <c r="A815" t="s">
        <v>1039</v>
      </c>
      <c r="B815" t="s">
        <v>43</v>
      </c>
      <c r="C815" t="s">
        <v>13</v>
      </c>
      <c r="F815">
        <v>10</v>
      </c>
      <c r="G815">
        <v>80</v>
      </c>
      <c r="H815" t="s">
        <v>25</v>
      </c>
      <c r="I815" t="s">
        <v>38</v>
      </c>
      <c r="J815" s="1">
        <v>45589</v>
      </c>
    </row>
    <row r="816" spans="1:11" x14ac:dyDescent="0.3">
      <c r="A816" t="s">
        <v>1040</v>
      </c>
      <c r="B816" t="s">
        <v>69</v>
      </c>
      <c r="C816" t="s">
        <v>19</v>
      </c>
      <c r="D816" t="s">
        <v>271</v>
      </c>
      <c r="E816">
        <v>5</v>
      </c>
      <c r="F816">
        <v>1</v>
      </c>
      <c r="G816">
        <v>5</v>
      </c>
      <c r="H816" t="s">
        <v>25</v>
      </c>
      <c r="I816" t="s">
        <v>38</v>
      </c>
      <c r="J816" s="1">
        <v>45132</v>
      </c>
    </row>
    <row r="817" spans="1:11" x14ac:dyDescent="0.3">
      <c r="A817" t="s">
        <v>1041</v>
      </c>
      <c r="B817" t="s">
        <v>55</v>
      </c>
      <c r="C817" t="s">
        <v>13</v>
      </c>
      <c r="D817" t="s">
        <v>61</v>
      </c>
      <c r="E817">
        <v>29</v>
      </c>
      <c r="F817">
        <v>3</v>
      </c>
      <c r="G817">
        <v>87</v>
      </c>
      <c r="H817" t="s">
        <v>48</v>
      </c>
      <c r="I817" t="s">
        <v>16</v>
      </c>
      <c r="J817" s="1">
        <v>45220</v>
      </c>
      <c r="K817" t="b">
        <v>0</v>
      </c>
    </row>
    <row r="818" spans="1:11" x14ac:dyDescent="0.3">
      <c r="A818" t="s">
        <v>1042</v>
      </c>
      <c r="B818" t="s">
        <v>98</v>
      </c>
      <c r="C818" t="s">
        <v>28</v>
      </c>
      <c r="D818" t="s">
        <v>111</v>
      </c>
      <c r="E818">
        <v>20</v>
      </c>
      <c r="F818">
        <v>8</v>
      </c>
      <c r="G818">
        <v>160</v>
      </c>
      <c r="H818" t="s">
        <v>48</v>
      </c>
      <c r="I818" t="s">
        <v>16</v>
      </c>
      <c r="J818" s="1">
        <v>44633</v>
      </c>
    </row>
    <row r="819" spans="1:11" x14ac:dyDescent="0.3">
      <c r="A819" t="s">
        <v>1043</v>
      </c>
      <c r="B819" t="s">
        <v>98</v>
      </c>
      <c r="C819" t="s">
        <v>13</v>
      </c>
      <c r="D819" t="s">
        <v>207</v>
      </c>
      <c r="E819">
        <v>9.5</v>
      </c>
      <c r="F819">
        <v>8</v>
      </c>
      <c r="G819">
        <v>76</v>
      </c>
      <c r="H819" t="s">
        <v>15</v>
      </c>
      <c r="I819" t="s">
        <v>38</v>
      </c>
      <c r="J819" s="1">
        <v>45652</v>
      </c>
      <c r="K819" t="b">
        <v>0</v>
      </c>
    </row>
    <row r="820" spans="1:11" x14ac:dyDescent="0.3">
      <c r="A820" t="s">
        <v>1044</v>
      </c>
      <c r="B820" t="s">
        <v>36</v>
      </c>
      <c r="C820" t="s">
        <v>23</v>
      </c>
      <c r="D820" t="s">
        <v>598</v>
      </c>
      <c r="E820">
        <v>12.5</v>
      </c>
      <c r="F820">
        <v>1</v>
      </c>
      <c r="G820">
        <v>12.5</v>
      </c>
      <c r="H820" t="s">
        <v>25</v>
      </c>
      <c r="I820" t="s">
        <v>38</v>
      </c>
      <c r="J820" s="1">
        <v>45641</v>
      </c>
      <c r="K820" t="b">
        <v>1</v>
      </c>
    </row>
    <row r="821" spans="1:11" x14ac:dyDescent="0.3">
      <c r="A821" t="s">
        <v>1045</v>
      </c>
      <c r="B821" t="s">
        <v>36</v>
      </c>
      <c r="C821" t="s">
        <v>13</v>
      </c>
      <c r="D821" t="s">
        <v>172</v>
      </c>
      <c r="E821">
        <v>5</v>
      </c>
      <c r="F821">
        <v>9</v>
      </c>
      <c r="G821">
        <v>45</v>
      </c>
      <c r="H821" t="s">
        <v>25</v>
      </c>
      <c r="I821" t="s">
        <v>16</v>
      </c>
      <c r="J821" s="1">
        <v>44969</v>
      </c>
      <c r="K821" t="b">
        <v>1</v>
      </c>
    </row>
    <row r="822" spans="1:11" x14ac:dyDescent="0.3">
      <c r="A822" t="s">
        <v>1046</v>
      </c>
      <c r="B822" t="s">
        <v>84</v>
      </c>
      <c r="C822" t="s">
        <v>130</v>
      </c>
      <c r="F822">
        <v>4</v>
      </c>
      <c r="G822">
        <v>44</v>
      </c>
      <c r="H822" t="s">
        <v>15</v>
      </c>
      <c r="I822" t="s">
        <v>16</v>
      </c>
      <c r="J822" s="1">
        <v>44961</v>
      </c>
    </row>
    <row r="823" spans="1:11" x14ac:dyDescent="0.3">
      <c r="A823" t="s">
        <v>1047</v>
      </c>
      <c r="B823" t="s">
        <v>98</v>
      </c>
      <c r="C823" t="s">
        <v>130</v>
      </c>
      <c r="D823" t="s">
        <v>1048</v>
      </c>
      <c r="E823">
        <v>8</v>
      </c>
      <c r="F823">
        <v>5</v>
      </c>
      <c r="G823">
        <v>40</v>
      </c>
      <c r="H823" t="s">
        <v>15</v>
      </c>
      <c r="I823" t="s">
        <v>38</v>
      </c>
      <c r="J823" s="1">
        <v>44913</v>
      </c>
      <c r="K823" t="b">
        <v>1</v>
      </c>
    </row>
    <row r="824" spans="1:11" x14ac:dyDescent="0.3">
      <c r="A824" t="s">
        <v>1049</v>
      </c>
      <c r="B824" t="s">
        <v>89</v>
      </c>
      <c r="C824" t="s">
        <v>13</v>
      </c>
      <c r="D824" t="s">
        <v>193</v>
      </c>
      <c r="E824">
        <v>41</v>
      </c>
      <c r="F824">
        <v>6</v>
      </c>
      <c r="G824">
        <v>246</v>
      </c>
      <c r="H824" t="s">
        <v>25</v>
      </c>
      <c r="I824" t="s">
        <v>16</v>
      </c>
      <c r="J824" s="1">
        <v>45198</v>
      </c>
      <c r="K824" t="b">
        <v>1</v>
      </c>
    </row>
    <row r="825" spans="1:11" x14ac:dyDescent="0.3">
      <c r="A825" t="s">
        <v>1050</v>
      </c>
      <c r="B825" t="s">
        <v>46</v>
      </c>
      <c r="C825" t="s">
        <v>13</v>
      </c>
      <c r="D825" t="s">
        <v>585</v>
      </c>
      <c r="E825">
        <v>6.5</v>
      </c>
      <c r="F825">
        <v>3</v>
      </c>
      <c r="G825">
        <v>19.5</v>
      </c>
      <c r="H825" t="s">
        <v>48</v>
      </c>
      <c r="I825" t="s">
        <v>16</v>
      </c>
      <c r="J825" s="1">
        <v>44593</v>
      </c>
      <c r="K825" t="b">
        <v>0</v>
      </c>
    </row>
    <row r="826" spans="1:11" x14ac:dyDescent="0.3">
      <c r="A826" t="s">
        <v>1051</v>
      </c>
      <c r="B826" t="s">
        <v>89</v>
      </c>
      <c r="C826" t="s">
        <v>41</v>
      </c>
      <c r="D826" t="s">
        <v>146</v>
      </c>
      <c r="E826">
        <v>14</v>
      </c>
      <c r="F826">
        <v>8</v>
      </c>
      <c r="G826">
        <v>112</v>
      </c>
      <c r="H826" t="s">
        <v>25</v>
      </c>
      <c r="I826" t="s">
        <v>16</v>
      </c>
      <c r="J826" s="1">
        <v>45004</v>
      </c>
      <c r="K826" t="b">
        <v>0</v>
      </c>
    </row>
    <row r="827" spans="1:11" x14ac:dyDescent="0.3">
      <c r="A827" t="s">
        <v>1052</v>
      </c>
      <c r="B827" t="s">
        <v>27</v>
      </c>
      <c r="C827" t="s">
        <v>23</v>
      </c>
      <c r="D827" t="s">
        <v>227</v>
      </c>
      <c r="E827">
        <v>15.5</v>
      </c>
      <c r="F827">
        <v>10</v>
      </c>
      <c r="G827">
        <v>155</v>
      </c>
      <c r="H827" t="s">
        <v>48</v>
      </c>
      <c r="I827" t="s">
        <v>38</v>
      </c>
      <c r="J827" s="1">
        <v>45478</v>
      </c>
    </row>
    <row r="828" spans="1:11" x14ac:dyDescent="0.3">
      <c r="A828" t="s">
        <v>1053</v>
      </c>
      <c r="B828" t="s">
        <v>43</v>
      </c>
      <c r="C828" t="s">
        <v>13</v>
      </c>
      <c r="D828" t="s">
        <v>520</v>
      </c>
      <c r="E828">
        <v>15.5</v>
      </c>
      <c r="F828">
        <v>9</v>
      </c>
      <c r="G828">
        <v>139.5</v>
      </c>
      <c r="H828" t="s">
        <v>15</v>
      </c>
      <c r="I828" t="s">
        <v>16</v>
      </c>
      <c r="J828" s="1">
        <v>45546</v>
      </c>
      <c r="K828" t="b">
        <v>1</v>
      </c>
    </row>
    <row r="829" spans="1:11" x14ac:dyDescent="0.3">
      <c r="A829" t="s">
        <v>1054</v>
      </c>
      <c r="B829" t="s">
        <v>80</v>
      </c>
      <c r="C829" t="s">
        <v>23</v>
      </c>
      <c r="D829" t="s">
        <v>277</v>
      </c>
      <c r="E829">
        <v>30.5</v>
      </c>
      <c r="F829">
        <v>8</v>
      </c>
      <c r="G829">
        <v>244</v>
      </c>
      <c r="H829" t="s">
        <v>15</v>
      </c>
      <c r="I829" t="s">
        <v>16</v>
      </c>
      <c r="J829" s="1">
        <v>45024</v>
      </c>
      <c r="K829" t="b">
        <v>0</v>
      </c>
    </row>
    <row r="830" spans="1:11" x14ac:dyDescent="0.3">
      <c r="A830" t="s">
        <v>1055</v>
      </c>
      <c r="B830" t="s">
        <v>77</v>
      </c>
      <c r="C830" t="s">
        <v>23</v>
      </c>
      <c r="D830" t="s">
        <v>162</v>
      </c>
      <c r="E830">
        <v>6.5</v>
      </c>
      <c r="F830">
        <v>1</v>
      </c>
      <c r="G830">
        <v>6.5</v>
      </c>
      <c r="H830" t="s">
        <v>25</v>
      </c>
      <c r="I830" t="s">
        <v>16</v>
      </c>
      <c r="J830" s="1">
        <v>45662</v>
      </c>
    </row>
    <row r="831" spans="1:11" x14ac:dyDescent="0.3">
      <c r="A831" t="s">
        <v>1056</v>
      </c>
      <c r="B831" t="s">
        <v>63</v>
      </c>
      <c r="C831" t="s">
        <v>13</v>
      </c>
      <c r="F831">
        <v>4</v>
      </c>
      <c r="G831">
        <v>164</v>
      </c>
      <c r="H831" t="s">
        <v>25</v>
      </c>
      <c r="I831" t="s">
        <v>38</v>
      </c>
      <c r="J831" s="1">
        <v>45225</v>
      </c>
    </row>
    <row r="832" spans="1:11" x14ac:dyDescent="0.3">
      <c r="A832" t="s">
        <v>1057</v>
      </c>
      <c r="B832" t="s">
        <v>113</v>
      </c>
      <c r="C832" t="s">
        <v>41</v>
      </c>
      <c r="D832" t="s">
        <v>1058</v>
      </c>
      <c r="E832">
        <v>32</v>
      </c>
      <c r="F832">
        <v>3</v>
      </c>
      <c r="G832">
        <v>96</v>
      </c>
      <c r="H832" t="s">
        <v>48</v>
      </c>
      <c r="I832" t="s">
        <v>38</v>
      </c>
      <c r="J832" s="1">
        <v>45177</v>
      </c>
      <c r="K832" t="b">
        <v>1</v>
      </c>
    </row>
    <row r="833" spans="1:11" x14ac:dyDescent="0.3">
      <c r="A833" t="s">
        <v>1059</v>
      </c>
      <c r="B833" t="s">
        <v>27</v>
      </c>
      <c r="C833" t="s">
        <v>32</v>
      </c>
      <c r="D833" t="s">
        <v>33</v>
      </c>
      <c r="E833">
        <v>12.5</v>
      </c>
      <c r="F833">
        <v>4</v>
      </c>
      <c r="G833">
        <v>50</v>
      </c>
      <c r="H833" t="s">
        <v>15</v>
      </c>
      <c r="I833" t="s">
        <v>16</v>
      </c>
      <c r="J833" s="1">
        <v>45417</v>
      </c>
      <c r="K833" t="b">
        <v>1</v>
      </c>
    </row>
    <row r="834" spans="1:11" x14ac:dyDescent="0.3">
      <c r="A834" t="s">
        <v>1060</v>
      </c>
      <c r="B834" t="s">
        <v>116</v>
      </c>
      <c r="C834" t="s">
        <v>19</v>
      </c>
      <c r="D834" t="s">
        <v>271</v>
      </c>
      <c r="E834">
        <v>5</v>
      </c>
      <c r="F834">
        <v>7</v>
      </c>
      <c r="G834">
        <v>35</v>
      </c>
      <c r="H834" t="s">
        <v>48</v>
      </c>
      <c r="I834" t="s">
        <v>38</v>
      </c>
      <c r="J834" s="1">
        <v>45074</v>
      </c>
      <c r="K834" t="b">
        <v>1</v>
      </c>
    </row>
    <row r="835" spans="1:11" x14ac:dyDescent="0.3">
      <c r="A835" t="s">
        <v>1061</v>
      </c>
      <c r="B835" t="s">
        <v>18</v>
      </c>
      <c r="C835" t="s">
        <v>41</v>
      </c>
      <c r="D835" t="s">
        <v>197</v>
      </c>
      <c r="E835">
        <v>35</v>
      </c>
      <c r="F835">
        <v>2</v>
      </c>
      <c r="G835">
        <v>70</v>
      </c>
      <c r="H835" t="s">
        <v>15</v>
      </c>
      <c r="I835" t="s">
        <v>16</v>
      </c>
      <c r="J835" s="1">
        <v>44706</v>
      </c>
      <c r="K835" t="b">
        <v>1</v>
      </c>
    </row>
    <row r="836" spans="1:11" x14ac:dyDescent="0.3">
      <c r="A836" t="s">
        <v>1062</v>
      </c>
      <c r="B836" t="s">
        <v>18</v>
      </c>
      <c r="C836" t="s">
        <v>19</v>
      </c>
      <c r="D836" t="s">
        <v>540</v>
      </c>
      <c r="E836">
        <v>23</v>
      </c>
      <c r="F836">
        <v>1</v>
      </c>
      <c r="G836">
        <v>23</v>
      </c>
      <c r="H836" t="s">
        <v>25</v>
      </c>
      <c r="I836" t="s">
        <v>16</v>
      </c>
      <c r="J836" s="1">
        <v>45118</v>
      </c>
      <c r="K836" t="b">
        <v>1</v>
      </c>
    </row>
    <row r="837" spans="1:11" x14ac:dyDescent="0.3">
      <c r="A837" t="s">
        <v>1063</v>
      </c>
      <c r="B837" t="s">
        <v>40</v>
      </c>
      <c r="C837" t="s">
        <v>19</v>
      </c>
      <c r="D837" t="s">
        <v>284</v>
      </c>
      <c r="E837">
        <v>8</v>
      </c>
      <c r="F837">
        <v>6</v>
      </c>
      <c r="G837">
        <v>48</v>
      </c>
      <c r="H837" t="s">
        <v>48</v>
      </c>
      <c r="I837" t="s">
        <v>38</v>
      </c>
      <c r="J837" s="1">
        <v>44713</v>
      </c>
    </row>
    <row r="838" spans="1:11" x14ac:dyDescent="0.3">
      <c r="A838" t="s">
        <v>1064</v>
      </c>
      <c r="B838" t="s">
        <v>98</v>
      </c>
      <c r="C838" t="s">
        <v>130</v>
      </c>
      <c r="D838" t="s">
        <v>229</v>
      </c>
      <c r="E838">
        <v>18.5</v>
      </c>
      <c r="F838">
        <v>5</v>
      </c>
      <c r="G838">
        <v>92.5</v>
      </c>
      <c r="H838" t="s">
        <v>25</v>
      </c>
      <c r="I838" t="s">
        <v>16</v>
      </c>
      <c r="J838" s="1">
        <v>45621</v>
      </c>
      <c r="K838" t="b">
        <v>1</v>
      </c>
    </row>
    <row r="839" spans="1:11" x14ac:dyDescent="0.3">
      <c r="A839" t="s">
        <v>1065</v>
      </c>
      <c r="B839" t="s">
        <v>43</v>
      </c>
      <c r="C839" t="s">
        <v>130</v>
      </c>
      <c r="F839">
        <v>2</v>
      </c>
      <c r="G839">
        <v>46</v>
      </c>
      <c r="H839" t="s">
        <v>25</v>
      </c>
      <c r="I839" t="s">
        <v>38</v>
      </c>
      <c r="J839" s="1">
        <v>45365</v>
      </c>
      <c r="K839" t="b">
        <v>1</v>
      </c>
    </row>
    <row r="840" spans="1:11" x14ac:dyDescent="0.3">
      <c r="A840" t="s">
        <v>1066</v>
      </c>
      <c r="B840" t="s">
        <v>36</v>
      </c>
      <c r="C840" t="s">
        <v>130</v>
      </c>
      <c r="D840" t="s">
        <v>361</v>
      </c>
      <c r="E840">
        <v>32</v>
      </c>
      <c r="F840">
        <v>5</v>
      </c>
      <c r="G840">
        <v>160</v>
      </c>
      <c r="H840" t="s">
        <v>25</v>
      </c>
      <c r="I840" t="s">
        <v>38</v>
      </c>
      <c r="J840" s="1">
        <v>44645</v>
      </c>
      <c r="K840" t="b">
        <v>0</v>
      </c>
    </row>
    <row r="841" spans="1:11" x14ac:dyDescent="0.3">
      <c r="A841" t="s">
        <v>1067</v>
      </c>
      <c r="B841" t="s">
        <v>12</v>
      </c>
      <c r="C841" t="s">
        <v>13</v>
      </c>
      <c r="D841" t="s">
        <v>133</v>
      </c>
      <c r="E841">
        <v>20</v>
      </c>
      <c r="F841">
        <v>10</v>
      </c>
      <c r="G841">
        <v>200</v>
      </c>
      <c r="H841" t="s">
        <v>48</v>
      </c>
      <c r="I841" t="s">
        <v>38</v>
      </c>
      <c r="J841" s="1">
        <v>45635</v>
      </c>
      <c r="K841" t="b">
        <v>0</v>
      </c>
    </row>
    <row r="842" spans="1:11" x14ac:dyDescent="0.3">
      <c r="A842" t="s">
        <v>1068</v>
      </c>
      <c r="B842" t="s">
        <v>27</v>
      </c>
      <c r="C842" t="s">
        <v>66</v>
      </c>
      <c r="D842" t="s">
        <v>246</v>
      </c>
      <c r="E842">
        <v>15.5</v>
      </c>
      <c r="F842">
        <v>7</v>
      </c>
      <c r="G842">
        <v>108.5</v>
      </c>
      <c r="H842" t="s">
        <v>48</v>
      </c>
      <c r="I842" t="s">
        <v>38</v>
      </c>
      <c r="J842" s="1">
        <v>44681</v>
      </c>
    </row>
    <row r="843" spans="1:11" x14ac:dyDescent="0.3">
      <c r="A843" t="s">
        <v>1069</v>
      </c>
      <c r="B843" t="s">
        <v>123</v>
      </c>
      <c r="C843" t="s">
        <v>19</v>
      </c>
      <c r="D843" t="s">
        <v>1070</v>
      </c>
      <c r="E843">
        <v>14</v>
      </c>
      <c r="F843">
        <v>7</v>
      </c>
      <c r="G843">
        <v>98</v>
      </c>
      <c r="H843" t="s">
        <v>48</v>
      </c>
      <c r="I843" t="s">
        <v>38</v>
      </c>
      <c r="J843" s="1">
        <v>45521</v>
      </c>
    </row>
    <row r="844" spans="1:11" x14ac:dyDescent="0.3">
      <c r="A844" t="s">
        <v>1071</v>
      </c>
      <c r="B844" t="s">
        <v>116</v>
      </c>
      <c r="C844" t="s">
        <v>13</v>
      </c>
      <c r="D844" t="s">
        <v>579</v>
      </c>
      <c r="E844">
        <v>32</v>
      </c>
      <c r="F844">
        <v>10</v>
      </c>
      <c r="G844">
        <v>320</v>
      </c>
      <c r="H844" t="s">
        <v>25</v>
      </c>
      <c r="I844" t="s">
        <v>38</v>
      </c>
      <c r="J844" s="1">
        <v>45010</v>
      </c>
      <c r="K844" t="b">
        <v>1</v>
      </c>
    </row>
    <row r="845" spans="1:11" x14ac:dyDescent="0.3">
      <c r="A845" t="s">
        <v>1072</v>
      </c>
      <c r="B845" t="s">
        <v>27</v>
      </c>
      <c r="C845" t="s">
        <v>23</v>
      </c>
      <c r="D845" t="s">
        <v>306</v>
      </c>
      <c r="E845">
        <v>23</v>
      </c>
      <c r="F845">
        <v>10</v>
      </c>
      <c r="G845">
        <v>230</v>
      </c>
      <c r="H845" t="s">
        <v>48</v>
      </c>
      <c r="I845" t="s">
        <v>16</v>
      </c>
      <c r="J845" s="1">
        <v>45031</v>
      </c>
    </row>
    <row r="846" spans="1:11" x14ac:dyDescent="0.3">
      <c r="A846" t="s">
        <v>1073</v>
      </c>
      <c r="B846" t="s">
        <v>43</v>
      </c>
      <c r="C846" t="s">
        <v>23</v>
      </c>
      <c r="D846" t="s">
        <v>598</v>
      </c>
      <c r="E846">
        <v>12.5</v>
      </c>
      <c r="F846">
        <v>9</v>
      </c>
      <c r="G846">
        <v>112.5</v>
      </c>
      <c r="H846" t="s">
        <v>48</v>
      </c>
      <c r="I846" t="s">
        <v>38</v>
      </c>
      <c r="J846" s="1">
        <v>44817</v>
      </c>
      <c r="K846" t="b">
        <v>0</v>
      </c>
    </row>
    <row r="847" spans="1:11" x14ac:dyDescent="0.3">
      <c r="A847" t="s">
        <v>1074</v>
      </c>
      <c r="B847" t="s">
        <v>113</v>
      </c>
      <c r="C847" t="s">
        <v>13</v>
      </c>
      <c r="D847" t="s">
        <v>172</v>
      </c>
      <c r="E847">
        <v>5</v>
      </c>
      <c r="F847">
        <v>4</v>
      </c>
      <c r="G847">
        <v>20</v>
      </c>
      <c r="H847" t="s">
        <v>48</v>
      </c>
      <c r="I847" t="s">
        <v>38</v>
      </c>
      <c r="J847" s="1">
        <v>45661</v>
      </c>
    </row>
    <row r="848" spans="1:11" x14ac:dyDescent="0.3">
      <c r="A848" t="s">
        <v>1075</v>
      </c>
      <c r="B848" t="s">
        <v>31</v>
      </c>
      <c r="C848" t="s">
        <v>66</v>
      </c>
      <c r="D848" t="s">
        <v>67</v>
      </c>
      <c r="E848">
        <v>23</v>
      </c>
      <c r="F848">
        <v>5</v>
      </c>
      <c r="G848">
        <v>115</v>
      </c>
      <c r="H848" t="s">
        <v>48</v>
      </c>
      <c r="I848" t="s">
        <v>38</v>
      </c>
      <c r="J848" s="1">
        <v>45300</v>
      </c>
      <c r="K848" t="b">
        <v>0</v>
      </c>
    </row>
    <row r="849" spans="1:11" x14ac:dyDescent="0.3">
      <c r="A849" t="s">
        <v>1076</v>
      </c>
      <c r="B849" t="s">
        <v>36</v>
      </c>
      <c r="C849" t="s">
        <v>28</v>
      </c>
      <c r="D849" t="s">
        <v>205</v>
      </c>
      <c r="E849">
        <v>24.5</v>
      </c>
      <c r="F849">
        <v>5</v>
      </c>
      <c r="G849">
        <v>122.5</v>
      </c>
      <c r="H849" t="s">
        <v>25</v>
      </c>
      <c r="I849" t="s">
        <v>16</v>
      </c>
      <c r="J849" s="1">
        <v>44714</v>
      </c>
      <c r="K849" t="b">
        <v>1</v>
      </c>
    </row>
    <row r="850" spans="1:11" x14ac:dyDescent="0.3">
      <c r="A850" t="s">
        <v>1077</v>
      </c>
      <c r="B850" t="s">
        <v>84</v>
      </c>
      <c r="C850" t="s">
        <v>66</v>
      </c>
      <c r="D850" t="s">
        <v>349</v>
      </c>
      <c r="E850">
        <v>27.5</v>
      </c>
      <c r="F850">
        <v>7</v>
      </c>
      <c r="G850">
        <v>192.5</v>
      </c>
      <c r="H850" t="s">
        <v>25</v>
      </c>
      <c r="I850" t="s">
        <v>16</v>
      </c>
      <c r="J850" s="1">
        <v>45357</v>
      </c>
      <c r="K850" t="b">
        <v>1</v>
      </c>
    </row>
    <row r="851" spans="1:11" x14ac:dyDescent="0.3">
      <c r="A851" t="s">
        <v>1078</v>
      </c>
      <c r="B851" t="s">
        <v>46</v>
      </c>
      <c r="C851" t="s">
        <v>66</v>
      </c>
      <c r="D851" t="s">
        <v>643</v>
      </c>
      <c r="E851">
        <v>26</v>
      </c>
      <c r="F851">
        <v>9</v>
      </c>
      <c r="G851">
        <v>234</v>
      </c>
      <c r="H851" t="s">
        <v>15</v>
      </c>
      <c r="I851" t="s">
        <v>16</v>
      </c>
      <c r="J851" s="1">
        <v>45182</v>
      </c>
    </row>
    <row r="852" spans="1:11" x14ac:dyDescent="0.3">
      <c r="A852" t="s">
        <v>1079</v>
      </c>
      <c r="B852" t="s">
        <v>46</v>
      </c>
      <c r="C852" t="s">
        <v>19</v>
      </c>
      <c r="E852">
        <v>26</v>
      </c>
      <c r="H852" t="s">
        <v>15</v>
      </c>
      <c r="I852" t="s">
        <v>16</v>
      </c>
      <c r="J852" s="1">
        <v>44619</v>
      </c>
      <c r="K852" t="b">
        <v>0</v>
      </c>
    </row>
    <row r="853" spans="1:11" x14ac:dyDescent="0.3">
      <c r="A853" t="s">
        <v>1080</v>
      </c>
      <c r="B853" t="s">
        <v>113</v>
      </c>
      <c r="C853" t="s">
        <v>130</v>
      </c>
      <c r="D853" t="s">
        <v>293</v>
      </c>
      <c r="E853">
        <v>12.5</v>
      </c>
      <c r="F853">
        <v>2</v>
      </c>
      <c r="G853">
        <v>25</v>
      </c>
      <c r="H853" t="s">
        <v>25</v>
      </c>
      <c r="I853" t="s">
        <v>16</v>
      </c>
      <c r="J853" s="1">
        <v>44921</v>
      </c>
      <c r="K853" t="b">
        <v>1</v>
      </c>
    </row>
    <row r="854" spans="1:11" x14ac:dyDescent="0.3">
      <c r="A854" t="s">
        <v>1081</v>
      </c>
      <c r="B854" t="s">
        <v>113</v>
      </c>
      <c r="C854" t="s">
        <v>32</v>
      </c>
      <c r="F854">
        <v>9</v>
      </c>
      <c r="G854">
        <v>207</v>
      </c>
      <c r="H854" t="s">
        <v>48</v>
      </c>
      <c r="I854" t="s">
        <v>38</v>
      </c>
      <c r="J854" s="1">
        <v>45184</v>
      </c>
      <c r="K854" t="b">
        <v>1</v>
      </c>
    </row>
    <row r="855" spans="1:11" x14ac:dyDescent="0.3">
      <c r="A855" t="s">
        <v>1082</v>
      </c>
      <c r="B855" t="s">
        <v>84</v>
      </c>
      <c r="C855" t="s">
        <v>28</v>
      </c>
      <c r="D855" t="s">
        <v>1083</v>
      </c>
      <c r="E855">
        <v>17</v>
      </c>
      <c r="F855">
        <v>7</v>
      </c>
      <c r="G855">
        <v>119</v>
      </c>
      <c r="H855" t="s">
        <v>15</v>
      </c>
      <c r="I855" t="s">
        <v>16</v>
      </c>
      <c r="J855" s="1">
        <v>45435</v>
      </c>
    </row>
    <row r="856" spans="1:11" x14ac:dyDescent="0.3">
      <c r="A856" t="s">
        <v>1084</v>
      </c>
      <c r="B856" t="s">
        <v>108</v>
      </c>
      <c r="C856" t="s">
        <v>41</v>
      </c>
      <c r="D856" t="s">
        <v>594</v>
      </c>
      <c r="E856">
        <v>33.5</v>
      </c>
      <c r="F856">
        <v>8</v>
      </c>
      <c r="G856">
        <v>268</v>
      </c>
      <c r="H856" t="s">
        <v>25</v>
      </c>
      <c r="I856" t="s">
        <v>16</v>
      </c>
      <c r="J856" s="1">
        <v>44655</v>
      </c>
    </row>
    <row r="857" spans="1:11" x14ac:dyDescent="0.3">
      <c r="A857" t="s">
        <v>1085</v>
      </c>
      <c r="B857" t="s">
        <v>113</v>
      </c>
      <c r="C857" t="s">
        <v>66</v>
      </c>
      <c r="E857">
        <v>21.5</v>
      </c>
      <c r="H857" t="s">
        <v>48</v>
      </c>
      <c r="I857" t="s">
        <v>16</v>
      </c>
      <c r="J857" s="1">
        <v>45539</v>
      </c>
    </row>
    <row r="858" spans="1:11" x14ac:dyDescent="0.3">
      <c r="A858" t="s">
        <v>1086</v>
      </c>
      <c r="B858" t="s">
        <v>65</v>
      </c>
      <c r="C858" t="s">
        <v>32</v>
      </c>
      <c r="D858" t="s">
        <v>237</v>
      </c>
      <c r="E858">
        <v>17</v>
      </c>
      <c r="F858">
        <v>7</v>
      </c>
      <c r="G858">
        <v>119</v>
      </c>
      <c r="H858" t="s">
        <v>15</v>
      </c>
      <c r="I858" t="s">
        <v>38</v>
      </c>
      <c r="J858" s="1">
        <v>44590</v>
      </c>
      <c r="K858" t="b">
        <v>0</v>
      </c>
    </row>
    <row r="859" spans="1:11" x14ac:dyDescent="0.3">
      <c r="A859" t="s">
        <v>1087</v>
      </c>
      <c r="B859" t="s">
        <v>65</v>
      </c>
      <c r="C859" t="s">
        <v>66</v>
      </c>
      <c r="D859" t="s">
        <v>358</v>
      </c>
      <c r="E859">
        <v>5</v>
      </c>
      <c r="F859">
        <v>10</v>
      </c>
      <c r="G859">
        <v>50</v>
      </c>
      <c r="H859" t="s">
        <v>48</v>
      </c>
      <c r="I859" t="s">
        <v>38</v>
      </c>
      <c r="J859" s="1">
        <v>44803</v>
      </c>
      <c r="K859" t="b">
        <v>1</v>
      </c>
    </row>
    <row r="860" spans="1:11" x14ac:dyDescent="0.3">
      <c r="A860" t="s">
        <v>1088</v>
      </c>
      <c r="B860" t="s">
        <v>22</v>
      </c>
      <c r="C860" t="s">
        <v>66</v>
      </c>
      <c r="D860" t="s">
        <v>352</v>
      </c>
      <c r="E860">
        <v>38</v>
      </c>
      <c r="F860">
        <v>1</v>
      </c>
      <c r="G860">
        <v>38</v>
      </c>
      <c r="H860" t="s">
        <v>25</v>
      </c>
      <c r="I860" t="s">
        <v>38</v>
      </c>
      <c r="J860" s="1">
        <v>45413</v>
      </c>
      <c r="K860" t="b">
        <v>0</v>
      </c>
    </row>
    <row r="861" spans="1:11" x14ac:dyDescent="0.3">
      <c r="A861" t="s">
        <v>1089</v>
      </c>
      <c r="B861" t="s">
        <v>46</v>
      </c>
      <c r="C861" t="s">
        <v>41</v>
      </c>
      <c r="D861" t="s">
        <v>281</v>
      </c>
      <c r="E861">
        <v>5</v>
      </c>
      <c r="F861">
        <v>5</v>
      </c>
      <c r="G861">
        <v>25</v>
      </c>
      <c r="H861" t="s">
        <v>25</v>
      </c>
      <c r="I861" t="s">
        <v>16</v>
      </c>
      <c r="J861" s="1">
        <v>44632</v>
      </c>
    </row>
    <row r="862" spans="1:11" x14ac:dyDescent="0.3">
      <c r="A862" t="s">
        <v>1090</v>
      </c>
      <c r="B862" t="s">
        <v>77</v>
      </c>
      <c r="C862" t="s">
        <v>41</v>
      </c>
      <c r="D862" t="s">
        <v>281</v>
      </c>
      <c r="E862">
        <v>5</v>
      </c>
      <c r="F862">
        <v>3</v>
      </c>
      <c r="G862">
        <v>15</v>
      </c>
      <c r="H862" t="s">
        <v>15</v>
      </c>
      <c r="I862" t="s">
        <v>16</v>
      </c>
      <c r="J862" s="1">
        <v>44754</v>
      </c>
      <c r="K862" t="b">
        <v>1</v>
      </c>
    </row>
    <row r="863" spans="1:11" x14ac:dyDescent="0.3">
      <c r="A863" t="s">
        <v>1091</v>
      </c>
      <c r="B863" t="s">
        <v>31</v>
      </c>
      <c r="C863" t="s">
        <v>23</v>
      </c>
      <c r="D863" t="s">
        <v>85</v>
      </c>
      <c r="E863">
        <v>33.5</v>
      </c>
      <c r="F863">
        <v>4</v>
      </c>
      <c r="G863">
        <v>134</v>
      </c>
      <c r="H863" t="s">
        <v>48</v>
      </c>
      <c r="I863" t="s">
        <v>38</v>
      </c>
      <c r="J863" s="1">
        <v>44880</v>
      </c>
      <c r="K863" t="b">
        <v>0</v>
      </c>
    </row>
    <row r="864" spans="1:11" x14ac:dyDescent="0.3">
      <c r="A864" t="s">
        <v>1092</v>
      </c>
      <c r="B864" t="s">
        <v>69</v>
      </c>
      <c r="C864" t="s">
        <v>23</v>
      </c>
      <c r="D864" t="s">
        <v>50</v>
      </c>
      <c r="E864">
        <v>8</v>
      </c>
      <c r="F864">
        <v>9</v>
      </c>
      <c r="G864">
        <v>72</v>
      </c>
      <c r="H864" t="s">
        <v>15</v>
      </c>
      <c r="I864" t="s">
        <v>38</v>
      </c>
      <c r="J864" s="1">
        <v>44922</v>
      </c>
    </row>
    <row r="865" spans="1:11" x14ac:dyDescent="0.3">
      <c r="A865" t="s">
        <v>1093</v>
      </c>
      <c r="B865" t="s">
        <v>123</v>
      </c>
      <c r="C865" t="s">
        <v>66</v>
      </c>
      <c r="D865" t="s">
        <v>349</v>
      </c>
      <c r="E865">
        <v>27.5</v>
      </c>
      <c r="F865">
        <v>1</v>
      </c>
      <c r="G865">
        <v>27.5</v>
      </c>
      <c r="H865" t="s">
        <v>15</v>
      </c>
      <c r="I865" t="s">
        <v>16</v>
      </c>
      <c r="J865" s="1">
        <v>45549</v>
      </c>
      <c r="K865" t="b">
        <v>1</v>
      </c>
    </row>
    <row r="866" spans="1:11" x14ac:dyDescent="0.3">
      <c r="A866" t="s">
        <v>1094</v>
      </c>
      <c r="B866" t="s">
        <v>123</v>
      </c>
      <c r="C866" t="s">
        <v>13</v>
      </c>
      <c r="F866">
        <v>1</v>
      </c>
      <c r="G866">
        <v>27.5</v>
      </c>
      <c r="H866" t="s">
        <v>15</v>
      </c>
      <c r="I866" t="s">
        <v>38</v>
      </c>
      <c r="J866" s="1">
        <v>45010</v>
      </c>
      <c r="K866" t="b">
        <v>1</v>
      </c>
    </row>
    <row r="867" spans="1:11" x14ac:dyDescent="0.3">
      <c r="A867" t="s">
        <v>1095</v>
      </c>
      <c r="B867" t="s">
        <v>116</v>
      </c>
      <c r="C867" t="s">
        <v>23</v>
      </c>
      <c r="D867" t="s">
        <v>114</v>
      </c>
      <c r="E867">
        <v>38</v>
      </c>
      <c r="F867">
        <v>7</v>
      </c>
      <c r="G867">
        <v>266</v>
      </c>
      <c r="H867" t="s">
        <v>48</v>
      </c>
      <c r="I867" t="s">
        <v>16</v>
      </c>
      <c r="J867" s="1">
        <v>45432</v>
      </c>
    </row>
    <row r="868" spans="1:11" x14ac:dyDescent="0.3">
      <c r="A868" t="s">
        <v>1096</v>
      </c>
      <c r="B868" t="s">
        <v>63</v>
      </c>
      <c r="C868" t="s">
        <v>13</v>
      </c>
      <c r="D868" t="s">
        <v>579</v>
      </c>
      <c r="E868">
        <v>32</v>
      </c>
      <c r="F868">
        <v>2</v>
      </c>
      <c r="G868">
        <v>64</v>
      </c>
      <c r="H868" t="s">
        <v>15</v>
      </c>
      <c r="I868" t="s">
        <v>38</v>
      </c>
      <c r="J868" s="1">
        <v>45320</v>
      </c>
      <c r="K868" t="b">
        <v>0</v>
      </c>
    </row>
    <row r="869" spans="1:11" x14ac:dyDescent="0.3">
      <c r="A869" t="s">
        <v>1097</v>
      </c>
      <c r="B869" t="s">
        <v>12</v>
      </c>
      <c r="C869" t="s">
        <v>23</v>
      </c>
      <c r="D869" t="s">
        <v>1098</v>
      </c>
      <c r="E869">
        <v>18.5</v>
      </c>
      <c r="F869">
        <v>4</v>
      </c>
      <c r="G869">
        <v>74</v>
      </c>
      <c r="H869" t="s">
        <v>48</v>
      </c>
      <c r="I869" t="s">
        <v>16</v>
      </c>
      <c r="J869" s="1">
        <v>44929</v>
      </c>
    </row>
    <row r="870" spans="1:11" x14ac:dyDescent="0.3">
      <c r="A870" t="s">
        <v>1099</v>
      </c>
      <c r="B870" t="s">
        <v>108</v>
      </c>
      <c r="C870" t="s">
        <v>66</v>
      </c>
      <c r="D870" t="s">
        <v>919</v>
      </c>
      <c r="E870">
        <v>17</v>
      </c>
      <c r="F870">
        <v>9</v>
      </c>
      <c r="G870">
        <v>153</v>
      </c>
      <c r="H870" t="s">
        <v>25</v>
      </c>
      <c r="I870" t="s">
        <v>38</v>
      </c>
      <c r="J870" s="1">
        <v>45229</v>
      </c>
    </row>
    <row r="871" spans="1:11" x14ac:dyDescent="0.3">
      <c r="A871" t="s">
        <v>1100</v>
      </c>
      <c r="B871" t="s">
        <v>27</v>
      </c>
      <c r="C871" t="s">
        <v>28</v>
      </c>
      <c r="D871" t="s">
        <v>104</v>
      </c>
      <c r="E871">
        <v>41</v>
      </c>
      <c r="F871">
        <v>10</v>
      </c>
      <c r="G871">
        <v>410</v>
      </c>
      <c r="H871" t="s">
        <v>25</v>
      </c>
      <c r="I871" t="s">
        <v>38</v>
      </c>
      <c r="J871" s="1">
        <v>45612</v>
      </c>
    </row>
    <row r="872" spans="1:11" x14ac:dyDescent="0.3">
      <c r="A872" t="s">
        <v>1101</v>
      </c>
      <c r="B872" t="s">
        <v>36</v>
      </c>
      <c r="C872" t="s">
        <v>41</v>
      </c>
      <c r="F872">
        <v>9</v>
      </c>
      <c r="G872">
        <v>247.5</v>
      </c>
      <c r="H872" t="s">
        <v>48</v>
      </c>
      <c r="I872" t="s">
        <v>38</v>
      </c>
      <c r="J872" s="1">
        <v>45669</v>
      </c>
      <c r="K872" t="b">
        <v>0</v>
      </c>
    </row>
    <row r="873" spans="1:11" x14ac:dyDescent="0.3">
      <c r="A873" t="s">
        <v>1102</v>
      </c>
      <c r="B873" t="s">
        <v>22</v>
      </c>
      <c r="C873" t="s">
        <v>41</v>
      </c>
      <c r="D873" t="s">
        <v>87</v>
      </c>
      <c r="E873">
        <v>41</v>
      </c>
      <c r="F873">
        <v>7</v>
      </c>
      <c r="G873">
        <v>287</v>
      </c>
      <c r="H873" t="s">
        <v>15</v>
      </c>
      <c r="I873" t="s">
        <v>16</v>
      </c>
      <c r="J873" s="1">
        <v>45321</v>
      </c>
    </row>
    <row r="874" spans="1:11" x14ac:dyDescent="0.3">
      <c r="A874" t="s">
        <v>1103</v>
      </c>
      <c r="B874" t="s">
        <v>84</v>
      </c>
      <c r="C874" t="s">
        <v>13</v>
      </c>
      <c r="D874" t="s">
        <v>372</v>
      </c>
      <c r="E874">
        <v>23</v>
      </c>
      <c r="F874">
        <v>4</v>
      </c>
      <c r="G874">
        <v>92</v>
      </c>
      <c r="H874" t="s">
        <v>25</v>
      </c>
      <c r="I874" t="s">
        <v>38</v>
      </c>
      <c r="J874" s="1">
        <v>45337</v>
      </c>
      <c r="K874" t="b">
        <v>0</v>
      </c>
    </row>
    <row r="875" spans="1:11" x14ac:dyDescent="0.3">
      <c r="A875" t="s">
        <v>1104</v>
      </c>
      <c r="B875" t="s">
        <v>36</v>
      </c>
      <c r="C875" t="s">
        <v>41</v>
      </c>
      <c r="D875" t="s">
        <v>233</v>
      </c>
      <c r="E875">
        <v>11</v>
      </c>
      <c r="F875">
        <v>9</v>
      </c>
      <c r="G875">
        <v>99</v>
      </c>
      <c r="H875" t="s">
        <v>15</v>
      </c>
      <c r="I875" t="s">
        <v>38</v>
      </c>
      <c r="J875" s="1">
        <v>44985</v>
      </c>
    </row>
    <row r="876" spans="1:11" x14ac:dyDescent="0.3">
      <c r="A876" t="s">
        <v>1105</v>
      </c>
      <c r="B876" t="s">
        <v>74</v>
      </c>
      <c r="C876" t="s">
        <v>66</v>
      </c>
      <c r="E876">
        <v>24.5</v>
      </c>
      <c r="H876" t="s">
        <v>25</v>
      </c>
      <c r="I876" t="s">
        <v>16</v>
      </c>
      <c r="J876" s="1">
        <v>45455</v>
      </c>
      <c r="K876" t="b">
        <v>1</v>
      </c>
    </row>
    <row r="877" spans="1:11" x14ac:dyDescent="0.3">
      <c r="A877" t="s">
        <v>1106</v>
      </c>
      <c r="B877" t="s">
        <v>100</v>
      </c>
      <c r="C877" t="s">
        <v>32</v>
      </c>
      <c r="D877" t="s">
        <v>94</v>
      </c>
      <c r="E877">
        <v>20</v>
      </c>
      <c r="F877">
        <v>10</v>
      </c>
      <c r="G877">
        <v>200</v>
      </c>
      <c r="H877" t="s">
        <v>25</v>
      </c>
      <c r="I877" t="s">
        <v>16</v>
      </c>
      <c r="J877" s="1">
        <v>44999</v>
      </c>
      <c r="K877" t="b">
        <v>0</v>
      </c>
    </row>
    <row r="878" spans="1:11" x14ac:dyDescent="0.3">
      <c r="A878" t="s">
        <v>1107</v>
      </c>
      <c r="B878" t="s">
        <v>100</v>
      </c>
      <c r="C878" t="s">
        <v>23</v>
      </c>
      <c r="D878" t="s">
        <v>383</v>
      </c>
      <c r="E878">
        <v>41</v>
      </c>
      <c r="F878">
        <v>9</v>
      </c>
      <c r="G878">
        <v>369</v>
      </c>
      <c r="H878" t="s">
        <v>25</v>
      </c>
      <c r="I878" t="s">
        <v>16</v>
      </c>
      <c r="J878" s="1">
        <v>45292</v>
      </c>
    </row>
    <row r="879" spans="1:11" x14ac:dyDescent="0.3">
      <c r="A879" t="s">
        <v>1108</v>
      </c>
      <c r="B879" t="s">
        <v>65</v>
      </c>
      <c r="C879" t="s">
        <v>41</v>
      </c>
      <c r="D879" t="s">
        <v>342</v>
      </c>
      <c r="E879">
        <v>29</v>
      </c>
      <c r="F879">
        <v>7</v>
      </c>
      <c r="G879">
        <v>203</v>
      </c>
      <c r="H879" t="s">
        <v>25</v>
      </c>
      <c r="I879" t="s">
        <v>38</v>
      </c>
      <c r="J879" s="1">
        <v>45260</v>
      </c>
      <c r="K879" t="b">
        <v>1</v>
      </c>
    </row>
    <row r="880" spans="1:11" x14ac:dyDescent="0.3">
      <c r="A880" t="s">
        <v>1109</v>
      </c>
      <c r="B880" t="s">
        <v>55</v>
      </c>
      <c r="C880" t="s">
        <v>41</v>
      </c>
      <c r="D880" t="s">
        <v>453</v>
      </c>
      <c r="E880">
        <v>26</v>
      </c>
      <c r="F880">
        <v>9</v>
      </c>
      <c r="G880">
        <v>234</v>
      </c>
      <c r="H880" t="s">
        <v>15</v>
      </c>
      <c r="I880" t="s">
        <v>16</v>
      </c>
      <c r="J880" s="1">
        <v>45286</v>
      </c>
      <c r="K880" t="b">
        <v>0</v>
      </c>
    </row>
    <row r="881" spans="1:11" x14ac:dyDescent="0.3">
      <c r="A881" t="s">
        <v>1110</v>
      </c>
      <c r="B881" t="s">
        <v>69</v>
      </c>
      <c r="C881" t="s">
        <v>28</v>
      </c>
      <c r="D881" t="s">
        <v>513</v>
      </c>
      <c r="E881">
        <v>18.5</v>
      </c>
      <c r="F881">
        <v>9</v>
      </c>
      <c r="G881">
        <v>166.5</v>
      </c>
      <c r="H881" t="s">
        <v>48</v>
      </c>
      <c r="I881" t="s">
        <v>16</v>
      </c>
      <c r="J881" s="1">
        <v>45615</v>
      </c>
      <c r="K881" t="b">
        <v>0</v>
      </c>
    </row>
    <row r="882" spans="1:11" x14ac:dyDescent="0.3">
      <c r="A882" t="s">
        <v>1111</v>
      </c>
      <c r="B882" t="s">
        <v>27</v>
      </c>
      <c r="C882" t="s">
        <v>32</v>
      </c>
      <c r="D882" t="s">
        <v>33</v>
      </c>
      <c r="E882">
        <v>12.5</v>
      </c>
      <c r="F882">
        <v>1</v>
      </c>
      <c r="G882">
        <v>12.5</v>
      </c>
      <c r="H882" t="s">
        <v>25</v>
      </c>
      <c r="I882" t="s">
        <v>16</v>
      </c>
      <c r="J882" s="1">
        <v>45325</v>
      </c>
      <c r="K882" t="b">
        <v>0</v>
      </c>
    </row>
    <row r="883" spans="1:11" x14ac:dyDescent="0.3">
      <c r="A883" t="s">
        <v>1112</v>
      </c>
      <c r="B883" t="s">
        <v>123</v>
      </c>
      <c r="C883" t="s">
        <v>28</v>
      </c>
      <c r="D883" t="s">
        <v>401</v>
      </c>
      <c r="E883">
        <v>21.5</v>
      </c>
      <c r="F883">
        <v>5</v>
      </c>
      <c r="G883">
        <v>107.5</v>
      </c>
      <c r="H883" t="s">
        <v>48</v>
      </c>
      <c r="I883" t="s">
        <v>16</v>
      </c>
      <c r="J883" s="1">
        <v>44718</v>
      </c>
    </row>
    <row r="884" spans="1:11" x14ac:dyDescent="0.3">
      <c r="A884" t="s">
        <v>1113</v>
      </c>
      <c r="B884" t="s">
        <v>40</v>
      </c>
      <c r="C884" t="s">
        <v>23</v>
      </c>
      <c r="D884" t="s">
        <v>355</v>
      </c>
      <c r="E884">
        <v>14</v>
      </c>
      <c r="F884">
        <v>6</v>
      </c>
      <c r="G884">
        <v>84</v>
      </c>
      <c r="H884" t="s">
        <v>48</v>
      </c>
      <c r="I884" t="s">
        <v>38</v>
      </c>
      <c r="J884" s="1">
        <v>45134</v>
      </c>
    </row>
    <row r="885" spans="1:11" x14ac:dyDescent="0.3">
      <c r="A885" t="s">
        <v>1114</v>
      </c>
      <c r="B885" t="s">
        <v>123</v>
      </c>
      <c r="C885" t="s">
        <v>19</v>
      </c>
      <c r="D885" t="s">
        <v>287</v>
      </c>
      <c r="E885">
        <v>20</v>
      </c>
      <c r="F885">
        <v>5</v>
      </c>
      <c r="G885">
        <v>100</v>
      </c>
      <c r="H885" t="s">
        <v>25</v>
      </c>
      <c r="I885" t="s">
        <v>16</v>
      </c>
      <c r="J885" s="1">
        <v>44851</v>
      </c>
    </row>
    <row r="886" spans="1:11" x14ac:dyDescent="0.3">
      <c r="A886" t="s">
        <v>1115</v>
      </c>
      <c r="B886" t="s">
        <v>55</v>
      </c>
      <c r="C886" t="s">
        <v>23</v>
      </c>
      <c r="D886" t="s">
        <v>85</v>
      </c>
      <c r="E886">
        <v>33.5</v>
      </c>
      <c r="F886">
        <v>4</v>
      </c>
      <c r="G886">
        <v>134</v>
      </c>
      <c r="H886" t="s">
        <v>48</v>
      </c>
      <c r="I886" t="s">
        <v>16</v>
      </c>
      <c r="J886" s="1">
        <v>45560</v>
      </c>
      <c r="K886" t="b">
        <v>0</v>
      </c>
    </row>
    <row r="887" spans="1:11" x14ac:dyDescent="0.3">
      <c r="A887" t="s">
        <v>1116</v>
      </c>
      <c r="B887" t="s">
        <v>55</v>
      </c>
      <c r="C887" t="s">
        <v>41</v>
      </c>
      <c r="F887">
        <v>10</v>
      </c>
      <c r="G887">
        <v>110</v>
      </c>
      <c r="H887" t="s">
        <v>15</v>
      </c>
      <c r="I887" t="s">
        <v>38</v>
      </c>
      <c r="J887" s="1">
        <v>45381</v>
      </c>
    </row>
    <row r="888" spans="1:11" x14ac:dyDescent="0.3">
      <c r="A888" t="s">
        <v>1117</v>
      </c>
      <c r="B888" t="s">
        <v>27</v>
      </c>
      <c r="C888" t="s">
        <v>66</v>
      </c>
      <c r="D888" t="s">
        <v>322</v>
      </c>
      <c r="E888">
        <v>32</v>
      </c>
      <c r="F888">
        <v>6</v>
      </c>
      <c r="G888">
        <v>192</v>
      </c>
      <c r="H888" t="s">
        <v>48</v>
      </c>
      <c r="I888" t="s">
        <v>38</v>
      </c>
      <c r="J888" s="1">
        <v>44819</v>
      </c>
      <c r="K888" t="b">
        <v>0</v>
      </c>
    </row>
    <row r="889" spans="1:11" x14ac:dyDescent="0.3">
      <c r="A889" t="s">
        <v>1118</v>
      </c>
      <c r="B889" t="s">
        <v>43</v>
      </c>
      <c r="C889" t="s">
        <v>41</v>
      </c>
      <c r="D889" t="s">
        <v>1119</v>
      </c>
      <c r="E889">
        <v>30.5</v>
      </c>
      <c r="F889">
        <v>1</v>
      </c>
      <c r="G889">
        <v>30.5</v>
      </c>
      <c r="H889" t="s">
        <v>25</v>
      </c>
      <c r="I889" t="s">
        <v>16</v>
      </c>
      <c r="J889" s="1">
        <v>44956</v>
      </c>
    </row>
    <row r="890" spans="1:11" x14ac:dyDescent="0.3">
      <c r="A890" t="s">
        <v>1120</v>
      </c>
      <c r="B890" t="s">
        <v>18</v>
      </c>
      <c r="C890" t="s">
        <v>28</v>
      </c>
      <c r="D890" t="s">
        <v>205</v>
      </c>
      <c r="E890">
        <v>24.5</v>
      </c>
      <c r="F890">
        <v>8</v>
      </c>
      <c r="G890">
        <v>196</v>
      </c>
      <c r="H890" t="s">
        <v>15</v>
      </c>
      <c r="I890" t="s">
        <v>16</v>
      </c>
      <c r="J890" s="1">
        <v>44704</v>
      </c>
      <c r="K890" t="b">
        <v>0</v>
      </c>
    </row>
    <row r="891" spans="1:11" x14ac:dyDescent="0.3">
      <c r="A891" t="s">
        <v>1121</v>
      </c>
      <c r="B891" t="s">
        <v>46</v>
      </c>
      <c r="C891" t="s">
        <v>66</v>
      </c>
      <c r="D891" t="s">
        <v>367</v>
      </c>
      <c r="E891">
        <v>21.5</v>
      </c>
      <c r="F891">
        <v>6</v>
      </c>
      <c r="G891">
        <v>129</v>
      </c>
      <c r="H891" t="s">
        <v>15</v>
      </c>
      <c r="I891" t="s">
        <v>38</v>
      </c>
      <c r="J891" s="1">
        <v>44609</v>
      </c>
      <c r="K891" t="b">
        <v>0</v>
      </c>
    </row>
    <row r="892" spans="1:11" x14ac:dyDescent="0.3">
      <c r="A892" t="s">
        <v>1122</v>
      </c>
      <c r="B892" t="s">
        <v>55</v>
      </c>
      <c r="C892" t="s">
        <v>19</v>
      </c>
      <c r="D892" t="s">
        <v>540</v>
      </c>
      <c r="E892">
        <v>23</v>
      </c>
      <c r="F892">
        <v>4</v>
      </c>
      <c r="G892">
        <v>92</v>
      </c>
      <c r="H892" t="s">
        <v>25</v>
      </c>
      <c r="I892" t="s">
        <v>38</v>
      </c>
      <c r="J892" s="1">
        <v>44893</v>
      </c>
    </row>
    <row r="893" spans="1:11" x14ac:dyDescent="0.3">
      <c r="A893" t="s">
        <v>1123</v>
      </c>
      <c r="B893" t="s">
        <v>89</v>
      </c>
      <c r="C893" t="s">
        <v>130</v>
      </c>
      <c r="D893" t="s">
        <v>240</v>
      </c>
      <c r="E893">
        <v>35</v>
      </c>
      <c r="F893">
        <v>7</v>
      </c>
      <c r="G893">
        <v>245</v>
      </c>
      <c r="H893" t="s">
        <v>15</v>
      </c>
      <c r="I893" t="s">
        <v>38</v>
      </c>
      <c r="J893" s="1">
        <v>45009</v>
      </c>
      <c r="K893" t="b">
        <v>1</v>
      </c>
    </row>
    <row r="894" spans="1:11" x14ac:dyDescent="0.3">
      <c r="A894" t="s">
        <v>1124</v>
      </c>
      <c r="B894" t="s">
        <v>12</v>
      </c>
      <c r="C894" t="s">
        <v>23</v>
      </c>
      <c r="F894">
        <v>5</v>
      </c>
      <c r="G894">
        <v>115</v>
      </c>
      <c r="H894" t="s">
        <v>25</v>
      </c>
      <c r="I894" t="s">
        <v>38</v>
      </c>
      <c r="J894" s="1">
        <v>44858</v>
      </c>
    </row>
    <row r="895" spans="1:11" x14ac:dyDescent="0.3">
      <c r="A895" t="s">
        <v>1125</v>
      </c>
      <c r="B895" t="s">
        <v>12</v>
      </c>
      <c r="C895" t="s">
        <v>66</v>
      </c>
      <c r="D895" t="s">
        <v>119</v>
      </c>
      <c r="E895">
        <v>18.5</v>
      </c>
      <c r="F895">
        <v>1</v>
      </c>
      <c r="G895">
        <v>18.5</v>
      </c>
      <c r="H895" t="s">
        <v>15</v>
      </c>
      <c r="I895" t="s">
        <v>38</v>
      </c>
      <c r="J895" s="1">
        <v>44815</v>
      </c>
      <c r="K895" t="b">
        <v>1</v>
      </c>
    </row>
    <row r="896" spans="1:11" x14ac:dyDescent="0.3">
      <c r="A896" t="s">
        <v>1126</v>
      </c>
      <c r="B896" t="s">
        <v>116</v>
      </c>
      <c r="C896" t="s">
        <v>66</v>
      </c>
      <c r="D896" t="s">
        <v>643</v>
      </c>
      <c r="E896">
        <v>26</v>
      </c>
      <c r="F896">
        <v>5</v>
      </c>
      <c r="G896">
        <v>130</v>
      </c>
      <c r="H896" t="s">
        <v>25</v>
      </c>
      <c r="I896" t="s">
        <v>38</v>
      </c>
      <c r="J896" s="1">
        <v>45468</v>
      </c>
      <c r="K896" t="b">
        <v>0</v>
      </c>
    </row>
    <row r="897" spans="1:11" x14ac:dyDescent="0.3">
      <c r="A897" t="s">
        <v>1127</v>
      </c>
      <c r="B897" t="s">
        <v>31</v>
      </c>
      <c r="C897" t="s">
        <v>19</v>
      </c>
      <c r="D897" t="s">
        <v>1128</v>
      </c>
      <c r="E897">
        <v>41</v>
      </c>
      <c r="F897">
        <v>3</v>
      </c>
      <c r="G897">
        <v>123</v>
      </c>
      <c r="H897" t="s">
        <v>15</v>
      </c>
      <c r="I897" t="s">
        <v>38</v>
      </c>
      <c r="J897" s="1">
        <v>45122</v>
      </c>
      <c r="K897" t="b">
        <v>0</v>
      </c>
    </row>
    <row r="898" spans="1:11" x14ac:dyDescent="0.3">
      <c r="A898" t="s">
        <v>1129</v>
      </c>
      <c r="B898" t="s">
        <v>100</v>
      </c>
      <c r="C898" t="s">
        <v>23</v>
      </c>
      <c r="D898" t="s">
        <v>47</v>
      </c>
      <c r="E898">
        <v>36.5</v>
      </c>
      <c r="F898">
        <v>1</v>
      </c>
      <c r="G898">
        <v>36.5</v>
      </c>
      <c r="H898" t="s">
        <v>48</v>
      </c>
      <c r="I898" t="s">
        <v>38</v>
      </c>
      <c r="J898" s="1">
        <v>45388</v>
      </c>
    </row>
    <row r="899" spans="1:11" x14ac:dyDescent="0.3">
      <c r="A899" t="s">
        <v>1130</v>
      </c>
      <c r="B899" t="s">
        <v>123</v>
      </c>
      <c r="C899" t="s">
        <v>130</v>
      </c>
      <c r="D899" t="s">
        <v>427</v>
      </c>
      <c r="E899">
        <v>17</v>
      </c>
      <c r="F899">
        <v>3</v>
      </c>
      <c r="G899">
        <v>51</v>
      </c>
      <c r="H899" t="s">
        <v>15</v>
      </c>
      <c r="I899" t="s">
        <v>16</v>
      </c>
      <c r="J899" s="1">
        <v>45519</v>
      </c>
      <c r="K899" t="b">
        <v>0</v>
      </c>
    </row>
    <row r="900" spans="1:11" x14ac:dyDescent="0.3">
      <c r="A900" t="s">
        <v>1131</v>
      </c>
      <c r="B900" t="s">
        <v>55</v>
      </c>
      <c r="C900" t="s">
        <v>23</v>
      </c>
      <c r="D900" t="s">
        <v>47</v>
      </c>
      <c r="E900">
        <v>36.5</v>
      </c>
      <c r="F900">
        <v>4</v>
      </c>
      <c r="G900">
        <v>146</v>
      </c>
      <c r="H900" t="s">
        <v>15</v>
      </c>
      <c r="I900" t="s">
        <v>16</v>
      </c>
      <c r="J900" s="1">
        <v>44987</v>
      </c>
    </row>
    <row r="901" spans="1:11" x14ac:dyDescent="0.3">
      <c r="A901" t="s">
        <v>1132</v>
      </c>
      <c r="B901" t="s">
        <v>65</v>
      </c>
      <c r="C901" t="s">
        <v>13</v>
      </c>
      <c r="D901" t="s">
        <v>56</v>
      </c>
      <c r="E901">
        <v>39.5</v>
      </c>
      <c r="F901">
        <v>6</v>
      </c>
      <c r="G901">
        <v>237</v>
      </c>
      <c r="H901" t="s">
        <v>48</v>
      </c>
      <c r="I901" t="s">
        <v>16</v>
      </c>
      <c r="J901" s="1">
        <v>44575</v>
      </c>
    </row>
    <row r="902" spans="1:11" x14ac:dyDescent="0.3">
      <c r="A902" t="s">
        <v>1133</v>
      </c>
      <c r="B902" t="s">
        <v>22</v>
      </c>
      <c r="C902" t="s">
        <v>23</v>
      </c>
      <c r="D902" t="s">
        <v>306</v>
      </c>
      <c r="E902">
        <v>23</v>
      </c>
      <c r="F902">
        <v>9</v>
      </c>
      <c r="G902">
        <v>207</v>
      </c>
      <c r="H902" t="s">
        <v>25</v>
      </c>
      <c r="I902" t="s">
        <v>38</v>
      </c>
      <c r="J902" s="1">
        <v>45161</v>
      </c>
      <c r="K902" t="b">
        <v>0</v>
      </c>
    </row>
    <row r="903" spans="1:11" x14ac:dyDescent="0.3">
      <c r="A903" t="s">
        <v>1134</v>
      </c>
      <c r="B903" t="s">
        <v>168</v>
      </c>
      <c r="C903" t="s">
        <v>130</v>
      </c>
      <c r="D903" t="s">
        <v>131</v>
      </c>
      <c r="E903">
        <v>27.5</v>
      </c>
      <c r="F903">
        <v>10</v>
      </c>
      <c r="G903">
        <v>275</v>
      </c>
      <c r="H903" t="s">
        <v>48</v>
      </c>
      <c r="I903" t="s">
        <v>38</v>
      </c>
      <c r="J903" s="1">
        <v>45347</v>
      </c>
      <c r="K903" t="b">
        <v>0</v>
      </c>
    </row>
    <row r="904" spans="1:11" x14ac:dyDescent="0.3">
      <c r="A904" t="s">
        <v>1135</v>
      </c>
      <c r="B904" t="s">
        <v>43</v>
      </c>
      <c r="C904" t="s">
        <v>13</v>
      </c>
      <c r="D904" t="s">
        <v>164</v>
      </c>
      <c r="E904">
        <v>24.5</v>
      </c>
      <c r="F904">
        <v>8</v>
      </c>
      <c r="G904">
        <v>196</v>
      </c>
      <c r="H904" t="s">
        <v>25</v>
      </c>
      <c r="I904" t="s">
        <v>16</v>
      </c>
      <c r="J904" s="1">
        <v>45662</v>
      </c>
      <c r="K904" t="b">
        <v>0</v>
      </c>
    </row>
    <row r="905" spans="1:11" x14ac:dyDescent="0.3">
      <c r="A905" t="s">
        <v>1136</v>
      </c>
      <c r="B905" t="s">
        <v>89</v>
      </c>
      <c r="C905" t="s">
        <v>32</v>
      </c>
      <c r="E905">
        <v>24.5</v>
      </c>
      <c r="H905" t="s">
        <v>25</v>
      </c>
      <c r="I905" t="s">
        <v>38</v>
      </c>
      <c r="J905" s="1">
        <v>44937</v>
      </c>
      <c r="K905" t="b">
        <v>0</v>
      </c>
    </row>
    <row r="906" spans="1:11" x14ac:dyDescent="0.3">
      <c r="A906" t="s">
        <v>1137</v>
      </c>
      <c r="B906" t="s">
        <v>74</v>
      </c>
      <c r="C906" t="s">
        <v>130</v>
      </c>
      <c r="D906" t="s">
        <v>229</v>
      </c>
      <c r="E906">
        <v>18.5</v>
      </c>
      <c r="F906">
        <v>4</v>
      </c>
      <c r="G906">
        <v>74</v>
      </c>
      <c r="H906" t="s">
        <v>25</v>
      </c>
      <c r="I906" t="s">
        <v>38</v>
      </c>
      <c r="J906" s="1">
        <v>45088</v>
      </c>
    </row>
    <row r="907" spans="1:11" x14ac:dyDescent="0.3">
      <c r="A907" t="s">
        <v>1138</v>
      </c>
      <c r="B907" t="s">
        <v>116</v>
      </c>
      <c r="C907" t="s">
        <v>130</v>
      </c>
      <c r="D907" t="s">
        <v>1048</v>
      </c>
      <c r="E907">
        <v>8</v>
      </c>
      <c r="F907">
        <v>9</v>
      </c>
      <c r="G907">
        <v>72</v>
      </c>
      <c r="H907" t="s">
        <v>25</v>
      </c>
      <c r="I907" t="s">
        <v>16</v>
      </c>
      <c r="J907" s="1">
        <v>44711</v>
      </c>
      <c r="K907" t="b">
        <v>0</v>
      </c>
    </row>
    <row r="908" spans="1:11" x14ac:dyDescent="0.3">
      <c r="A908" t="s">
        <v>1139</v>
      </c>
      <c r="B908" t="s">
        <v>123</v>
      </c>
      <c r="C908" t="s">
        <v>13</v>
      </c>
      <c r="D908" t="s">
        <v>579</v>
      </c>
      <c r="E908">
        <v>32</v>
      </c>
      <c r="F908">
        <v>2</v>
      </c>
      <c r="G908">
        <v>64</v>
      </c>
      <c r="H908" t="s">
        <v>48</v>
      </c>
      <c r="I908" t="s">
        <v>16</v>
      </c>
      <c r="J908" s="1">
        <v>45089</v>
      </c>
    </row>
    <row r="909" spans="1:11" x14ac:dyDescent="0.3">
      <c r="A909" t="s">
        <v>1140</v>
      </c>
      <c r="B909" t="s">
        <v>31</v>
      </c>
      <c r="C909" t="s">
        <v>41</v>
      </c>
      <c r="D909" t="s">
        <v>87</v>
      </c>
      <c r="E909">
        <v>41</v>
      </c>
      <c r="F909">
        <v>2</v>
      </c>
      <c r="G909">
        <v>82</v>
      </c>
      <c r="H909" t="s">
        <v>48</v>
      </c>
      <c r="I909" t="s">
        <v>38</v>
      </c>
      <c r="J909" s="1">
        <v>44985</v>
      </c>
      <c r="K909" t="b">
        <v>1</v>
      </c>
    </row>
    <row r="910" spans="1:11" x14ac:dyDescent="0.3">
      <c r="A910" t="s">
        <v>1141</v>
      </c>
      <c r="B910" t="s">
        <v>36</v>
      </c>
      <c r="C910" t="s">
        <v>28</v>
      </c>
      <c r="D910" t="s">
        <v>111</v>
      </c>
      <c r="E910">
        <v>20</v>
      </c>
      <c r="F910">
        <v>3</v>
      </c>
      <c r="G910">
        <v>60</v>
      </c>
      <c r="H910" t="s">
        <v>25</v>
      </c>
      <c r="I910" t="s">
        <v>16</v>
      </c>
      <c r="J910" s="1">
        <v>45197</v>
      </c>
      <c r="K910" t="b">
        <v>0</v>
      </c>
    </row>
    <row r="911" spans="1:11" x14ac:dyDescent="0.3">
      <c r="A911" t="s">
        <v>1142</v>
      </c>
      <c r="B911" t="s">
        <v>40</v>
      </c>
      <c r="C911" t="s">
        <v>66</v>
      </c>
      <c r="D911" t="s">
        <v>67</v>
      </c>
      <c r="E911">
        <v>23</v>
      </c>
      <c r="F911">
        <v>7</v>
      </c>
      <c r="G911">
        <v>161</v>
      </c>
      <c r="H911" t="s">
        <v>25</v>
      </c>
      <c r="I911" t="s">
        <v>16</v>
      </c>
      <c r="J911" s="1">
        <v>45156</v>
      </c>
      <c r="K911" t="b">
        <v>0</v>
      </c>
    </row>
    <row r="912" spans="1:11" x14ac:dyDescent="0.3">
      <c r="A912" t="s">
        <v>1143</v>
      </c>
      <c r="B912" t="s">
        <v>46</v>
      </c>
      <c r="C912" t="s">
        <v>66</v>
      </c>
      <c r="D912" t="s">
        <v>643</v>
      </c>
      <c r="E912">
        <v>26</v>
      </c>
      <c r="F912">
        <v>5</v>
      </c>
      <c r="G912">
        <v>130</v>
      </c>
      <c r="H912" t="s">
        <v>25</v>
      </c>
      <c r="I912" t="s">
        <v>38</v>
      </c>
      <c r="J912" s="1">
        <v>45531</v>
      </c>
    </row>
    <row r="913" spans="1:11" x14ac:dyDescent="0.3">
      <c r="A913" t="s">
        <v>1144</v>
      </c>
      <c r="B913" t="s">
        <v>69</v>
      </c>
      <c r="C913" t="s">
        <v>130</v>
      </c>
      <c r="D913" t="s">
        <v>427</v>
      </c>
      <c r="E913">
        <v>17</v>
      </c>
      <c r="F913">
        <v>2</v>
      </c>
      <c r="G913">
        <v>34</v>
      </c>
      <c r="H913" t="s">
        <v>15</v>
      </c>
      <c r="I913" t="s">
        <v>38</v>
      </c>
      <c r="J913" s="1">
        <v>44644</v>
      </c>
      <c r="K913" t="b">
        <v>1</v>
      </c>
    </row>
    <row r="914" spans="1:11" x14ac:dyDescent="0.3">
      <c r="A914" t="s">
        <v>1145</v>
      </c>
      <c r="B914" t="s">
        <v>22</v>
      </c>
      <c r="C914" t="s">
        <v>28</v>
      </c>
      <c r="D914" t="s">
        <v>676</v>
      </c>
      <c r="E914">
        <v>39.5</v>
      </c>
      <c r="F914">
        <v>8</v>
      </c>
      <c r="G914">
        <v>316</v>
      </c>
      <c r="H914" t="s">
        <v>48</v>
      </c>
      <c r="I914" t="s">
        <v>16</v>
      </c>
      <c r="J914" s="1">
        <v>45116</v>
      </c>
      <c r="K914" t="b">
        <v>1</v>
      </c>
    </row>
    <row r="915" spans="1:11" x14ac:dyDescent="0.3">
      <c r="A915" t="s">
        <v>1146</v>
      </c>
      <c r="B915" t="s">
        <v>40</v>
      </c>
      <c r="C915" t="s">
        <v>66</v>
      </c>
      <c r="D915" t="s">
        <v>486</v>
      </c>
      <c r="E915">
        <v>20</v>
      </c>
      <c r="F915">
        <v>9</v>
      </c>
      <c r="G915">
        <v>180</v>
      </c>
      <c r="H915" t="s">
        <v>48</v>
      </c>
      <c r="I915" t="s">
        <v>38</v>
      </c>
      <c r="J915" s="1">
        <v>44949</v>
      </c>
      <c r="K915" t="b">
        <v>0</v>
      </c>
    </row>
    <row r="916" spans="1:11" x14ac:dyDescent="0.3">
      <c r="A916" t="s">
        <v>1147</v>
      </c>
      <c r="B916" t="s">
        <v>108</v>
      </c>
      <c r="C916" t="s">
        <v>28</v>
      </c>
      <c r="D916" t="s">
        <v>256</v>
      </c>
      <c r="E916">
        <v>32</v>
      </c>
      <c r="F916">
        <v>5</v>
      </c>
      <c r="G916">
        <v>160</v>
      </c>
      <c r="H916" t="s">
        <v>15</v>
      </c>
      <c r="I916" t="s">
        <v>16</v>
      </c>
      <c r="J916" s="1">
        <v>44719</v>
      </c>
    </row>
    <row r="917" spans="1:11" x14ac:dyDescent="0.3">
      <c r="A917" t="s">
        <v>1148</v>
      </c>
      <c r="B917" t="s">
        <v>113</v>
      </c>
      <c r="C917" t="s">
        <v>28</v>
      </c>
      <c r="D917" t="s">
        <v>308</v>
      </c>
      <c r="E917">
        <v>6.5</v>
      </c>
      <c r="F917">
        <v>3</v>
      </c>
      <c r="G917">
        <v>19.5</v>
      </c>
      <c r="H917" t="s">
        <v>48</v>
      </c>
      <c r="I917" t="s">
        <v>38</v>
      </c>
      <c r="J917" s="1">
        <v>45386</v>
      </c>
      <c r="K917" t="b">
        <v>1</v>
      </c>
    </row>
    <row r="918" spans="1:11" x14ac:dyDescent="0.3">
      <c r="A918" t="s">
        <v>1149</v>
      </c>
      <c r="B918" t="s">
        <v>77</v>
      </c>
      <c r="C918" t="s">
        <v>130</v>
      </c>
      <c r="D918" t="s">
        <v>516</v>
      </c>
      <c r="E918">
        <v>29</v>
      </c>
      <c r="F918">
        <v>10</v>
      </c>
      <c r="G918">
        <v>290</v>
      </c>
      <c r="H918" t="s">
        <v>25</v>
      </c>
      <c r="I918" t="s">
        <v>38</v>
      </c>
      <c r="J918" s="1">
        <v>44765</v>
      </c>
    </row>
    <row r="919" spans="1:11" x14ac:dyDescent="0.3">
      <c r="A919" t="s">
        <v>1150</v>
      </c>
      <c r="B919" t="s">
        <v>65</v>
      </c>
      <c r="C919" t="s">
        <v>66</v>
      </c>
      <c r="D919" t="s">
        <v>420</v>
      </c>
      <c r="E919">
        <v>41</v>
      </c>
      <c r="F919">
        <v>4</v>
      </c>
      <c r="G919">
        <v>164</v>
      </c>
      <c r="H919" t="s">
        <v>48</v>
      </c>
      <c r="I919" t="s">
        <v>38</v>
      </c>
      <c r="J919" s="1">
        <v>45258</v>
      </c>
      <c r="K919" t="b">
        <v>0</v>
      </c>
    </row>
    <row r="920" spans="1:11" x14ac:dyDescent="0.3">
      <c r="A920" t="s">
        <v>1151</v>
      </c>
      <c r="B920" t="s">
        <v>65</v>
      </c>
      <c r="C920" t="s">
        <v>19</v>
      </c>
      <c r="D920" t="s">
        <v>142</v>
      </c>
      <c r="E920">
        <v>32</v>
      </c>
      <c r="F920">
        <v>8</v>
      </c>
      <c r="G920">
        <v>256</v>
      </c>
      <c r="H920" t="s">
        <v>25</v>
      </c>
      <c r="I920" t="s">
        <v>38</v>
      </c>
      <c r="J920" s="1">
        <v>45191</v>
      </c>
      <c r="K920" t="b">
        <v>0</v>
      </c>
    </row>
    <row r="921" spans="1:11" x14ac:dyDescent="0.3">
      <c r="A921" t="s">
        <v>1152</v>
      </c>
      <c r="B921" t="s">
        <v>98</v>
      </c>
      <c r="C921" t="s">
        <v>32</v>
      </c>
      <c r="D921" t="s">
        <v>78</v>
      </c>
      <c r="E921">
        <v>18.5</v>
      </c>
      <c r="F921">
        <v>6</v>
      </c>
      <c r="G921">
        <v>111</v>
      </c>
      <c r="H921" t="s">
        <v>15</v>
      </c>
      <c r="I921" t="s">
        <v>16</v>
      </c>
      <c r="J921" s="1">
        <v>44875</v>
      </c>
      <c r="K921" t="b">
        <v>1</v>
      </c>
    </row>
    <row r="922" spans="1:11" x14ac:dyDescent="0.3">
      <c r="A922" t="s">
        <v>1153</v>
      </c>
      <c r="B922" t="s">
        <v>100</v>
      </c>
      <c r="C922" t="s">
        <v>23</v>
      </c>
      <c r="F922">
        <v>1</v>
      </c>
      <c r="G922">
        <v>6.5</v>
      </c>
      <c r="H922" t="s">
        <v>25</v>
      </c>
      <c r="I922" t="s">
        <v>16</v>
      </c>
      <c r="J922" s="1">
        <v>45484</v>
      </c>
      <c r="K922" t="b">
        <v>1</v>
      </c>
    </row>
    <row r="923" spans="1:11" x14ac:dyDescent="0.3">
      <c r="A923" t="s">
        <v>1154</v>
      </c>
      <c r="B923" t="s">
        <v>36</v>
      </c>
      <c r="C923" t="s">
        <v>32</v>
      </c>
      <c r="D923" t="s">
        <v>170</v>
      </c>
      <c r="E923">
        <v>30.5</v>
      </c>
      <c r="F923">
        <v>5</v>
      </c>
      <c r="G923">
        <v>152.5</v>
      </c>
      <c r="H923" t="s">
        <v>48</v>
      </c>
      <c r="I923" t="s">
        <v>38</v>
      </c>
      <c r="J923" s="1">
        <v>44661</v>
      </c>
      <c r="K923" t="b">
        <v>1</v>
      </c>
    </row>
    <row r="924" spans="1:11" x14ac:dyDescent="0.3">
      <c r="A924" t="s">
        <v>1155</v>
      </c>
      <c r="B924" t="s">
        <v>43</v>
      </c>
      <c r="C924" t="s">
        <v>23</v>
      </c>
      <c r="D924" t="s">
        <v>47</v>
      </c>
      <c r="E924">
        <v>36.5</v>
      </c>
      <c r="F924">
        <v>7</v>
      </c>
      <c r="G924">
        <v>255.5</v>
      </c>
      <c r="H924" t="s">
        <v>25</v>
      </c>
      <c r="I924" t="s">
        <v>38</v>
      </c>
      <c r="J924" s="1">
        <v>44944</v>
      </c>
      <c r="K924" t="b">
        <v>1</v>
      </c>
    </row>
    <row r="925" spans="1:11" x14ac:dyDescent="0.3">
      <c r="A925" t="s">
        <v>1156</v>
      </c>
      <c r="B925" t="s">
        <v>69</v>
      </c>
      <c r="C925" t="s">
        <v>130</v>
      </c>
      <c r="D925" t="s">
        <v>275</v>
      </c>
      <c r="E925">
        <v>6.5</v>
      </c>
      <c r="F925">
        <v>10</v>
      </c>
      <c r="G925">
        <v>65</v>
      </c>
      <c r="H925" t="s">
        <v>48</v>
      </c>
      <c r="I925" t="s">
        <v>16</v>
      </c>
      <c r="J925" s="1">
        <v>45672</v>
      </c>
      <c r="K925" t="b">
        <v>0</v>
      </c>
    </row>
    <row r="926" spans="1:11" x14ac:dyDescent="0.3">
      <c r="A926" t="s">
        <v>1157</v>
      </c>
      <c r="B926" t="s">
        <v>84</v>
      </c>
      <c r="C926" t="s">
        <v>32</v>
      </c>
      <c r="D926" t="s">
        <v>482</v>
      </c>
      <c r="E926">
        <v>23</v>
      </c>
      <c r="F926">
        <v>2</v>
      </c>
      <c r="G926">
        <v>46</v>
      </c>
      <c r="H926" t="s">
        <v>25</v>
      </c>
      <c r="I926" t="s">
        <v>16</v>
      </c>
      <c r="J926" s="1">
        <v>44613</v>
      </c>
      <c r="K926" t="b">
        <v>1</v>
      </c>
    </row>
    <row r="927" spans="1:11" x14ac:dyDescent="0.3">
      <c r="A927" t="s">
        <v>1158</v>
      </c>
      <c r="B927" t="s">
        <v>36</v>
      </c>
      <c r="C927" t="s">
        <v>32</v>
      </c>
      <c r="E927">
        <v>8</v>
      </c>
      <c r="H927" t="s">
        <v>25</v>
      </c>
      <c r="I927" t="s">
        <v>16</v>
      </c>
      <c r="J927" s="1">
        <v>45189</v>
      </c>
    </row>
    <row r="928" spans="1:11" x14ac:dyDescent="0.3">
      <c r="A928" t="s">
        <v>1159</v>
      </c>
      <c r="B928" t="s">
        <v>31</v>
      </c>
      <c r="C928" t="s">
        <v>41</v>
      </c>
      <c r="D928" t="s">
        <v>1119</v>
      </c>
      <c r="E928">
        <v>30.5</v>
      </c>
      <c r="F928">
        <v>8</v>
      </c>
      <c r="G928">
        <v>244</v>
      </c>
      <c r="H928" t="s">
        <v>25</v>
      </c>
      <c r="I928" t="s">
        <v>16</v>
      </c>
      <c r="J928" s="1">
        <v>44700</v>
      </c>
      <c r="K928" t="b">
        <v>0</v>
      </c>
    </row>
    <row r="929" spans="1:11" x14ac:dyDescent="0.3">
      <c r="A929" t="s">
        <v>1160</v>
      </c>
      <c r="B929" t="s">
        <v>168</v>
      </c>
      <c r="C929" t="s">
        <v>130</v>
      </c>
      <c r="D929" t="s">
        <v>229</v>
      </c>
      <c r="E929">
        <v>18.5</v>
      </c>
      <c r="F929">
        <v>9</v>
      </c>
      <c r="G929">
        <v>166.5</v>
      </c>
      <c r="H929" t="s">
        <v>48</v>
      </c>
      <c r="I929" t="s">
        <v>16</v>
      </c>
      <c r="J929" s="1">
        <v>44966</v>
      </c>
    </row>
    <row r="930" spans="1:11" x14ac:dyDescent="0.3">
      <c r="A930" t="s">
        <v>1161</v>
      </c>
      <c r="B930" t="s">
        <v>27</v>
      </c>
      <c r="C930" t="s">
        <v>32</v>
      </c>
      <c r="D930" t="s">
        <v>126</v>
      </c>
      <c r="E930">
        <v>8</v>
      </c>
      <c r="F930">
        <v>1</v>
      </c>
      <c r="G930">
        <v>8</v>
      </c>
      <c r="H930" t="s">
        <v>15</v>
      </c>
      <c r="I930" t="s">
        <v>38</v>
      </c>
      <c r="J930" s="1">
        <v>45379</v>
      </c>
    </row>
    <row r="931" spans="1:11" x14ac:dyDescent="0.3">
      <c r="A931" t="s">
        <v>1162</v>
      </c>
      <c r="B931" t="s">
        <v>31</v>
      </c>
      <c r="C931" t="s">
        <v>66</v>
      </c>
      <c r="D931" t="s">
        <v>67</v>
      </c>
      <c r="E931">
        <v>23</v>
      </c>
      <c r="F931">
        <v>9</v>
      </c>
      <c r="G931">
        <v>207</v>
      </c>
      <c r="H931" t="s">
        <v>48</v>
      </c>
      <c r="I931" t="s">
        <v>16</v>
      </c>
      <c r="J931" s="1">
        <v>44621</v>
      </c>
      <c r="K931" t="b">
        <v>1</v>
      </c>
    </row>
    <row r="932" spans="1:11" x14ac:dyDescent="0.3">
      <c r="A932" t="s">
        <v>1163</v>
      </c>
      <c r="B932" t="s">
        <v>22</v>
      </c>
      <c r="C932" t="s">
        <v>28</v>
      </c>
      <c r="E932">
        <v>33.5</v>
      </c>
      <c r="H932" t="s">
        <v>15</v>
      </c>
      <c r="I932" t="s">
        <v>38</v>
      </c>
      <c r="J932" s="1">
        <v>44663</v>
      </c>
      <c r="K932" t="b">
        <v>1</v>
      </c>
    </row>
    <row r="933" spans="1:11" x14ac:dyDescent="0.3">
      <c r="A933" t="s">
        <v>1164</v>
      </c>
      <c r="B933" t="s">
        <v>22</v>
      </c>
      <c r="C933" t="s">
        <v>23</v>
      </c>
      <c r="D933" t="s">
        <v>1165</v>
      </c>
      <c r="E933">
        <v>9.5</v>
      </c>
      <c r="F933">
        <v>5</v>
      </c>
      <c r="G933">
        <v>47.5</v>
      </c>
      <c r="H933" t="s">
        <v>25</v>
      </c>
      <c r="I933" t="s">
        <v>38</v>
      </c>
      <c r="J933" s="1">
        <v>45005</v>
      </c>
      <c r="K933" t="b">
        <v>0</v>
      </c>
    </row>
    <row r="934" spans="1:11" x14ac:dyDescent="0.3">
      <c r="A934" t="s">
        <v>1166</v>
      </c>
      <c r="B934" t="s">
        <v>69</v>
      </c>
      <c r="C934" t="s">
        <v>66</v>
      </c>
      <c r="D934" t="s">
        <v>464</v>
      </c>
      <c r="E934">
        <v>11</v>
      </c>
      <c r="F934">
        <v>8</v>
      </c>
      <c r="G934">
        <v>88</v>
      </c>
      <c r="H934" t="s">
        <v>48</v>
      </c>
      <c r="I934" t="s">
        <v>16</v>
      </c>
      <c r="J934" s="1">
        <v>44765</v>
      </c>
      <c r="K934" t="b">
        <v>1</v>
      </c>
    </row>
    <row r="935" spans="1:11" x14ac:dyDescent="0.3">
      <c r="A935" t="s">
        <v>1167</v>
      </c>
      <c r="B935" t="s">
        <v>46</v>
      </c>
      <c r="C935" t="s">
        <v>28</v>
      </c>
      <c r="D935" t="s">
        <v>104</v>
      </c>
      <c r="E935">
        <v>41</v>
      </c>
      <c r="F935">
        <v>4</v>
      </c>
      <c r="G935">
        <v>164</v>
      </c>
      <c r="H935" t="s">
        <v>25</v>
      </c>
      <c r="I935" t="s">
        <v>16</v>
      </c>
      <c r="J935" s="1">
        <v>44793</v>
      </c>
      <c r="K935" t="b">
        <v>0</v>
      </c>
    </row>
    <row r="936" spans="1:11" x14ac:dyDescent="0.3">
      <c r="A936" t="s">
        <v>1168</v>
      </c>
      <c r="B936" t="s">
        <v>69</v>
      </c>
      <c r="C936" t="s">
        <v>23</v>
      </c>
      <c r="D936" t="s">
        <v>135</v>
      </c>
      <c r="E936">
        <v>27.5</v>
      </c>
      <c r="F936">
        <v>5</v>
      </c>
      <c r="G936">
        <v>137.5</v>
      </c>
      <c r="H936" t="s">
        <v>25</v>
      </c>
      <c r="I936" t="s">
        <v>16</v>
      </c>
      <c r="J936" s="1">
        <v>45096</v>
      </c>
      <c r="K936" t="b">
        <v>1</v>
      </c>
    </row>
    <row r="937" spans="1:11" x14ac:dyDescent="0.3">
      <c r="A937" t="s">
        <v>1169</v>
      </c>
      <c r="B937" t="s">
        <v>84</v>
      </c>
      <c r="C937" t="s">
        <v>23</v>
      </c>
      <c r="D937" t="s">
        <v>121</v>
      </c>
      <c r="E937">
        <v>39.5</v>
      </c>
      <c r="F937">
        <v>6</v>
      </c>
      <c r="G937">
        <v>237</v>
      </c>
      <c r="H937" t="s">
        <v>48</v>
      </c>
      <c r="I937" t="s">
        <v>38</v>
      </c>
      <c r="J937" s="1">
        <v>44574</v>
      </c>
    </row>
    <row r="938" spans="1:11" x14ac:dyDescent="0.3">
      <c r="A938" t="s">
        <v>1170</v>
      </c>
      <c r="B938" t="s">
        <v>74</v>
      </c>
      <c r="C938" t="s">
        <v>41</v>
      </c>
      <c r="D938" t="s">
        <v>303</v>
      </c>
      <c r="E938">
        <v>15.5</v>
      </c>
      <c r="F938">
        <v>7</v>
      </c>
      <c r="G938">
        <v>108.5</v>
      </c>
      <c r="H938" t="s">
        <v>25</v>
      </c>
      <c r="I938" t="s">
        <v>16</v>
      </c>
      <c r="J938" s="1">
        <v>45214</v>
      </c>
      <c r="K938" t="b">
        <v>1</v>
      </c>
    </row>
    <row r="939" spans="1:11" x14ac:dyDescent="0.3">
      <c r="A939" t="s">
        <v>1171</v>
      </c>
      <c r="B939" t="s">
        <v>123</v>
      </c>
      <c r="C939" t="s">
        <v>23</v>
      </c>
      <c r="D939" t="s">
        <v>1098</v>
      </c>
      <c r="E939">
        <v>18.5</v>
      </c>
      <c r="F939">
        <v>6</v>
      </c>
      <c r="G939">
        <v>111</v>
      </c>
      <c r="H939" t="s">
        <v>48</v>
      </c>
      <c r="I939" t="s">
        <v>16</v>
      </c>
      <c r="J939" s="1">
        <v>44759</v>
      </c>
    </row>
    <row r="940" spans="1:11" x14ac:dyDescent="0.3">
      <c r="A940" t="s">
        <v>1172</v>
      </c>
      <c r="B940" t="s">
        <v>100</v>
      </c>
      <c r="C940" t="s">
        <v>32</v>
      </c>
      <c r="D940" t="s">
        <v>128</v>
      </c>
      <c r="E940">
        <v>21.5</v>
      </c>
      <c r="F940">
        <v>4</v>
      </c>
      <c r="G940">
        <v>86</v>
      </c>
      <c r="H940" t="s">
        <v>48</v>
      </c>
      <c r="I940" t="s">
        <v>38</v>
      </c>
      <c r="J940" s="1">
        <v>45639</v>
      </c>
      <c r="K940" t="b">
        <v>0</v>
      </c>
    </row>
    <row r="941" spans="1:11" x14ac:dyDescent="0.3">
      <c r="A941" t="s">
        <v>1173</v>
      </c>
      <c r="B941" t="s">
        <v>100</v>
      </c>
      <c r="C941" t="s">
        <v>41</v>
      </c>
      <c r="D941" t="s">
        <v>144</v>
      </c>
      <c r="E941">
        <v>38</v>
      </c>
      <c r="F941">
        <v>10</v>
      </c>
      <c r="G941">
        <v>380</v>
      </c>
      <c r="H941" t="s">
        <v>15</v>
      </c>
      <c r="I941" t="s">
        <v>16</v>
      </c>
      <c r="J941" s="1">
        <v>45360</v>
      </c>
      <c r="K941" t="b">
        <v>0</v>
      </c>
    </row>
    <row r="942" spans="1:11" x14ac:dyDescent="0.3">
      <c r="A942" t="s">
        <v>1174</v>
      </c>
      <c r="B942" t="s">
        <v>40</v>
      </c>
      <c r="C942" t="s">
        <v>66</v>
      </c>
      <c r="D942" t="s">
        <v>346</v>
      </c>
      <c r="E942">
        <v>33.5</v>
      </c>
      <c r="F942">
        <v>6</v>
      </c>
      <c r="G942">
        <v>201</v>
      </c>
      <c r="H942" t="s">
        <v>48</v>
      </c>
      <c r="I942" t="s">
        <v>38</v>
      </c>
      <c r="J942" s="1">
        <v>44915</v>
      </c>
    </row>
    <row r="943" spans="1:11" x14ac:dyDescent="0.3">
      <c r="A943" t="s">
        <v>1175</v>
      </c>
      <c r="B943" t="s">
        <v>18</v>
      </c>
      <c r="C943" t="s">
        <v>130</v>
      </c>
      <c r="D943" t="s">
        <v>139</v>
      </c>
      <c r="E943">
        <v>11</v>
      </c>
      <c r="F943">
        <v>10</v>
      </c>
      <c r="G943">
        <v>110</v>
      </c>
      <c r="H943" t="s">
        <v>25</v>
      </c>
      <c r="I943" t="s">
        <v>16</v>
      </c>
      <c r="J943" s="1">
        <v>45187</v>
      </c>
      <c r="K943" t="b">
        <v>0</v>
      </c>
    </row>
    <row r="944" spans="1:11" x14ac:dyDescent="0.3">
      <c r="A944" t="s">
        <v>1176</v>
      </c>
      <c r="B944" t="s">
        <v>116</v>
      </c>
      <c r="C944" t="s">
        <v>32</v>
      </c>
      <c r="D944" t="s">
        <v>237</v>
      </c>
      <c r="E944">
        <v>17</v>
      </c>
      <c r="F944">
        <v>6</v>
      </c>
      <c r="G944">
        <v>102</v>
      </c>
      <c r="H944" t="s">
        <v>25</v>
      </c>
      <c r="I944" t="s">
        <v>16</v>
      </c>
      <c r="J944" s="1">
        <v>44614</v>
      </c>
    </row>
    <row r="945" spans="1:11" x14ac:dyDescent="0.3">
      <c r="A945" t="s">
        <v>1177</v>
      </c>
      <c r="B945" t="s">
        <v>43</v>
      </c>
      <c r="C945" t="s">
        <v>23</v>
      </c>
      <c r="D945" t="s">
        <v>227</v>
      </c>
      <c r="E945">
        <v>15.5</v>
      </c>
      <c r="F945">
        <v>1</v>
      </c>
      <c r="G945">
        <v>15.5</v>
      </c>
      <c r="H945" t="s">
        <v>48</v>
      </c>
      <c r="I945" t="s">
        <v>16</v>
      </c>
      <c r="J945" s="1">
        <v>45631</v>
      </c>
      <c r="K945" t="b">
        <v>1</v>
      </c>
    </row>
    <row r="946" spans="1:11" x14ac:dyDescent="0.3">
      <c r="A946" t="s">
        <v>1178</v>
      </c>
      <c r="B946" t="s">
        <v>46</v>
      </c>
      <c r="C946" t="s">
        <v>130</v>
      </c>
      <c r="D946" t="s">
        <v>326</v>
      </c>
      <c r="E946">
        <v>30.5</v>
      </c>
      <c r="F946">
        <v>6</v>
      </c>
      <c r="G946">
        <v>183</v>
      </c>
      <c r="H946" t="s">
        <v>48</v>
      </c>
      <c r="I946" t="s">
        <v>16</v>
      </c>
      <c r="J946" s="1">
        <v>44812</v>
      </c>
    </row>
    <row r="947" spans="1:11" x14ac:dyDescent="0.3">
      <c r="A947" t="s">
        <v>1179</v>
      </c>
      <c r="B947" t="s">
        <v>89</v>
      </c>
      <c r="C947" t="s">
        <v>32</v>
      </c>
      <c r="D947" t="s">
        <v>160</v>
      </c>
      <c r="E947">
        <v>36.5</v>
      </c>
      <c r="F947">
        <v>9</v>
      </c>
      <c r="G947">
        <v>328.5</v>
      </c>
      <c r="H947" t="s">
        <v>48</v>
      </c>
      <c r="I947" t="s">
        <v>16</v>
      </c>
      <c r="J947" s="1">
        <v>45137</v>
      </c>
      <c r="K947" t="b">
        <v>1</v>
      </c>
    </row>
    <row r="948" spans="1:11" x14ac:dyDescent="0.3">
      <c r="A948" t="s">
        <v>1180</v>
      </c>
      <c r="B948" t="s">
        <v>31</v>
      </c>
      <c r="C948" t="s">
        <v>28</v>
      </c>
      <c r="D948" t="s">
        <v>513</v>
      </c>
      <c r="E948">
        <v>18.5</v>
      </c>
      <c r="F948">
        <v>1</v>
      </c>
      <c r="G948">
        <v>18.5</v>
      </c>
      <c r="H948" t="s">
        <v>48</v>
      </c>
      <c r="I948" t="s">
        <v>16</v>
      </c>
      <c r="J948" s="1">
        <v>45613</v>
      </c>
      <c r="K948" t="b">
        <v>1</v>
      </c>
    </row>
    <row r="949" spans="1:11" x14ac:dyDescent="0.3">
      <c r="A949" t="s">
        <v>1181</v>
      </c>
      <c r="B949" t="s">
        <v>22</v>
      </c>
      <c r="C949" t="s">
        <v>28</v>
      </c>
      <c r="E949">
        <v>15.5</v>
      </c>
      <c r="H949" t="s">
        <v>15</v>
      </c>
      <c r="I949" t="s">
        <v>16</v>
      </c>
      <c r="J949" s="1">
        <v>45338</v>
      </c>
    </row>
    <row r="950" spans="1:11" x14ac:dyDescent="0.3">
      <c r="A950" t="s">
        <v>1182</v>
      </c>
      <c r="B950" t="s">
        <v>69</v>
      </c>
      <c r="C950" t="s">
        <v>19</v>
      </c>
      <c r="D950" t="s">
        <v>1070</v>
      </c>
      <c r="E950">
        <v>14</v>
      </c>
      <c r="F950">
        <v>8</v>
      </c>
      <c r="G950">
        <v>112</v>
      </c>
      <c r="H950" t="s">
        <v>15</v>
      </c>
      <c r="I950" t="s">
        <v>16</v>
      </c>
      <c r="J950" s="1">
        <v>45276</v>
      </c>
      <c r="K950" t="b">
        <v>0</v>
      </c>
    </row>
    <row r="951" spans="1:11" x14ac:dyDescent="0.3">
      <c r="A951" t="s">
        <v>1183</v>
      </c>
      <c r="B951" t="s">
        <v>108</v>
      </c>
      <c r="C951" t="s">
        <v>32</v>
      </c>
      <c r="D951" t="s">
        <v>498</v>
      </c>
      <c r="E951">
        <v>29</v>
      </c>
      <c r="F951">
        <v>6</v>
      </c>
      <c r="G951">
        <v>174</v>
      </c>
      <c r="H951" t="s">
        <v>48</v>
      </c>
      <c r="I951" t="s">
        <v>38</v>
      </c>
      <c r="J951" s="1">
        <v>45258</v>
      </c>
      <c r="K951" t="b">
        <v>0</v>
      </c>
    </row>
    <row r="952" spans="1:11" x14ac:dyDescent="0.3">
      <c r="A952" t="s">
        <v>1184</v>
      </c>
      <c r="B952" t="s">
        <v>36</v>
      </c>
      <c r="C952" t="s">
        <v>32</v>
      </c>
      <c r="F952">
        <v>9</v>
      </c>
      <c r="G952">
        <v>207</v>
      </c>
      <c r="H952" t="s">
        <v>48</v>
      </c>
      <c r="I952" t="s">
        <v>38</v>
      </c>
      <c r="J952" s="1">
        <v>45633</v>
      </c>
      <c r="K952" t="b">
        <v>0</v>
      </c>
    </row>
    <row r="953" spans="1:11" x14ac:dyDescent="0.3">
      <c r="A953" t="s">
        <v>1185</v>
      </c>
      <c r="B953" t="s">
        <v>63</v>
      </c>
      <c r="C953" t="s">
        <v>23</v>
      </c>
      <c r="D953" t="s">
        <v>938</v>
      </c>
      <c r="E953">
        <v>20</v>
      </c>
      <c r="F953">
        <v>9</v>
      </c>
      <c r="G953">
        <v>180</v>
      </c>
      <c r="H953" t="s">
        <v>15</v>
      </c>
      <c r="I953" t="s">
        <v>38</v>
      </c>
      <c r="J953" s="1">
        <v>45278</v>
      </c>
      <c r="K953" t="b">
        <v>1</v>
      </c>
    </row>
    <row r="954" spans="1:11" x14ac:dyDescent="0.3">
      <c r="A954" t="s">
        <v>1186</v>
      </c>
      <c r="B954" t="s">
        <v>69</v>
      </c>
      <c r="C954" t="s">
        <v>19</v>
      </c>
      <c r="E954">
        <v>8</v>
      </c>
      <c r="H954" t="s">
        <v>15</v>
      </c>
      <c r="I954" t="s">
        <v>38</v>
      </c>
      <c r="J954" s="1">
        <v>45104</v>
      </c>
      <c r="K954" t="b">
        <v>0</v>
      </c>
    </row>
    <row r="955" spans="1:11" x14ac:dyDescent="0.3">
      <c r="A955" t="s">
        <v>1187</v>
      </c>
      <c r="B955" t="s">
        <v>63</v>
      </c>
      <c r="C955" t="s">
        <v>13</v>
      </c>
      <c r="D955" t="s">
        <v>178</v>
      </c>
      <c r="E955">
        <v>14</v>
      </c>
      <c r="F955">
        <v>3</v>
      </c>
      <c r="G955">
        <v>42</v>
      </c>
      <c r="H955" t="s">
        <v>48</v>
      </c>
      <c r="I955" t="s">
        <v>16</v>
      </c>
      <c r="J955" s="1">
        <v>45564</v>
      </c>
      <c r="K955" t="b">
        <v>1</v>
      </c>
    </row>
    <row r="956" spans="1:11" x14ac:dyDescent="0.3">
      <c r="A956" t="s">
        <v>1188</v>
      </c>
      <c r="B956" t="s">
        <v>123</v>
      </c>
      <c r="C956" t="s">
        <v>28</v>
      </c>
      <c r="E956">
        <v>21.5</v>
      </c>
      <c r="H956" t="s">
        <v>48</v>
      </c>
      <c r="I956" t="s">
        <v>16</v>
      </c>
      <c r="J956" s="1">
        <v>45147</v>
      </c>
      <c r="K956" t="b">
        <v>1</v>
      </c>
    </row>
    <row r="957" spans="1:11" x14ac:dyDescent="0.3">
      <c r="A957" t="s">
        <v>1189</v>
      </c>
      <c r="B957" t="s">
        <v>100</v>
      </c>
      <c r="C957" t="s">
        <v>41</v>
      </c>
      <c r="D957" t="s">
        <v>594</v>
      </c>
      <c r="E957">
        <v>33.5</v>
      </c>
      <c r="F957">
        <v>3</v>
      </c>
      <c r="G957">
        <v>100.5</v>
      </c>
      <c r="H957" t="s">
        <v>25</v>
      </c>
      <c r="I957" t="s">
        <v>16</v>
      </c>
      <c r="J957" s="1">
        <v>45379</v>
      </c>
    </row>
    <row r="958" spans="1:11" x14ac:dyDescent="0.3">
      <c r="A958" t="s">
        <v>1190</v>
      </c>
      <c r="B958" t="s">
        <v>113</v>
      </c>
      <c r="C958" t="s">
        <v>32</v>
      </c>
      <c r="F958">
        <v>5</v>
      </c>
      <c r="G958">
        <v>55</v>
      </c>
      <c r="H958" t="s">
        <v>25</v>
      </c>
      <c r="I958" t="s">
        <v>38</v>
      </c>
      <c r="J958" s="1">
        <v>44844</v>
      </c>
      <c r="K958" t="b">
        <v>0</v>
      </c>
    </row>
    <row r="959" spans="1:11" x14ac:dyDescent="0.3">
      <c r="A959" t="s">
        <v>1191</v>
      </c>
      <c r="B959" t="s">
        <v>113</v>
      </c>
      <c r="C959" t="s">
        <v>32</v>
      </c>
      <c r="D959" t="s">
        <v>409</v>
      </c>
      <c r="E959">
        <v>11</v>
      </c>
      <c r="F959">
        <v>10</v>
      </c>
      <c r="G959">
        <v>110</v>
      </c>
      <c r="H959" t="s">
        <v>48</v>
      </c>
      <c r="I959" t="s">
        <v>38</v>
      </c>
      <c r="J959" s="1">
        <v>45184</v>
      </c>
      <c r="K959" t="b">
        <v>0</v>
      </c>
    </row>
    <row r="960" spans="1:11" x14ac:dyDescent="0.3">
      <c r="A960" t="s">
        <v>1192</v>
      </c>
      <c r="B960" t="s">
        <v>123</v>
      </c>
      <c r="C960" t="s">
        <v>13</v>
      </c>
      <c r="D960" t="s">
        <v>166</v>
      </c>
      <c r="E960">
        <v>21.5</v>
      </c>
      <c r="F960">
        <v>5</v>
      </c>
      <c r="G960">
        <v>107.5</v>
      </c>
      <c r="H960" t="s">
        <v>48</v>
      </c>
      <c r="I960" t="s">
        <v>16</v>
      </c>
      <c r="J960" s="1">
        <v>45659</v>
      </c>
      <c r="K960" t="b">
        <v>0</v>
      </c>
    </row>
    <row r="961" spans="1:11" x14ac:dyDescent="0.3">
      <c r="A961" t="s">
        <v>1193</v>
      </c>
      <c r="B961" t="s">
        <v>22</v>
      </c>
      <c r="C961" t="s">
        <v>28</v>
      </c>
      <c r="D961" t="s">
        <v>124</v>
      </c>
      <c r="E961">
        <v>15.5</v>
      </c>
      <c r="F961">
        <v>7</v>
      </c>
      <c r="G961">
        <v>108.5</v>
      </c>
      <c r="H961" t="s">
        <v>25</v>
      </c>
      <c r="I961" t="s">
        <v>16</v>
      </c>
      <c r="J961" s="1">
        <v>45533</v>
      </c>
      <c r="K961" t="b">
        <v>1</v>
      </c>
    </row>
    <row r="962" spans="1:11" x14ac:dyDescent="0.3">
      <c r="A962" t="s">
        <v>1194</v>
      </c>
      <c r="B962" t="s">
        <v>46</v>
      </c>
      <c r="C962" t="s">
        <v>66</v>
      </c>
      <c r="D962" t="s">
        <v>420</v>
      </c>
      <c r="E962">
        <v>41</v>
      </c>
      <c r="F962">
        <v>5</v>
      </c>
      <c r="G962">
        <v>205</v>
      </c>
      <c r="H962" t="s">
        <v>25</v>
      </c>
      <c r="I962" t="s">
        <v>38</v>
      </c>
      <c r="J962" s="1">
        <v>45654</v>
      </c>
      <c r="K962" t="b">
        <v>1</v>
      </c>
    </row>
    <row r="963" spans="1:11" x14ac:dyDescent="0.3">
      <c r="A963" t="s">
        <v>1195</v>
      </c>
      <c r="B963" t="s">
        <v>113</v>
      </c>
      <c r="C963" t="s">
        <v>41</v>
      </c>
      <c r="D963" t="s">
        <v>81</v>
      </c>
      <c r="E963">
        <v>24.5</v>
      </c>
      <c r="F963">
        <v>2</v>
      </c>
      <c r="G963">
        <v>49</v>
      </c>
      <c r="H963" t="s">
        <v>15</v>
      </c>
      <c r="I963" t="s">
        <v>38</v>
      </c>
      <c r="J963" s="1">
        <v>44680</v>
      </c>
    </row>
    <row r="964" spans="1:11" x14ac:dyDescent="0.3">
      <c r="A964" t="s">
        <v>1196</v>
      </c>
      <c r="B964" t="s">
        <v>113</v>
      </c>
      <c r="C964" t="s">
        <v>19</v>
      </c>
      <c r="D964" t="s">
        <v>210</v>
      </c>
      <c r="E964">
        <v>9.5</v>
      </c>
      <c r="F964">
        <v>10</v>
      </c>
      <c r="G964">
        <v>95</v>
      </c>
      <c r="H964" t="s">
        <v>25</v>
      </c>
      <c r="I964" t="s">
        <v>16</v>
      </c>
      <c r="J964" s="1">
        <v>45009</v>
      </c>
    </row>
    <row r="965" spans="1:11" x14ac:dyDescent="0.3">
      <c r="A965" t="s">
        <v>1197</v>
      </c>
      <c r="B965" t="s">
        <v>168</v>
      </c>
      <c r="C965" t="s">
        <v>32</v>
      </c>
      <c r="D965" t="s">
        <v>33</v>
      </c>
      <c r="E965">
        <v>12.5</v>
      </c>
      <c r="F965">
        <v>8</v>
      </c>
      <c r="G965">
        <v>100</v>
      </c>
      <c r="H965" t="s">
        <v>48</v>
      </c>
      <c r="I965" t="s">
        <v>16</v>
      </c>
      <c r="J965" s="1">
        <v>45254</v>
      </c>
      <c r="K965" t="b">
        <v>1</v>
      </c>
    </row>
    <row r="966" spans="1:11" x14ac:dyDescent="0.3">
      <c r="A966" t="s">
        <v>1198</v>
      </c>
      <c r="B966" t="s">
        <v>89</v>
      </c>
      <c r="C966" t="s">
        <v>19</v>
      </c>
      <c r="D966" t="s">
        <v>284</v>
      </c>
      <c r="E966">
        <v>8</v>
      </c>
      <c r="F966">
        <v>1</v>
      </c>
      <c r="G966">
        <v>8</v>
      </c>
      <c r="H966" t="s">
        <v>48</v>
      </c>
      <c r="I966" t="s">
        <v>38</v>
      </c>
      <c r="J966" s="1">
        <v>44713</v>
      </c>
      <c r="K966" t="b">
        <v>1</v>
      </c>
    </row>
    <row r="967" spans="1:11" x14ac:dyDescent="0.3">
      <c r="A967" t="s">
        <v>1199</v>
      </c>
      <c r="B967" t="s">
        <v>77</v>
      </c>
      <c r="C967" t="s">
        <v>23</v>
      </c>
      <c r="F967">
        <v>8</v>
      </c>
      <c r="G967">
        <v>64</v>
      </c>
      <c r="H967" t="s">
        <v>48</v>
      </c>
      <c r="I967" t="s">
        <v>16</v>
      </c>
      <c r="J967" s="1">
        <v>44631</v>
      </c>
      <c r="K967" t="b">
        <v>0</v>
      </c>
    </row>
    <row r="968" spans="1:11" x14ac:dyDescent="0.3">
      <c r="A968" t="s">
        <v>1200</v>
      </c>
      <c r="B968" t="s">
        <v>77</v>
      </c>
      <c r="C968" t="s">
        <v>23</v>
      </c>
      <c r="F968">
        <v>8</v>
      </c>
      <c r="G968">
        <v>172</v>
      </c>
      <c r="H968" t="s">
        <v>25</v>
      </c>
      <c r="I968" t="s">
        <v>16</v>
      </c>
      <c r="J968" s="1">
        <v>44585</v>
      </c>
      <c r="K968" t="b">
        <v>1</v>
      </c>
    </row>
    <row r="969" spans="1:11" x14ac:dyDescent="0.3">
      <c r="A969" t="s">
        <v>1201</v>
      </c>
      <c r="B969" t="s">
        <v>80</v>
      </c>
      <c r="C969" t="s">
        <v>130</v>
      </c>
      <c r="D969" t="s">
        <v>427</v>
      </c>
      <c r="E969">
        <v>17</v>
      </c>
      <c r="F969">
        <v>8</v>
      </c>
      <c r="G969">
        <v>136</v>
      </c>
      <c r="H969" t="s">
        <v>15</v>
      </c>
      <c r="I969" t="s">
        <v>16</v>
      </c>
      <c r="J969" s="1">
        <v>45338</v>
      </c>
      <c r="K969" t="b">
        <v>0</v>
      </c>
    </row>
    <row r="970" spans="1:11" x14ac:dyDescent="0.3">
      <c r="A970" t="s">
        <v>1202</v>
      </c>
      <c r="B970" t="s">
        <v>43</v>
      </c>
      <c r="C970" t="s">
        <v>32</v>
      </c>
      <c r="D970" t="s">
        <v>365</v>
      </c>
      <c r="E970">
        <v>41</v>
      </c>
      <c r="F970">
        <v>3</v>
      </c>
      <c r="G970">
        <v>123</v>
      </c>
      <c r="H970" t="s">
        <v>15</v>
      </c>
      <c r="I970" t="s">
        <v>38</v>
      </c>
      <c r="J970" s="1">
        <v>45559</v>
      </c>
      <c r="K970" t="b">
        <v>0</v>
      </c>
    </row>
    <row r="971" spans="1:11" x14ac:dyDescent="0.3">
      <c r="A971" t="s">
        <v>1203</v>
      </c>
      <c r="B971" t="s">
        <v>108</v>
      </c>
      <c r="C971" t="s">
        <v>32</v>
      </c>
      <c r="D971" t="s">
        <v>128</v>
      </c>
      <c r="E971">
        <v>21.5</v>
      </c>
      <c r="F971">
        <v>5</v>
      </c>
      <c r="G971">
        <v>107.5</v>
      </c>
      <c r="H971" t="s">
        <v>48</v>
      </c>
      <c r="I971" t="s">
        <v>16</v>
      </c>
      <c r="J971" s="1">
        <v>45048</v>
      </c>
      <c r="K971" t="b">
        <v>0</v>
      </c>
    </row>
    <row r="972" spans="1:11" x14ac:dyDescent="0.3">
      <c r="A972" t="s">
        <v>1204</v>
      </c>
      <c r="B972" t="s">
        <v>43</v>
      </c>
      <c r="C972" t="s">
        <v>13</v>
      </c>
      <c r="E972">
        <v>38</v>
      </c>
      <c r="H972" t="s">
        <v>48</v>
      </c>
      <c r="I972" t="s">
        <v>38</v>
      </c>
      <c r="J972" s="1">
        <v>45428</v>
      </c>
      <c r="K972" t="b">
        <v>0</v>
      </c>
    </row>
    <row r="973" spans="1:11" x14ac:dyDescent="0.3">
      <c r="A973" t="s">
        <v>1205</v>
      </c>
      <c r="B973" t="s">
        <v>84</v>
      </c>
      <c r="C973" t="s">
        <v>130</v>
      </c>
      <c r="D973" t="s">
        <v>621</v>
      </c>
      <c r="E973">
        <v>21.5</v>
      </c>
      <c r="F973">
        <v>7</v>
      </c>
      <c r="G973">
        <v>150.5</v>
      </c>
      <c r="H973" t="s">
        <v>25</v>
      </c>
      <c r="I973" t="s">
        <v>38</v>
      </c>
      <c r="J973" s="1">
        <v>44939</v>
      </c>
    </row>
    <row r="974" spans="1:11" x14ac:dyDescent="0.3">
      <c r="A974" t="s">
        <v>1206</v>
      </c>
      <c r="B974" t="s">
        <v>123</v>
      </c>
      <c r="C974" t="s">
        <v>23</v>
      </c>
      <c r="D974" t="s">
        <v>383</v>
      </c>
      <c r="E974">
        <v>41</v>
      </c>
      <c r="F974">
        <v>5</v>
      </c>
      <c r="G974">
        <v>205</v>
      </c>
      <c r="H974" t="s">
        <v>48</v>
      </c>
      <c r="I974" t="s">
        <v>16</v>
      </c>
      <c r="J974" s="1">
        <v>44838</v>
      </c>
      <c r="K974" t="b">
        <v>1</v>
      </c>
    </row>
    <row r="975" spans="1:11" x14ac:dyDescent="0.3">
      <c r="A975" t="s">
        <v>1207</v>
      </c>
      <c r="B975" t="s">
        <v>168</v>
      </c>
      <c r="C975" t="s">
        <v>41</v>
      </c>
      <c r="D975" t="s">
        <v>87</v>
      </c>
      <c r="E975">
        <v>41</v>
      </c>
      <c r="F975">
        <v>9</v>
      </c>
      <c r="G975">
        <v>369</v>
      </c>
      <c r="H975" t="s">
        <v>15</v>
      </c>
      <c r="I975" t="s">
        <v>16</v>
      </c>
      <c r="J975" s="1">
        <v>45623</v>
      </c>
    </row>
    <row r="976" spans="1:11" x14ac:dyDescent="0.3">
      <c r="A976" t="s">
        <v>1208</v>
      </c>
      <c r="B976" t="s">
        <v>22</v>
      </c>
      <c r="C976" t="s">
        <v>41</v>
      </c>
      <c r="D976" t="s">
        <v>146</v>
      </c>
      <c r="E976">
        <v>14</v>
      </c>
      <c r="F976">
        <v>1</v>
      </c>
      <c r="G976">
        <v>14</v>
      </c>
      <c r="H976" t="s">
        <v>15</v>
      </c>
      <c r="I976" t="s">
        <v>16</v>
      </c>
      <c r="J976" s="1">
        <v>45578</v>
      </c>
      <c r="K976" t="b">
        <v>0</v>
      </c>
    </row>
    <row r="977" spans="1:11" x14ac:dyDescent="0.3">
      <c r="A977" t="s">
        <v>1209</v>
      </c>
      <c r="B977" t="s">
        <v>46</v>
      </c>
      <c r="C977" t="s">
        <v>28</v>
      </c>
      <c r="D977" t="s">
        <v>478</v>
      </c>
      <c r="E977">
        <v>8</v>
      </c>
      <c r="F977">
        <v>10</v>
      </c>
      <c r="G977">
        <v>80</v>
      </c>
      <c r="H977" t="s">
        <v>15</v>
      </c>
      <c r="I977" t="s">
        <v>16</v>
      </c>
      <c r="J977" s="1">
        <v>44745</v>
      </c>
      <c r="K977" t="b">
        <v>1</v>
      </c>
    </row>
    <row r="978" spans="1:11" x14ac:dyDescent="0.3">
      <c r="A978" t="s">
        <v>1210</v>
      </c>
      <c r="B978" t="s">
        <v>63</v>
      </c>
      <c r="C978" t="s">
        <v>130</v>
      </c>
      <c r="D978" t="s">
        <v>621</v>
      </c>
      <c r="E978">
        <v>21.5</v>
      </c>
      <c r="F978">
        <v>5</v>
      </c>
      <c r="G978">
        <v>107.5</v>
      </c>
      <c r="H978" t="s">
        <v>15</v>
      </c>
      <c r="I978" t="s">
        <v>16</v>
      </c>
      <c r="J978" s="1">
        <v>45496</v>
      </c>
      <c r="K978" t="b">
        <v>1</v>
      </c>
    </row>
    <row r="979" spans="1:11" x14ac:dyDescent="0.3">
      <c r="A979" t="s">
        <v>1211</v>
      </c>
      <c r="B979" t="s">
        <v>63</v>
      </c>
      <c r="C979" t="s">
        <v>41</v>
      </c>
      <c r="D979" t="s">
        <v>81</v>
      </c>
      <c r="E979">
        <v>24.5</v>
      </c>
      <c r="F979">
        <v>8</v>
      </c>
      <c r="G979">
        <v>196</v>
      </c>
      <c r="H979" t="s">
        <v>48</v>
      </c>
      <c r="I979" t="s">
        <v>16</v>
      </c>
      <c r="J979" s="1">
        <v>44566</v>
      </c>
      <c r="K979" t="b">
        <v>1</v>
      </c>
    </row>
    <row r="980" spans="1:11" x14ac:dyDescent="0.3">
      <c r="A980" t="s">
        <v>1212</v>
      </c>
      <c r="B980" t="s">
        <v>22</v>
      </c>
      <c r="C980" t="s">
        <v>13</v>
      </c>
      <c r="D980" t="s">
        <v>796</v>
      </c>
      <c r="E980">
        <v>38</v>
      </c>
      <c r="F980">
        <v>9</v>
      </c>
      <c r="G980">
        <v>342</v>
      </c>
      <c r="H980" t="s">
        <v>25</v>
      </c>
      <c r="I980" t="s">
        <v>16</v>
      </c>
      <c r="J980" s="1">
        <v>45472</v>
      </c>
    </row>
    <row r="981" spans="1:11" x14ac:dyDescent="0.3">
      <c r="A981" t="s">
        <v>1213</v>
      </c>
      <c r="B981" t="s">
        <v>123</v>
      </c>
      <c r="C981" t="s">
        <v>130</v>
      </c>
      <c r="D981" t="s">
        <v>212</v>
      </c>
      <c r="E981">
        <v>14</v>
      </c>
      <c r="F981">
        <v>9</v>
      </c>
      <c r="G981">
        <v>126</v>
      </c>
      <c r="H981" t="s">
        <v>25</v>
      </c>
      <c r="I981" t="s">
        <v>38</v>
      </c>
      <c r="J981" s="1">
        <v>45078</v>
      </c>
      <c r="K981" t="b">
        <v>0</v>
      </c>
    </row>
    <row r="982" spans="1:11" x14ac:dyDescent="0.3">
      <c r="A982" t="s">
        <v>1214</v>
      </c>
      <c r="B982" t="s">
        <v>77</v>
      </c>
      <c r="C982" t="s">
        <v>28</v>
      </c>
      <c r="D982" t="s">
        <v>308</v>
      </c>
      <c r="E982">
        <v>6.5</v>
      </c>
      <c r="F982">
        <v>10</v>
      </c>
      <c r="G982">
        <v>65</v>
      </c>
      <c r="H982" t="s">
        <v>48</v>
      </c>
      <c r="I982" t="s">
        <v>38</v>
      </c>
      <c r="J982" s="1">
        <v>45173</v>
      </c>
    </row>
    <row r="983" spans="1:11" x14ac:dyDescent="0.3">
      <c r="A983" t="s">
        <v>1215</v>
      </c>
      <c r="B983" t="s">
        <v>46</v>
      </c>
      <c r="C983" t="s">
        <v>66</v>
      </c>
      <c r="D983" t="s">
        <v>246</v>
      </c>
      <c r="E983">
        <v>15.5</v>
      </c>
      <c r="F983">
        <v>2</v>
      </c>
      <c r="G983">
        <v>31</v>
      </c>
      <c r="H983" t="s">
        <v>25</v>
      </c>
      <c r="I983" t="s">
        <v>38</v>
      </c>
      <c r="J983" s="1">
        <v>44876</v>
      </c>
    </row>
    <row r="984" spans="1:11" x14ac:dyDescent="0.3">
      <c r="A984" t="s">
        <v>1216</v>
      </c>
      <c r="B984" t="s">
        <v>43</v>
      </c>
      <c r="C984" t="s">
        <v>66</v>
      </c>
      <c r="D984" t="s">
        <v>369</v>
      </c>
      <c r="E984">
        <v>36.5</v>
      </c>
      <c r="F984">
        <v>5</v>
      </c>
      <c r="G984">
        <v>182.5</v>
      </c>
      <c r="H984" t="s">
        <v>15</v>
      </c>
      <c r="I984" t="s">
        <v>16</v>
      </c>
      <c r="J984" s="1">
        <v>45671</v>
      </c>
      <c r="K984" t="b">
        <v>1</v>
      </c>
    </row>
    <row r="985" spans="1:11" x14ac:dyDescent="0.3">
      <c r="A985" t="s">
        <v>1217</v>
      </c>
      <c r="B985" t="s">
        <v>84</v>
      </c>
      <c r="C985" t="s">
        <v>66</v>
      </c>
      <c r="D985" t="s">
        <v>420</v>
      </c>
      <c r="E985">
        <v>41</v>
      </c>
      <c r="F985">
        <v>1</v>
      </c>
      <c r="G985">
        <v>41</v>
      </c>
      <c r="H985" t="s">
        <v>25</v>
      </c>
      <c r="I985" t="s">
        <v>38</v>
      </c>
      <c r="J985" s="1">
        <v>45387</v>
      </c>
      <c r="K985" t="b">
        <v>0</v>
      </c>
    </row>
    <row r="986" spans="1:11" x14ac:dyDescent="0.3">
      <c r="A986" t="s">
        <v>1218</v>
      </c>
      <c r="B986" t="s">
        <v>43</v>
      </c>
      <c r="C986" t="s">
        <v>13</v>
      </c>
      <c r="F986">
        <v>8</v>
      </c>
      <c r="G986">
        <v>304</v>
      </c>
      <c r="H986" t="s">
        <v>15</v>
      </c>
      <c r="I986" t="s">
        <v>38</v>
      </c>
      <c r="J986" s="1">
        <v>44727</v>
      </c>
    </row>
    <row r="987" spans="1:11" x14ac:dyDescent="0.3">
      <c r="A987" t="s">
        <v>1219</v>
      </c>
      <c r="B987" t="s">
        <v>63</v>
      </c>
      <c r="C987" t="s">
        <v>23</v>
      </c>
      <c r="D987" t="s">
        <v>24</v>
      </c>
      <c r="E987">
        <v>21.5</v>
      </c>
      <c r="F987">
        <v>4</v>
      </c>
      <c r="G987">
        <v>86</v>
      </c>
      <c r="H987" t="s">
        <v>48</v>
      </c>
      <c r="I987" t="s">
        <v>16</v>
      </c>
      <c r="J987" s="1">
        <v>44814</v>
      </c>
      <c r="K987" t="b">
        <v>0</v>
      </c>
    </row>
    <row r="988" spans="1:11" x14ac:dyDescent="0.3">
      <c r="A988" t="s">
        <v>1220</v>
      </c>
      <c r="B988" t="s">
        <v>116</v>
      </c>
      <c r="C988" t="s">
        <v>19</v>
      </c>
      <c r="F988">
        <v>8</v>
      </c>
      <c r="G988">
        <v>112</v>
      </c>
      <c r="H988" t="s">
        <v>15</v>
      </c>
      <c r="I988" t="s">
        <v>38</v>
      </c>
      <c r="J988" s="1">
        <v>45191</v>
      </c>
      <c r="K988" t="b">
        <v>1</v>
      </c>
    </row>
    <row r="989" spans="1:11" x14ac:dyDescent="0.3">
      <c r="A989" t="s">
        <v>1221</v>
      </c>
      <c r="B989" t="s">
        <v>123</v>
      </c>
      <c r="C989" t="s">
        <v>130</v>
      </c>
      <c r="D989" t="s">
        <v>621</v>
      </c>
      <c r="E989">
        <v>21.5</v>
      </c>
      <c r="F989">
        <v>5</v>
      </c>
      <c r="G989">
        <v>107.5</v>
      </c>
      <c r="H989" t="s">
        <v>15</v>
      </c>
      <c r="I989" t="s">
        <v>38</v>
      </c>
      <c r="J989" s="1">
        <v>45350</v>
      </c>
    </row>
    <row r="990" spans="1:11" x14ac:dyDescent="0.3">
      <c r="A990" t="s">
        <v>1222</v>
      </c>
      <c r="B990" t="s">
        <v>98</v>
      </c>
      <c r="C990" t="s">
        <v>19</v>
      </c>
      <c r="D990" t="s">
        <v>391</v>
      </c>
      <c r="E990">
        <v>6.5</v>
      </c>
      <c r="F990">
        <v>10</v>
      </c>
      <c r="G990">
        <v>65</v>
      </c>
      <c r="H990" t="s">
        <v>25</v>
      </c>
      <c r="I990" t="s">
        <v>38</v>
      </c>
      <c r="J990" s="1">
        <v>45476</v>
      </c>
      <c r="K990" t="b">
        <v>1</v>
      </c>
    </row>
    <row r="991" spans="1:11" x14ac:dyDescent="0.3">
      <c r="A991" t="s">
        <v>1223</v>
      </c>
      <c r="B991" t="s">
        <v>63</v>
      </c>
      <c r="C991" t="s">
        <v>32</v>
      </c>
      <c r="E991">
        <v>39.5</v>
      </c>
      <c r="H991" t="s">
        <v>48</v>
      </c>
      <c r="I991" t="s">
        <v>38</v>
      </c>
      <c r="J991" s="1">
        <v>44804</v>
      </c>
      <c r="K991" t="b">
        <v>0</v>
      </c>
    </row>
    <row r="992" spans="1:11" x14ac:dyDescent="0.3">
      <c r="A992" t="s">
        <v>1224</v>
      </c>
      <c r="B992" t="s">
        <v>46</v>
      </c>
      <c r="C992" t="s">
        <v>66</v>
      </c>
      <c r="D992" t="s">
        <v>215</v>
      </c>
      <c r="E992">
        <v>12.5</v>
      </c>
      <c r="F992">
        <v>1</v>
      </c>
      <c r="G992">
        <v>12.5</v>
      </c>
      <c r="H992" t="s">
        <v>15</v>
      </c>
      <c r="I992" t="s">
        <v>38</v>
      </c>
      <c r="J992" s="1">
        <v>45446</v>
      </c>
    </row>
    <row r="993" spans="1:11" x14ac:dyDescent="0.3">
      <c r="A993" t="s">
        <v>1225</v>
      </c>
      <c r="B993" t="s">
        <v>40</v>
      </c>
      <c r="C993" t="s">
        <v>41</v>
      </c>
      <c r="D993" t="s">
        <v>199</v>
      </c>
      <c r="E993">
        <v>39.5</v>
      </c>
      <c r="F993">
        <v>2</v>
      </c>
      <c r="G993">
        <v>79</v>
      </c>
      <c r="H993" t="s">
        <v>15</v>
      </c>
      <c r="I993" t="s">
        <v>38</v>
      </c>
      <c r="J993" s="1">
        <v>45014</v>
      </c>
      <c r="K993" t="b">
        <v>0</v>
      </c>
    </row>
    <row r="994" spans="1:11" x14ac:dyDescent="0.3">
      <c r="A994" t="s">
        <v>1226</v>
      </c>
      <c r="B994" t="s">
        <v>31</v>
      </c>
      <c r="C994" t="s">
        <v>13</v>
      </c>
      <c r="D994" t="s">
        <v>656</v>
      </c>
      <c r="E994">
        <v>11</v>
      </c>
      <c r="F994">
        <v>5</v>
      </c>
      <c r="G994">
        <v>55</v>
      </c>
      <c r="H994" t="s">
        <v>25</v>
      </c>
      <c r="I994" t="s">
        <v>38</v>
      </c>
      <c r="J994" s="1">
        <v>45030</v>
      </c>
      <c r="K994" t="b">
        <v>0</v>
      </c>
    </row>
    <row r="995" spans="1:11" x14ac:dyDescent="0.3">
      <c r="A995" t="s">
        <v>1227</v>
      </c>
      <c r="B995" t="s">
        <v>43</v>
      </c>
      <c r="C995" t="s">
        <v>66</v>
      </c>
      <c r="D995" t="s">
        <v>346</v>
      </c>
      <c r="E995">
        <v>33.5</v>
      </c>
      <c r="F995">
        <v>3</v>
      </c>
      <c r="G995">
        <v>100.5</v>
      </c>
      <c r="H995" t="s">
        <v>48</v>
      </c>
      <c r="I995" t="s">
        <v>16</v>
      </c>
      <c r="J995" s="1">
        <v>44874</v>
      </c>
    </row>
    <row r="996" spans="1:11" x14ac:dyDescent="0.3">
      <c r="A996" t="s">
        <v>1228</v>
      </c>
      <c r="B996" t="s">
        <v>55</v>
      </c>
      <c r="C996" t="s">
        <v>28</v>
      </c>
      <c r="D996" t="s">
        <v>71</v>
      </c>
      <c r="E996">
        <v>14</v>
      </c>
      <c r="F996">
        <v>6</v>
      </c>
      <c r="G996">
        <v>84</v>
      </c>
      <c r="H996" t="s">
        <v>25</v>
      </c>
      <c r="I996" t="s">
        <v>16</v>
      </c>
      <c r="J996" s="1">
        <v>45560</v>
      </c>
      <c r="K996" t="b">
        <v>0</v>
      </c>
    </row>
    <row r="997" spans="1:11" x14ac:dyDescent="0.3">
      <c r="A997" t="s">
        <v>1229</v>
      </c>
      <c r="B997" t="s">
        <v>36</v>
      </c>
      <c r="C997" t="s">
        <v>32</v>
      </c>
      <c r="D997" t="s">
        <v>90</v>
      </c>
      <c r="E997">
        <v>24.5</v>
      </c>
      <c r="F997">
        <v>7</v>
      </c>
      <c r="G997">
        <v>171.5</v>
      </c>
      <c r="H997" t="s">
        <v>15</v>
      </c>
      <c r="I997" t="s">
        <v>38</v>
      </c>
      <c r="J997" s="1">
        <v>45343</v>
      </c>
    </row>
    <row r="998" spans="1:11" x14ac:dyDescent="0.3">
      <c r="A998" t="s">
        <v>1230</v>
      </c>
      <c r="B998" t="s">
        <v>116</v>
      </c>
      <c r="C998" t="s">
        <v>66</v>
      </c>
      <c r="D998" t="s">
        <v>101</v>
      </c>
      <c r="E998">
        <v>35</v>
      </c>
      <c r="F998">
        <v>5</v>
      </c>
      <c r="G998">
        <v>175</v>
      </c>
      <c r="H998" t="s">
        <v>48</v>
      </c>
      <c r="I998" t="s">
        <v>38</v>
      </c>
      <c r="J998" s="1">
        <v>45126</v>
      </c>
      <c r="K998" t="b">
        <v>1</v>
      </c>
    </row>
    <row r="999" spans="1:11" x14ac:dyDescent="0.3">
      <c r="A999" t="s">
        <v>1231</v>
      </c>
      <c r="B999" t="s">
        <v>84</v>
      </c>
      <c r="C999" t="s">
        <v>19</v>
      </c>
      <c r="D999" t="s">
        <v>58</v>
      </c>
      <c r="E999">
        <v>27.5</v>
      </c>
      <c r="F999">
        <v>2</v>
      </c>
      <c r="G999">
        <v>55</v>
      </c>
      <c r="H999" t="s">
        <v>15</v>
      </c>
      <c r="I999" t="s">
        <v>16</v>
      </c>
      <c r="J999" s="1">
        <v>45431</v>
      </c>
      <c r="K999" t="b">
        <v>0</v>
      </c>
    </row>
    <row r="1000" spans="1:11" x14ac:dyDescent="0.3">
      <c r="A1000" t="s">
        <v>1232</v>
      </c>
      <c r="B1000" t="s">
        <v>63</v>
      </c>
      <c r="C1000" t="s">
        <v>23</v>
      </c>
      <c r="D1000" t="s">
        <v>47</v>
      </c>
      <c r="E1000">
        <v>36.5</v>
      </c>
      <c r="F1000">
        <v>4</v>
      </c>
      <c r="G1000">
        <v>146</v>
      </c>
      <c r="H1000" t="s">
        <v>48</v>
      </c>
      <c r="I1000" t="s">
        <v>16</v>
      </c>
      <c r="J1000" s="1">
        <v>44722</v>
      </c>
      <c r="K1000" t="b">
        <v>1</v>
      </c>
    </row>
    <row r="1001" spans="1:11" x14ac:dyDescent="0.3">
      <c r="J1001" s="1"/>
    </row>
    <row r="1002" spans="1:11" x14ac:dyDescent="0.3">
      <c r="J1002" s="1"/>
    </row>
    <row r="1003" spans="1:11" x14ac:dyDescent="0.3">
      <c r="J1003" s="1"/>
    </row>
    <row r="1004" spans="1:11" x14ac:dyDescent="0.3">
      <c r="J1004" s="1"/>
    </row>
    <row r="1005" spans="1:11" x14ac:dyDescent="0.3">
      <c r="J1005" s="1"/>
    </row>
    <row r="1006" spans="1:11" x14ac:dyDescent="0.3">
      <c r="J1006" s="1"/>
    </row>
    <row r="1007" spans="1:11" x14ac:dyDescent="0.3">
      <c r="J1007" s="1"/>
    </row>
    <row r="1008" spans="1:11" x14ac:dyDescent="0.3">
      <c r="J1008" s="1"/>
    </row>
    <row r="1009" spans="10:10" x14ac:dyDescent="0.3">
      <c r="J1009" s="1"/>
    </row>
    <row r="1010" spans="10:10" x14ac:dyDescent="0.3">
      <c r="J1010" s="1"/>
    </row>
    <row r="1011" spans="10:10" x14ac:dyDescent="0.3">
      <c r="J1011" s="1"/>
    </row>
    <row r="1012" spans="10:10" x14ac:dyDescent="0.3">
      <c r="J1012" s="1"/>
    </row>
    <row r="1013" spans="10:10" x14ac:dyDescent="0.3">
      <c r="J1013" s="1"/>
    </row>
    <row r="1014" spans="10:10" x14ac:dyDescent="0.3">
      <c r="J1014" s="1"/>
    </row>
    <row r="1015" spans="10:10" x14ac:dyDescent="0.3">
      <c r="J1015" s="1"/>
    </row>
    <row r="1016" spans="10:10" x14ac:dyDescent="0.3">
      <c r="J1016" s="1"/>
    </row>
    <row r="1017" spans="10:10" x14ac:dyDescent="0.3">
      <c r="J1017" s="1"/>
    </row>
    <row r="1018" spans="10:10" x14ac:dyDescent="0.3">
      <c r="J1018" s="1"/>
    </row>
    <row r="1019" spans="10:10" x14ac:dyDescent="0.3">
      <c r="J1019" s="1"/>
    </row>
    <row r="1020" spans="10:10" x14ac:dyDescent="0.3">
      <c r="J1020" s="1"/>
    </row>
    <row r="1021" spans="10:10" x14ac:dyDescent="0.3">
      <c r="J1021" s="1"/>
    </row>
    <row r="1022" spans="10:10" x14ac:dyDescent="0.3">
      <c r="J1022" s="1"/>
    </row>
    <row r="1023" spans="10:10" x14ac:dyDescent="0.3">
      <c r="J1023" s="1"/>
    </row>
    <row r="1024" spans="10:10" x14ac:dyDescent="0.3">
      <c r="J1024" s="1"/>
    </row>
    <row r="1025" spans="10:10" x14ac:dyDescent="0.3">
      <c r="J1025" s="1"/>
    </row>
    <row r="1026" spans="10:10" x14ac:dyDescent="0.3">
      <c r="J1026" s="1"/>
    </row>
    <row r="1027" spans="10:10" x14ac:dyDescent="0.3">
      <c r="J1027" s="1"/>
    </row>
    <row r="1028" spans="10:10" x14ac:dyDescent="0.3">
      <c r="J1028" s="1"/>
    </row>
    <row r="1029" spans="10:10" x14ac:dyDescent="0.3">
      <c r="J1029" s="1"/>
    </row>
    <row r="1030" spans="10:10" x14ac:dyDescent="0.3">
      <c r="J1030" s="1"/>
    </row>
    <row r="1031" spans="10:10" x14ac:dyDescent="0.3">
      <c r="J1031" s="1"/>
    </row>
    <row r="1032" spans="10:10" x14ac:dyDescent="0.3">
      <c r="J1032" s="1"/>
    </row>
    <row r="1033" spans="10:10" x14ac:dyDescent="0.3">
      <c r="J1033" s="1"/>
    </row>
    <row r="1034" spans="10:10" x14ac:dyDescent="0.3">
      <c r="J1034" s="1"/>
    </row>
    <row r="1035" spans="10:10" x14ac:dyDescent="0.3">
      <c r="J1035" s="1"/>
    </row>
    <row r="1036" spans="10:10" x14ac:dyDescent="0.3">
      <c r="J1036" s="1"/>
    </row>
    <row r="1037" spans="10:10" x14ac:dyDescent="0.3">
      <c r="J1037" s="1"/>
    </row>
    <row r="1038" spans="10:10" x14ac:dyDescent="0.3">
      <c r="J1038" s="1"/>
    </row>
    <row r="1039" spans="10:10" x14ac:dyDescent="0.3">
      <c r="J1039" s="1"/>
    </row>
    <row r="1040" spans="10:10" x14ac:dyDescent="0.3">
      <c r="J1040" s="1"/>
    </row>
    <row r="1041" spans="10:10" x14ac:dyDescent="0.3">
      <c r="J1041" s="1"/>
    </row>
    <row r="1042" spans="10:10" x14ac:dyDescent="0.3">
      <c r="J1042" s="1"/>
    </row>
    <row r="1043" spans="10:10" x14ac:dyDescent="0.3">
      <c r="J1043" s="1"/>
    </row>
    <row r="1044" spans="10:10" x14ac:dyDescent="0.3">
      <c r="J1044" s="1"/>
    </row>
    <row r="1045" spans="10:10" x14ac:dyDescent="0.3">
      <c r="J1045" s="1"/>
    </row>
    <row r="1046" spans="10:10" x14ac:dyDescent="0.3">
      <c r="J1046" s="1"/>
    </row>
    <row r="1047" spans="10:10" x14ac:dyDescent="0.3">
      <c r="J1047" s="1"/>
    </row>
    <row r="1048" spans="10:10" x14ac:dyDescent="0.3">
      <c r="J1048" s="1"/>
    </row>
    <row r="1049" spans="10:10" x14ac:dyDescent="0.3">
      <c r="J1049" s="1"/>
    </row>
    <row r="1050" spans="10:10" x14ac:dyDescent="0.3">
      <c r="J1050" s="1"/>
    </row>
    <row r="1051" spans="10:10" x14ac:dyDescent="0.3">
      <c r="J1051" s="1"/>
    </row>
    <row r="1052" spans="10:10" x14ac:dyDescent="0.3">
      <c r="J1052" s="1"/>
    </row>
    <row r="1053" spans="10:10" x14ac:dyDescent="0.3">
      <c r="J1053" s="1"/>
    </row>
    <row r="1054" spans="10:10" x14ac:dyDescent="0.3">
      <c r="J1054" s="1"/>
    </row>
    <row r="1055" spans="10:10" x14ac:dyDescent="0.3">
      <c r="J1055" s="1"/>
    </row>
    <row r="1056" spans="10:10" x14ac:dyDescent="0.3">
      <c r="J1056" s="1"/>
    </row>
    <row r="1057" spans="10:10" x14ac:dyDescent="0.3">
      <c r="J1057" s="1"/>
    </row>
    <row r="1058" spans="10:10" x14ac:dyDescent="0.3">
      <c r="J1058" s="1"/>
    </row>
    <row r="1059" spans="10:10" x14ac:dyDescent="0.3">
      <c r="J1059" s="1"/>
    </row>
    <row r="1060" spans="10:10" x14ac:dyDescent="0.3">
      <c r="J1060" s="1"/>
    </row>
    <row r="1061" spans="10:10" x14ac:dyDescent="0.3">
      <c r="J1061" s="1"/>
    </row>
    <row r="1062" spans="10:10" x14ac:dyDescent="0.3">
      <c r="J1062" s="1"/>
    </row>
    <row r="1063" spans="10:10" x14ac:dyDescent="0.3">
      <c r="J1063" s="1"/>
    </row>
    <row r="1064" spans="10:10" x14ac:dyDescent="0.3">
      <c r="J1064" s="1"/>
    </row>
    <row r="1065" spans="10:10" x14ac:dyDescent="0.3">
      <c r="J1065" s="1"/>
    </row>
    <row r="1066" spans="10:10" x14ac:dyDescent="0.3">
      <c r="J1066" s="1"/>
    </row>
    <row r="1067" spans="10:10" x14ac:dyDescent="0.3">
      <c r="J1067" s="1"/>
    </row>
    <row r="1068" spans="10:10" x14ac:dyDescent="0.3">
      <c r="J1068" s="1"/>
    </row>
    <row r="1069" spans="10:10" x14ac:dyDescent="0.3">
      <c r="J1069" s="1"/>
    </row>
    <row r="1070" spans="10:10" x14ac:dyDescent="0.3">
      <c r="J1070" s="1"/>
    </row>
    <row r="1071" spans="10:10" x14ac:dyDescent="0.3">
      <c r="J1071" s="1"/>
    </row>
    <row r="1072" spans="10:10" x14ac:dyDescent="0.3">
      <c r="J1072" s="1"/>
    </row>
    <row r="1073" spans="10:10" x14ac:dyDescent="0.3">
      <c r="J1073" s="1"/>
    </row>
    <row r="1074" spans="10:10" x14ac:dyDescent="0.3">
      <c r="J1074" s="1"/>
    </row>
    <row r="1075" spans="10:10" x14ac:dyDescent="0.3">
      <c r="J1075" s="1"/>
    </row>
    <row r="1076" spans="10:10" x14ac:dyDescent="0.3">
      <c r="J1076" s="1"/>
    </row>
    <row r="1077" spans="10:10" x14ac:dyDescent="0.3">
      <c r="J1077" s="1"/>
    </row>
    <row r="1078" spans="10:10" x14ac:dyDescent="0.3">
      <c r="J1078" s="1"/>
    </row>
    <row r="1079" spans="10:10" x14ac:dyDescent="0.3">
      <c r="J1079" s="1"/>
    </row>
    <row r="1080" spans="10:10" x14ac:dyDescent="0.3">
      <c r="J1080" s="1"/>
    </row>
    <row r="1081" spans="10:10" x14ac:dyDescent="0.3">
      <c r="J1081" s="1"/>
    </row>
    <row r="1082" spans="10:10" x14ac:dyDescent="0.3">
      <c r="J1082" s="1"/>
    </row>
    <row r="1083" spans="10:10" x14ac:dyDescent="0.3">
      <c r="J1083" s="1"/>
    </row>
    <row r="1084" spans="10:10" x14ac:dyDescent="0.3">
      <c r="J1084" s="1"/>
    </row>
    <row r="1085" spans="10:10" x14ac:dyDescent="0.3">
      <c r="J1085" s="1"/>
    </row>
    <row r="1086" spans="10:10" x14ac:dyDescent="0.3">
      <c r="J1086" s="1"/>
    </row>
    <row r="1087" spans="10:10" x14ac:dyDescent="0.3">
      <c r="J1087" s="1"/>
    </row>
    <row r="1088" spans="10:10" x14ac:dyDescent="0.3">
      <c r="J1088" s="1"/>
    </row>
    <row r="1089" spans="10:10" x14ac:dyDescent="0.3">
      <c r="J1089" s="1"/>
    </row>
    <row r="1090" spans="10:10" x14ac:dyDescent="0.3">
      <c r="J1090" s="1"/>
    </row>
    <row r="1091" spans="10:10" x14ac:dyDescent="0.3">
      <c r="J1091" s="1"/>
    </row>
    <row r="1092" spans="10:10" x14ac:dyDescent="0.3">
      <c r="J1092" s="1"/>
    </row>
    <row r="1093" spans="10:10" x14ac:dyDescent="0.3">
      <c r="J1093" s="1"/>
    </row>
    <row r="1094" spans="10:10" x14ac:dyDescent="0.3">
      <c r="J1094" s="1"/>
    </row>
    <row r="1095" spans="10:10" x14ac:dyDescent="0.3">
      <c r="J1095" s="1"/>
    </row>
    <row r="1096" spans="10:10" x14ac:dyDescent="0.3">
      <c r="J1096" s="1"/>
    </row>
    <row r="1097" spans="10:10" x14ac:dyDescent="0.3">
      <c r="J1097" s="1"/>
    </row>
    <row r="1098" spans="10:10" x14ac:dyDescent="0.3">
      <c r="J1098" s="1"/>
    </row>
    <row r="1099" spans="10:10" x14ac:dyDescent="0.3">
      <c r="J1099" s="1"/>
    </row>
    <row r="1100" spans="10:10" x14ac:dyDescent="0.3">
      <c r="J1100" s="1"/>
    </row>
    <row r="1101" spans="10:10" x14ac:dyDescent="0.3">
      <c r="J1101" s="1"/>
    </row>
    <row r="1102" spans="10:10" x14ac:dyDescent="0.3">
      <c r="J1102" s="1"/>
    </row>
    <row r="1103" spans="10:10" x14ac:dyDescent="0.3">
      <c r="J1103" s="1"/>
    </row>
    <row r="1104" spans="10:10" x14ac:dyDescent="0.3">
      <c r="J1104" s="1"/>
    </row>
    <row r="1105" spans="10:10" x14ac:dyDescent="0.3">
      <c r="J1105" s="1"/>
    </row>
    <row r="1106" spans="10:10" x14ac:dyDescent="0.3">
      <c r="J1106" s="1"/>
    </row>
    <row r="1107" spans="10:10" x14ac:dyDescent="0.3">
      <c r="J1107" s="1"/>
    </row>
    <row r="1108" spans="10:10" x14ac:dyDescent="0.3">
      <c r="J1108" s="1"/>
    </row>
    <row r="1109" spans="10:10" x14ac:dyDescent="0.3">
      <c r="J1109" s="1"/>
    </row>
    <row r="1110" spans="10:10" x14ac:dyDescent="0.3">
      <c r="J1110" s="1"/>
    </row>
    <row r="1111" spans="10:10" x14ac:dyDescent="0.3">
      <c r="J1111" s="1"/>
    </row>
    <row r="1112" spans="10:10" x14ac:dyDescent="0.3">
      <c r="J1112" s="1"/>
    </row>
    <row r="1113" spans="10:10" x14ac:dyDescent="0.3">
      <c r="J1113" s="1"/>
    </row>
    <row r="1114" spans="10:10" x14ac:dyDescent="0.3">
      <c r="J1114" s="1"/>
    </row>
    <row r="1115" spans="10:10" x14ac:dyDescent="0.3">
      <c r="J1115" s="1"/>
    </row>
    <row r="1116" spans="10:10" x14ac:dyDescent="0.3">
      <c r="J1116" s="1"/>
    </row>
    <row r="1117" spans="10:10" x14ac:dyDescent="0.3">
      <c r="J1117" s="1"/>
    </row>
    <row r="1118" spans="10:10" x14ac:dyDescent="0.3">
      <c r="J1118" s="1"/>
    </row>
    <row r="1119" spans="10:10" x14ac:dyDescent="0.3">
      <c r="J1119" s="1"/>
    </row>
    <row r="1120" spans="10:10" x14ac:dyDescent="0.3">
      <c r="J1120" s="1"/>
    </row>
    <row r="1121" spans="10:10" x14ac:dyDescent="0.3">
      <c r="J1121" s="1"/>
    </row>
    <row r="1122" spans="10:10" x14ac:dyDescent="0.3">
      <c r="J1122" s="1"/>
    </row>
    <row r="1123" spans="10:10" x14ac:dyDescent="0.3">
      <c r="J1123" s="1"/>
    </row>
    <row r="1124" spans="10:10" x14ac:dyDescent="0.3">
      <c r="J1124" s="1"/>
    </row>
    <row r="1125" spans="10:10" x14ac:dyDescent="0.3">
      <c r="J1125" s="1"/>
    </row>
    <row r="1126" spans="10:10" x14ac:dyDescent="0.3">
      <c r="J1126" s="1"/>
    </row>
    <row r="1127" spans="10:10" x14ac:dyDescent="0.3">
      <c r="J1127" s="1"/>
    </row>
    <row r="1128" spans="10:10" x14ac:dyDescent="0.3">
      <c r="J1128" s="1"/>
    </row>
    <row r="1129" spans="10:10" x14ac:dyDescent="0.3">
      <c r="J1129" s="1"/>
    </row>
    <row r="1130" spans="10:10" x14ac:dyDescent="0.3">
      <c r="J1130" s="1"/>
    </row>
    <row r="1131" spans="10:10" x14ac:dyDescent="0.3">
      <c r="J1131" s="1"/>
    </row>
    <row r="1132" spans="10:10" x14ac:dyDescent="0.3">
      <c r="J1132" s="1"/>
    </row>
    <row r="1133" spans="10:10" x14ac:dyDescent="0.3">
      <c r="J1133" s="1"/>
    </row>
    <row r="1134" spans="10:10" x14ac:dyDescent="0.3">
      <c r="J1134" s="1"/>
    </row>
    <row r="1135" spans="10:10" x14ac:dyDescent="0.3">
      <c r="J1135" s="1"/>
    </row>
    <row r="1136" spans="10:10" x14ac:dyDescent="0.3">
      <c r="J1136" s="1"/>
    </row>
    <row r="1137" spans="10:10" x14ac:dyDescent="0.3">
      <c r="J1137" s="1"/>
    </row>
    <row r="1138" spans="10:10" x14ac:dyDescent="0.3">
      <c r="J1138" s="1"/>
    </row>
    <row r="1139" spans="10:10" x14ac:dyDescent="0.3">
      <c r="J1139" s="1"/>
    </row>
    <row r="1140" spans="10:10" x14ac:dyDescent="0.3">
      <c r="J1140" s="1"/>
    </row>
    <row r="1141" spans="10:10" x14ac:dyDescent="0.3">
      <c r="J1141" s="1"/>
    </row>
    <row r="1142" spans="10:10" x14ac:dyDescent="0.3">
      <c r="J1142" s="1"/>
    </row>
    <row r="1143" spans="10:10" x14ac:dyDescent="0.3">
      <c r="J1143" s="1"/>
    </row>
    <row r="1144" spans="10:10" x14ac:dyDescent="0.3">
      <c r="J1144" s="1"/>
    </row>
    <row r="1145" spans="10:10" x14ac:dyDescent="0.3">
      <c r="J1145" s="1"/>
    </row>
    <row r="1146" spans="10:10" x14ac:dyDescent="0.3">
      <c r="J1146" s="1"/>
    </row>
    <row r="1147" spans="10:10" x14ac:dyDescent="0.3">
      <c r="J1147" s="1"/>
    </row>
    <row r="1148" spans="10:10" x14ac:dyDescent="0.3">
      <c r="J1148" s="1"/>
    </row>
    <row r="1149" spans="10:10" x14ac:dyDescent="0.3">
      <c r="J1149" s="1"/>
    </row>
    <row r="1150" spans="10:10" x14ac:dyDescent="0.3">
      <c r="J1150" s="1"/>
    </row>
    <row r="1151" spans="10:10" x14ac:dyDescent="0.3">
      <c r="J1151" s="1"/>
    </row>
    <row r="1152" spans="10:10" x14ac:dyDescent="0.3">
      <c r="J1152" s="1"/>
    </row>
    <row r="1153" spans="10:10" x14ac:dyDescent="0.3">
      <c r="J1153" s="1"/>
    </row>
    <row r="1154" spans="10:10" x14ac:dyDescent="0.3">
      <c r="J1154" s="1"/>
    </row>
    <row r="1155" spans="10:10" x14ac:dyDescent="0.3">
      <c r="J1155" s="1"/>
    </row>
    <row r="1156" spans="10:10" x14ac:dyDescent="0.3">
      <c r="J1156" s="1"/>
    </row>
    <row r="1157" spans="10:10" x14ac:dyDescent="0.3">
      <c r="J1157" s="1"/>
    </row>
    <row r="1158" spans="10:10" x14ac:dyDescent="0.3">
      <c r="J1158" s="1"/>
    </row>
    <row r="1159" spans="10:10" x14ac:dyDescent="0.3">
      <c r="J1159" s="1"/>
    </row>
    <row r="1160" spans="10:10" x14ac:dyDescent="0.3">
      <c r="J1160" s="1"/>
    </row>
    <row r="1161" spans="10:10" x14ac:dyDescent="0.3">
      <c r="J1161" s="1"/>
    </row>
    <row r="1162" spans="10:10" x14ac:dyDescent="0.3">
      <c r="J1162" s="1"/>
    </row>
    <row r="1163" spans="10:10" x14ac:dyDescent="0.3">
      <c r="J1163" s="1"/>
    </row>
    <row r="1164" spans="10:10" x14ac:dyDescent="0.3">
      <c r="J1164" s="1"/>
    </row>
    <row r="1165" spans="10:10" x14ac:dyDescent="0.3">
      <c r="J1165" s="1"/>
    </row>
    <row r="1166" spans="10:10" x14ac:dyDescent="0.3">
      <c r="J1166" s="1"/>
    </row>
    <row r="1167" spans="10:10" x14ac:dyDescent="0.3">
      <c r="J1167" s="1"/>
    </row>
    <row r="1168" spans="10:10" x14ac:dyDescent="0.3">
      <c r="J1168" s="1"/>
    </row>
    <row r="1169" spans="10:10" x14ac:dyDescent="0.3">
      <c r="J1169" s="1"/>
    </row>
    <row r="1170" spans="10:10" x14ac:dyDescent="0.3">
      <c r="J1170" s="1"/>
    </row>
    <row r="1171" spans="10:10" x14ac:dyDescent="0.3">
      <c r="J1171" s="1"/>
    </row>
    <row r="1172" spans="10:10" x14ac:dyDescent="0.3">
      <c r="J1172" s="1"/>
    </row>
    <row r="1173" spans="10:10" x14ac:dyDescent="0.3">
      <c r="J1173" s="1"/>
    </row>
    <row r="1174" spans="10:10" x14ac:dyDescent="0.3">
      <c r="J1174" s="1"/>
    </row>
    <row r="1175" spans="10:10" x14ac:dyDescent="0.3">
      <c r="J1175" s="1"/>
    </row>
    <row r="1176" spans="10:10" x14ac:dyDescent="0.3">
      <c r="J1176" s="1"/>
    </row>
    <row r="1177" spans="10:10" x14ac:dyDescent="0.3">
      <c r="J1177" s="1"/>
    </row>
    <row r="1178" spans="10:10" x14ac:dyDescent="0.3">
      <c r="J1178" s="1"/>
    </row>
    <row r="1179" spans="10:10" x14ac:dyDescent="0.3">
      <c r="J1179" s="1"/>
    </row>
    <row r="1180" spans="10:10" x14ac:dyDescent="0.3">
      <c r="J1180" s="1"/>
    </row>
    <row r="1181" spans="10:10" x14ac:dyDescent="0.3">
      <c r="J1181" s="1"/>
    </row>
    <row r="1182" spans="10:10" x14ac:dyDescent="0.3">
      <c r="J1182" s="1"/>
    </row>
    <row r="1183" spans="10:10" x14ac:dyDescent="0.3">
      <c r="J1183" s="1"/>
    </row>
    <row r="1184" spans="10:10" x14ac:dyDescent="0.3">
      <c r="J1184" s="1"/>
    </row>
    <row r="1185" spans="10:10" x14ac:dyDescent="0.3">
      <c r="J1185" s="1"/>
    </row>
    <row r="1186" spans="10:10" x14ac:dyDescent="0.3">
      <c r="J1186" s="1"/>
    </row>
    <row r="1187" spans="10:10" x14ac:dyDescent="0.3">
      <c r="J1187" s="1"/>
    </row>
    <row r="1188" spans="10:10" x14ac:dyDescent="0.3">
      <c r="J1188" s="1"/>
    </row>
    <row r="1189" spans="10:10" x14ac:dyDescent="0.3">
      <c r="J1189" s="1"/>
    </row>
    <row r="1190" spans="10:10" x14ac:dyDescent="0.3">
      <c r="J1190" s="1"/>
    </row>
    <row r="1191" spans="10:10" x14ac:dyDescent="0.3">
      <c r="J1191" s="1"/>
    </row>
    <row r="1192" spans="10:10" x14ac:dyDescent="0.3">
      <c r="J1192" s="1"/>
    </row>
    <row r="1193" spans="10:10" x14ac:dyDescent="0.3">
      <c r="J1193" s="1"/>
    </row>
    <row r="1194" spans="10:10" x14ac:dyDescent="0.3">
      <c r="J1194" s="1"/>
    </row>
    <row r="1195" spans="10:10" x14ac:dyDescent="0.3">
      <c r="J1195" s="1"/>
    </row>
    <row r="1196" spans="10:10" x14ac:dyDescent="0.3">
      <c r="J1196" s="1"/>
    </row>
    <row r="1197" spans="10:10" x14ac:dyDescent="0.3">
      <c r="J1197" s="1"/>
    </row>
    <row r="1198" spans="10:10" x14ac:dyDescent="0.3">
      <c r="J1198" s="1"/>
    </row>
    <row r="1199" spans="10:10" x14ac:dyDescent="0.3">
      <c r="J1199" s="1"/>
    </row>
    <row r="1200" spans="10:10" x14ac:dyDescent="0.3">
      <c r="J1200" s="1"/>
    </row>
    <row r="1201" spans="10:10" x14ac:dyDescent="0.3">
      <c r="J1201" s="1"/>
    </row>
    <row r="1202" spans="10:10" x14ac:dyDescent="0.3">
      <c r="J1202" s="1"/>
    </row>
    <row r="1203" spans="10:10" x14ac:dyDescent="0.3">
      <c r="J1203" s="1"/>
    </row>
    <row r="1204" spans="10:10" x14ac:dyDescent="0.3">
      <c r="J1204" s="1"/>
    </row>
    <row r="1205" spans="10:10" x14ac:dyDescent="0.3">
      <c r="J1205" s="1"/>
    </row>
    <row r="1206" spans="10:10" x14ac:dyDescent="0.3">
      <c r="J1206" s="1"/>
    </row>
    <row r="1207" spans="10:10" x14ac:dyDescent="0.3">
      <c r="J1207" s="1"/>
    </row>
    <row r="1208" spans="10:10" x14ac:dyDescent="0.3">
      <c r="J1208" s="1"/>
    </row>
    <row r="1209" spans="10:10" x14ac:dyDescent="0.3">
      <c r="J1209" s="1"/>
    </row>
    <row r="1210" spans="10:10" x14ac:dyDescent="0.3">
      <c r="J1210" s="1"/>
    </row>
    <row r="1211" spans="10:10" x14ac:dyDescent="0.3">
      <c r="J1211" s="1"/>
    </row>
    <row r="1212" spans="10:10" x14ac:dyDescent="0.3">
      <c r="J1212" s="1"/>
    </row>
    <row r="1213" spans="10:10" x14ac:dyDescent="0.3">
      <c r="J1213" s="1"/>
    </row>
    <row r="1214" spans="10:10" x14ac:dyDescent="0.3">
      <c r="J1214" s="1"/>
    </row>
    <row r="1215" spans="10:10" x14ac:dyDescent="0.3">
      <c r="J1215" s="1"/>
    </row>
    <row r="1216" spans="10:10" x14ac:dyDescent="0.3">
      <c r="J1216" s="1"/>
    </row>
    <row r="1217" spans="10:10" x14ac:dyDescent="0.3">
      <c r="J1217" s="1"/>
    </row>
    <row r="1218" spans="10:10" x14ac:dyDescent="0.3">
      <c r="J1218" s="1"/>
    </row>
    <row r="1219" spans="10:10" x14ac:dyDescent="0.3">
      <c r="J1219" s="1"/>
    </row>
    <row r="1220" spans="10:10" x14ac:dyDescent="0.3">
      <c r="J1220" s="1"/>
    </row>
    <row r="1221" spans="10:10" x14ac:dyDescent="0.3">
      <c r="J1221" s="1"/>
    </row>
    <row r="1222" spans="10:10" x14ac:dyDescent="0.3">
      <c r="J1222" s="1"/>
    </row>
    <row r="1223" spans="10:10" x14ac:dyDescent="0.3">
      <c r="J1223" s="1"/>
    </row>
    <row r="1224" spans="10:10" x14ac:dyDescent="0.3">
      <c r="J1224" s="1"/>
    </row>
    <row r="1225" spans="10:10" x14ac:dyDescent="0.3">
      <c r="J1225" s="1"/>
    </row>
    <row r="1226" spans="10:10" x14ac:dyDescent="0.3">
      <c r="J1226" s="1"/>
    </row>
    <row r="1227" spans="10:10" x14ac:dyDescent="0.3">
      <c r="J1227" s="1"/>
    </row>
    <row r="1228" spans="10:10" x14ac:dyDescent="0.3">
      <c r="J1228" s="1"/>
    </row>
    <row r="1229" spans="10:10" x14ac:dyDescent="0.3">
      <c r="J1229" s="1"/>
    </row>
    <row r="1230" spans="10:10" x14ac:dyDescent="0.3">
      <c r="J1230" s="1"/>
    </row>
    <row r="1231" spans="10:10" x14ac:dyDescent="0.3">
      <c r="J1231" s="1"/>
    </row>
    <row r="1232" spans="10:10" x14ac:dyDescent="0.3">
      <c r="J1232" s="1"/>
    </row>
    <row r="1233" spans="10:10" x14ac:dyDescent="0.3">
      <c r="J1233" s="1"/>
    </row>
    <row r="1234" spans="10:10" x14ac:dyDescent="0.3">
      <c r="J1234" s="1"/>
    </row>
    <row r="1235" spans="10:10" x14ac:dyDescent="0.3">
      <c r="J1235" s="1"/>
    </row>
    <row r="1236" spans="10:10" x14ac:dyDescent="0.3">
      <c r="J1236" s="1"/>
    </row>
    <row r="1237" spans="10:10" x14ac:dyDescent="0.3">
      <c r="J1237" s="1"/>
    </row>
    <row r="1238" spans="10:10" x14ac:dyDescent="0.3">
      <c r="J1238" s="1"/>
    </row>
    <row r="1239" spans="10:10" x14ac:dyDescent="0.3">
      <c r="J1239" s="1"/>
    </row>
    <row r="1240" spans="10:10" x14ac:dyDescent="0.3">
      <c r="J1240" s="1"/>
    </row>
    <row r="1241" spans="10:10" x14ac:dyDescent="0.3">
      <c r="J1241" s="1"/>
    </row>
    <row r="1242" spans="10:10" x14ac:dyDescent="0.3">
      <c r="J1242" s="1"/>
    </row>
    <row r="1243" spans="10:10" x14ac:dyDescent="0.3">
      <c r="J1243" s="1"/>
    </row>
    <row r="1244" spans="10:10" x14ac:dyDescent="0.3">
      <c r="J1244" s="1"/>
    </row>
    <row r="1245" spans="10:10" x14ac:dyDescent="0.3">
      <c r="J1245" s="1"/>
    </row>
    <row r="1246" spans="10:10" x14ac:dyDescent="0.3">
      <c r="J1246" s="1"/>
    </row>
    <row r="1247" spans="10:10" x14ac:dyDescent="0.3">
      <c r="J1247" s="1"/>
    </row>
    <row r="1248" spans="10:10" x14ac:dyDescent="0.3">
      <c r="J1248" s="1"/>
    </row>
    <row r="1249" spans="10:10" x14ac:dyDescent="0.3">
      <c r="J1249" s="1"/>
    </row>
    <row r="1250" spans="10:10" x14ac:dyDescent="0.3">
      <c r="J1250" s="1"/>
    </row>
    <row r="1251" spans="10:10" x14ac:dyDescent="0.3">
      <c r="J1251" s="1"/>
    </row>
    <row r="1252" spans="10:10" x14ac:dyDescent="0.3">
      <c r="J1252" s="1"/>
    </row>
    <row r="1253" spans="10:10" x14ac:dyDescent="0.3">
      <c r="J1253" s="1"/>
    </row>
    <row r="1254" spans="10:10" x14ac:dyDescent="0.3">
      <c r="J1254" s="1"/>
    </row>
    <row r="1255" spans="10:10" x14ac:dyDescent="0.3">
      <c r="J1255" s="1"/>
    </row>
    <row r="1256" spans="10:10" x14ac:dyDescent="0.3">
      <c r="J1256" s="1"/>
    </row>
    <row r="1257" spans="10:10" x14ac:dyDescent="0.3">
      <c r="J1257" s="1"/>
    </row>
    <row r="1258" spans="10:10" x14ac:dyDescent="0.3">
      <c r="J1258" s="1"/>
    </row>
    <row r="1259" spans="10:10" x14ac:dyDescent="0.3">
      <c r="J1259" s="1"/>
    </row>
    <row r="1260" spans="10:10" x14ac:dyDescent="0.3">
      <c r="J1260" s="1"/>
    </row>
    <row r="1261" spans="10:10" x14ac:dyDescent="0.3">
      <c r="J1261" s="1"/>
    </row>
    <row r="1262" spans="10:10" x14ac:dyDescent="0.3">
      <c r="J1262" s="1"/>
    </row>
    <row r="1263" spans="10:10" x14ac:dyDescent="0.3">
      <c r="J1263" s="1"/>
    </row>
    <row r="1264" spans="10:10" x14ac:dyDescent="0.3">
      <c r="J1264" s="1"/>
    </row>
    <row r="1265" spans="10:10" x14ac:dyDescent="0.3">
      <c r="J1265" s="1"/>
    </row>
    <row r="1266" spans="10:10" x14ac:dyDescent="0.3">
      <c r="J1266" s="1"/>
    </row>
    <row r="1267" spans="10:10" x14ac:dyDescent="0.3">
      <c r="J1267" s="1"/>
    </row>
    <row r="1268" spans="10:10" x14ac:dyDescent="0.3">
      <c r="J1268" s="1"/>
    </row>
    <row r="1269" spans="10:10" x14ac:dyDescent="0.3">
      <c r="J1269" s="1"/>
    </row>
    <row r="1270" spans="10:10" x14ac:dyDescent="0.3">
      <c r="J1270" s="1"/>
    </row>
    <row r="1271" spans="10:10" x14ac:dyDescent="0.3">
      <c r="J1271" s="1"/>
    </row>
    <row r="1272" spans="10:10" x14ac:dyDescent="0.3">
      <c r="J1272" s="1"/>
    </row>
    <row r="1273" spans="10:10" x14ac:dyDescent="0.3">
      <c r="J1273" s="1"/>
    </row>
    <row r="1274" spans="10:10" x14ac:dyDescent="0.3">
      <c r="J1274" s="1"/>
    </row>
    <row r="1275" spans="10:10" x14ac:dyDescent="0.3">
      <c r="J1275" s="1"/>
    </row>
    <row r="1276" spans="10:10" x14ac:dyDescent="0.3">
      <c r="J1276" s="1"/>
    </row>
    <row r="1277" spans="10:10" x14ac:dyDescent="0.3">
      <c r="J1277" s="1"/>
    </row>
    <row r="1278" spans="10:10" x14ac:dyDescent="0.3">
      <c r="J1278" s="1"/>
    </row>
    <row r="1279" spans="10:10" x14ac:dyDescent="0.3">
      <c r="J1279" s="1"/>
    </row>
    <row r="1280" spans="10:10" x14ac:dyDescent="0.3">
      <c r="J1280" s="1"/>
    </row>
    <row r="1281" spans="10:10" x14ac:dyDescent="0.3">
      <c r="J1281" s="1"/>
    </row>
    <row r="1282" spans="10:10" x14ac:dyDescent="0.3">
      <c r="J1282" s="1"/>
    </row>
    <row r="1283" spans="10:10" x14ac:dyDescent="0.3">
      <c r="J1283" s="1"/>
    </row>
    <row r="1284" spans="10:10" x14ac:dyDescent="0.3">
      <c r="J1284" s="1"/>
    </row>
    <row r="1285" spans="10:10" x14ac:dyDescent="0.3">
      <c r="J1285" s="1"/>
    </row>
    <row r="1286" spans="10:10" x14ac:dyDescent="0.3">
      <c r="J1286" s="1"/>
    </row>
    <row r="1287" spans="10:10" x14ac:dyDescent="0.3">
      <c r="J1287" s="1"/>
    </row>
    <row r="1288" spans="10:10" x14ac:dyDescent="0.3">
      <c r="J1288" s="1"/>
    </row>
    <row r="1289" spans="10:10" x14ac:dyDescent="0.3">
      <c r="J1289" s="1"/>
    </row>
    <row r="1290" spans="10:10" x14ac:dyDescent="0.3">
      <c r="J1290" s="1"/>
    </row>
    <row r="1291" spans="10:10" x14ac:dyDescent="0.3">
      <c r="J1291" s="1"/>
    </row>
    <row r="1292" spans="10:10" x14ac:dyDescent="0.3">
      <c r="J1292" s="1"/>
    </row>
    <row r="1293" spans="10:10" x14ac:dyDescent="0.3">
      <c r="J1293" s="1"/>
    </row>
    <row r="1294" spans="10:10" x14ac:dyDescent="0.3">
      <c r="J1294" s="1"/>
    </row>
    <row r="1295" spans="10:10" x14ac:dyDescent="0.3">
      <c r="J1295" s="1"/>
    </row>
    <row r="1296" spans="10:10" x14ac:dyDescent="0.3">
      <c r="J1296" s="1"/>
    </row>
    <row r="1297" spans="10:10" x14ac:dyDescent="0.3">
      <c r="J1297" s="1"/>
    </row>
    <row r="1298" spans="10:10" x14ac:dyDescent="0.3">
      <c r="J1298" s="1"/>
    </row>
    <row r="1299" spans="10:10" x14ac:dyDescent="0.3">
      <c r="J1299" s="1"/>
    </row>
    <row r="1300" spans="10:10" x14ac:dyDescent="0.3">
      <c r="J1300" s="1"/>
    </row>
    <row r="1301" spans="10:10" x14ac:dyDescent="0.3">
      <c r="J1301" s="1"/>
    </row>
    <row r="1302" spans="10:10" x14ac:dyDescent="0.3">
      <c r="J1302" s="1"/>
    </row>
    <row r="1303" spans="10:10" x14ac:dyDescent="0.3">
      <c r="J1303" s="1"/>
    </row>
    <row r="1304" spans="10:10" x14ac:dyDescent="0.3">
      <c r="J1304" s="1"/>
    </row>
    <row r="1305" spans="10:10" x14ac:dyDescent="0.3">
      <c r="J1305" s="1"/>
    </row>
    <row r="1306" spans="10:10" x14ac:dyDescent="0.3">
      <c r="J1306" s="1"/>
    </row>
    <row r="1307" spans="10:10" x14ac:dyDescent="0.3">
      <c r="J1307" s="1"/>
    </row>
    <row r="1308" spans="10:10" x14ac:dyDescent="0.3">
      <c r="J1308" s="1"/>
    </row>
    <row r="1309" spans="10:10" x14ac:dyDescent="0.3">
      <c r="J1309" s="1"/>
    </row>
    <row r="1310" spans="10:10" x14ac:dyDescent="0.3">
      <c r="J1310" s="1"/>
    </row>
    <row r="1311" spans="10:10" x14ac:dyDescent="0.3">
      <c r="J1311" s="1"/>
    </row>
    <row r="1312" spans="10:10" x14ac:dyDescent="0.3">
      <c r="J1312" s="1"/>
    </row>
    <row r="1313" spans="10:10" x14ac:dyDescent="0.3">
      <c r="J1313" s="1"/>
    </row>
    <row r="1314" spans="10:10" x14ac:dyDescent="0.3">
      <c r="J1314" s="1"/>
    </row>
    <row r="1315" spans="10:10" x14ac:dyDescent="0.3">
      <c r="J1315" s="1"/>
    </row>
    <row r="1316" spans="10:10" x14ac:dyDescent="0.3">
      <c r="J1316" s="1"/>
    </row>
    <row r="1317" spans="10:10" x14ac:dyDescent="0.3">
      <c r="J1317" s="1"/>
    </row>
    <row r="1318" spans="10:10" x14ac:dyDescent="0.3">
      <c r="J1318" s="1"/>
    </row>
    <row r="1319" spans="10:10" x14ac:dyDescent="0.3">
      <c r="J1319" s="1"/>
    </row>
    <row r="1320" spans="10:10" x14ac:dyDescent="0.3">
      <c r="J1320" s="1"/>
    </row>
    <row r="1321" spans="10:10" x14ac:dyDescent="0.3">
      <c r="J1321" s="1"/>
    </row>
    <row r="1322" spans="10:10" x14ac:dyDescent="0.3">
      <c r="J1322" s="1"/>
    </row>
    <row r="1323" spans="10:10" x14ac:dyDescent="0.3">
      <c r="J1323" s="1"/>
    </row>
    <row r="1324" spans="10:10" x14ac:dyDescent="0.3">
      <c r="J1324" s="1"/>
    </row>
    <row r="1325" spans="10:10" x14ac:dyDescent="0.3">
      <c r="J1325" s="1"/>
    </row>
    <row r="1326" spans="10:10" x14ac:dyDescent="0.3">
      <c r="J1326" s="1"/>
    </row>
    <row r="1327" spans="10:10" x14ac:dyDescent="0.3">
      <c r="J1327" s="1"/>
    </row>
    <row r="1328" spans="10:10" x14ac:dyDescent="0.3">
      <c r="J1328" s="1"/>
    </row>
    <row r="1329" spans="10:10" x14ac:dyDescent="0.3">
      <c r="J1329" s="1"/>
    </row>
    <row r="1330" spans="10:10" x14ac:dyDescent="0.3">
      <c r="J1330" s="1"/>
    </row>
    <row r="1331" spans="10:10" x14ac:dyDescent="0.3">
      <c r="J1331" s="1"/>
    </row>
    <row r="1332" spans="10:10" x14ac:dyDescent="0.3">
      <c r="J1332" s="1"/>
    </row>
    <row r="1333" spans="10:10" x14ac:dyDescent="0.3">
      <c r="J1333" s="1"/>
    </row>
    <row r="1334" spans="10:10" x14ac:dyDescent="0.3">
      <c r="J1334" s="1"/>
    </row>
    <row r="1335" spans="10:10" x14ac:dyDescent="0.3">
      <c r="J1335" s="1"/>
    </row>
    <row r="1336" spans="10:10" x14ac:dyDescent="0.3">
      <c r="J1336" s="1"/>
    </row>
    <row r="1337" spans="10:10" x14ac:dyDescent="0.3">
      <c r="J1337" s="1"/>
    </row>
    <row r="1338" spans="10:10" x14ac:dyDescent="0.3">
      <c r="J1338" s="1"/>
    </row>
    <row r="1339" spans="10:10" x14ac:dyDescent="0.3">
      <c r="J1339" s="1"/>
    </row>
    <row r="1340" spans="10:10" x14ac:dyDescent="0.3">
      <c r="J1340" s="1"/>
    </row>
    <row r="1341" spans="10:10" x14ac:dyDescent="0.3">
      <c r="J1341" s="1"/>
    </row>
    <row r="1342" spans="10:10" x14ac:dyDescent="0.3">
      <c r="J1342" s="1"/>
    </row>
    <row r="1343" spans="10:10" x14ac:dyDescent="0.3">
      <c r="J1343" s="1"/>
    </row>
    <row r="1344" spans="10:10" x14ac:dyDescent="0.3">
      <c r="J1344" s="1"/>
    </row>
    <row r="1345" spans="10:10" x14ac:dyDescent="0.3">
      <c r="J1345" s="1"/>
    </row>
    <row r="1346" spans="10:10" x14ac:dyDescent="0.3">
      <c r="J1346" s="1"/>
    </row>
    <row r="1347" spans="10:10" x14ac:dyDescent="0.3">
      <c r="J1347" s="1"/>
    </row>
    <row r="1348" spans="10:10" x14ac:dyDescent="0.3">
      <c r="J1348" s="1"/>
    </row>
    <row r="1349" spans="10:10" x14ac:dyDescent="0.3">
      <c r="J1349" s="1"/>
    </row>
    <row r="1350" spans="10:10" x14ac:dyDescent="0.3">
      <c r="J1350" s="1"/>
    </row>
    <row r="1351" spans="10:10" x14ac:dyDescent="0.3">
      <c r="J1351" s="1"/>
    </row>
    <row r="1352" spans="10:10" x14ac:dyDescent="0.3">
      <c r="J1352" s="1"/>
    </row>
    <row r="1353" spans="10:10" x14ac:dyDescent="0.3">
      <c r="J1353" s="1"/>
    </row>
    <row r="1354" spans="10:10" x14ac:dyDescent="0.3">
      <c r="J1354" s="1"/>
    </row>
    <row r="1355" spans="10:10" x14ac:dyDescent="0.3">
      <c r="J1355" s="1"/>
    </row>
    <row r="1356" spans="10:10" x14ac:dyDescent="0.3">
      <c r="J1356" s="1"/>
    </row>
    <row r="1357" spans="10:10" x14ac:dyDescent="0.3">
      <c r="J1357" s="1"/>
    </row>
    <row r="1358" spans="10:10" x14ac:dyDescent="0.3">
      <c r="J1358" s="1"/>
    </row>
    <row r="1359" spans="10:10" x14ac:dyDescent="0.3">
      <c r="J1359" s="1"/>
    </row>
    <row r="1360" spans="10:10" x14ac:dyDescent="0.3">
      <c r="J1360" s="1"/>
    </row>
    <row r="1361" spans="10:10" x14ac:dyDescent="0.3">
      <c r="J1361" s="1"/>
    </row>
    <row r="1362" spans="10:10" x14ac:dyDescent="0.3">
      <c r="J1362" s="1"/>
    </row>
    <row r="1363" spans="10:10" x14ac:dyDescent="0.3">
      <c r="J1363" s="1"/>
    </row>
    <row r="1364" spans="10:10" x14ac:dyDescent="0.3">
      <c r="J1364" s="1"/>
    </row>
    <row r="1365" spans="10:10" x14ac:dyDescent="0.3">
      <c r="J1365" s="1"/>
    </row>
    <row r="1366" spans="10:10" x14ac:dyDescent="0.3">
      <c r="J1366" s="1"/>
    </row>
    <row r="1367" spans="10:10" x14ac:dyDescent="0.3">
      <c r="J1367" s="1"/>
    </row>
    <row r="1368" spans="10:10" x14ac:dyDescent="0.3">
      <c r="J1368" s="1"/>
    </row>
    <row r="1369" spans="10:10" x14ac:dyDescent="0.3">
      <c r="J1369" s="1"/>
    </row>
    <row r="1370" spans="10:10" x14ac:dyDescent="0.3">
      <c r="J1370" s="1"/>
    </row>
    <row r="1371" spans="10:10" x14ac:dyDescent="0.3">
      <c r="J1371" s="1"/>
    </row>
    <row r="1372" spans="10:10" x14ac:dyDescent="0.3">
      <c r="J1372" s="1"/>
    </row>
    <row r="1373" spans="10:10" x14ac:dyDescent="0.3">
      <c r="J1373" s="1"/>
    </row>
    <row r="1374" spans="10:10" x14ac:dyDescent="0.3">
      <c r="J1374" s="1"/>
    </row>
    <row r="1375" spans="10:10" x14ac:dyDescent="0.3">
      <c r="J1375" s="1"/>
    </row>
    <row r="1376" spans="10:10" x14ac:dyDescent="0.3">
      <c r="J1376" s="1"/>
    </row>
    <row r="1377" spans="10:10" x14ac:dyDescent="0.3">
      <c r="J1377" s="1"/>
    </row>
    <row r="1378" spans="10:10" x14ac:dyDescent="0.3">
      <c r="J1378" s="1"/>
    </row>
    <row r="1379" spans="10:10" x14ac:dyDescent="0.3">
      <c r="J1379" s="1"/>
    </row>
    <row r="1380" spans="10:10" x14ac:dyDescent="0.3">
      <c r="J1380" s="1"/>
    </row>
    <row r="1381" spans="10:10" x14ac:dyDescent="0.3">
      <c r="J1381" s="1"/>
    </row>
    <row r="1382" spans="10:10" x14ac:dyDescent="0.3">
      <c r="J1382" s="1"/>
    </row>
    <row r="1383" spans="10:10" x14ac:dyDescent="0.3">
      <c r="J1383" s="1"/>
    </row>
    <row r="1384" spans="10:10" x14ac:dyDescent="0.3">
      <c r="J1384" s="1"/>
    </row>
    <row r="1385" spans="10:10" x14ac:dyDescent="0.3">
      <c r="J1385" s="1"/>
    </row>
    <row r="1386" spans="10:10" x14ac:dyDescent="0.3">
      <c r="J1386" s="1"/>
    </row>
    <row r="1387" spans="10:10" x14ac:dyDescent="0.3">
      <c r="J1387" s="1"/>
    </row>
    <row r="1388" spans="10:10" x14ac:dyDescent="0.3">
      <c r="J1388" s="1"/>
    </row>
    <row r="1389" spans="10:10" x14ac:dyDescent="0.3">
      <c r="J1389" s="1"/>
    </row>
    <row r="1390" spans="10:10" x14ac:dyDescent="0.3">
      <c r="J1390" s="1"/>
    </row>
    <row r="1391" spans="10:10" x14ac:dyDescent="0.3">
      <c r="J1391" s="1"/>
    </row>
    <row r="1392" spans="10:10" x14ac:dyDescent="0.3">
      <c r="J1392" s="1"/>
    </row>
    <row r="1393" spans="10:10" x14ac:dyDescent="0.3">
      <c r="J1393" s="1"/>
    </row>
    <row r="1394" spans="10:10" x14ac:dyDescent="0.3">
      <c r="J1394" s="1"/>
    </row>
    <row r="1395" spans="10:10" x14ac:dyDescent="0.3">
      <c r="J1395" s="1"/>
    </row>
    <row r="1396" spans="10:10" x14ac:dyDescent="0.3">
      <c r="J1396" s="1"/>
    </row>
    <row r="1397" spans="10:10" x14ac:dyDescent="0.3">
      <c r="J1397" s="1"/>
    </row>
    <row r="1398" spans="10:10" x14ac:dyDescent="0.3">
      <c r="J1398" s="1"/>
    </row>
    <row r="1399" spans="10:10" x14ac:dyDescent="0.3">
      <c r="J1399" s="1"/>
    </row>
    <row r="1400" spans="10:10" x14ac:dyDescent="0.3">
      <c r="J1400" s="1"/>
    </row>
    <row r="1401" spans="10:10" x14ac:dyDescent="0.3">
      <c r="J1401" s="1"/>
    </row>
    <row r="1402" spans="10:10" x14ac:dyDescent="0.3">
      <c r="J1402" s="1"/>
    </row>
    <row r="1403" spans="10:10" x14ac:dyDescent="0.3">
      <c r="J1403" s="1"/>
    </row>
    <row r="1404" spans="10:10" x14ac:dyDescent="0.3">
      <c r="J1404" s="1"/>
    </row>
    <row r="1405" spans="10:10" x14ac:dyDescent="0.3">
      <c r="J1405" s="1"/>
    </row>
    <row r="1406" spans="10:10" x14ac:dyDescent="0.3">
      <c r="J1406" s="1"/>
    </row>
    <row r="1407" spans="10:10" x14ac:dyDescent="0.3">
      <c r="J1407" s="1"/>
    </row>
    <row r="1408" spans="10:10" x14ac:dyDescent="0.3">
      <c r="J1408" s="1"/>
    </row>
    <row r="1409" spans="10:10" x14ac:dyDescent="0.3">
      <c r="J1409" s="1"/>
    </row>
    <row r="1410" spans="10:10" x14ac:dyDescent="0.3">
      <c r="J1410" s="1"/>
    </row>
    <row r="1411" spans="10:10" x14ac:dyDescent="0.3">
      <c r="J1411" s="1"/>
    </row>
    <row r="1412" spans="10:10" x14ac:dyDescent="0.3">
      <c r="J1412" s="1"/>
    </row>
    <row r="1413" spans="10:10" x14ac:dyDescent="0.3">
      <c r="J1413" s="1"/>
    </row>
    <row r="1414" spans="10:10" x14ac:dyDescent="0.3">
      <c r="J1414" s="1"/>
    </row>
    <row r="1415" spans="10:10" x14ac:dyDescent="0.3">
      <c r="J1415" s="1"/>
    </row>
    <row r="1416" spans="10:10" x14ac:dyDescent="0.3">
      <c r="J1416" s="1"/>
    </row>
    <row r="1417" spans="10:10" x14ac:dyDescent="0.3">
      <c r="J1417" s="1"/>
    </row>
    <row r="1418" spans="10:10" x14ac:dyDescent="0.3">
      <c r="J1418" s="1"/>
    </row>
    <row r="1419" spans="10:10" x14ac:dyDescent="0.3">
      <c r="J1419" s="1"/>
    </row>
    <row r="1420" spans="10:10" x14ac:dyDescent="0.3">
      <c r="J1420" s="1"/>
    </row>
    <row r="1421" spans="10:10" x14ac:dyDescent="0.3">
      <c r="J1421" s="1"/>
    </row>
    <row r="1422" spans="10:10" x14ac:dyDescent="0.3">
      <c r="J1422" s="1"/>
    </row>
    <row r="1423" spans="10:10" x14ac:dyDescent="0.3">
      <c r="J1423" s="1"/>
    </row>
    <row r="1424" spans="10:10" x14ac:dyDescent="0.3">
      <c r="J1424" s="1"/>
    </row>
    <row r="1425" spans="10:10" x14ac:dyDescent="0.3">
      <c r="J1425" s="1"/>
    </row>
    <row r="1426" spans="10:10" x14ac:dyDescent="0.3">
      <c r="J1426" s="1"/>
    </row>
    <row r="1427" spans="10:10" x14ac:dyDescent="0.3">
      <c r="J1427" s="1"/>
    </row>
    <row r="1428" spans="10:10" x14ac:dyDescent="0.3">
      <c r="J1428" s="1"/>
    </row>
    <row r="1429" spans="10:10" x14ac:dyDescent="0.3">
      <c r="J1429" s="1"/>
    </row>
    <row r="1430" spans="10:10" x14ac:dyDescent="0.3">
      <c r="J1430" s="1"/>
    </row>
    <row r="1431" spans="10:10" x14ac:dyDescent="0.3">
      <c r="J1431" s="1"/>
    </row>
    <row r="1432" spans="10:10" x14ac:dyDescent="0.3">
      <c r="J1432" s="1"/>
    </row>
    <row r="1433" spans="10:10" x14ac:dyDescent="0.3">
      <c r="J1433" s="1"/>
    </row>
    <row r="1434" spans="10:10" x14ac:dyDescent="0.3">
      <c r="J1434" s="1"/>
    </row>
    <row r="1435" spans="10:10" x14ac:dyDescent="0.3">
      <c r="J1435" s="1"/>
    </row>
    <row r="1436" spans="10:10" x14ac:dyDescent="0.3">
      <c r="J1436" s="1"/>
    </row>
    <row r="1437" spans="10:10" x14ac:dyDescent="0.3">
      <c r="J1437" s="1"/>
    </row>
    <row r="1438" spans="10:10" x14ac:dyDescent="0.3">
      <c r="J1438" s="1"/>
    </row>
    <row r="1439" spans="10:10" x14ac:dyDescent="0.3">
      <c r="J1439" s="1"/>
    </row>
    <row r="1440" spans="10:10" x14ac:dyDescent="0.3">
      <c r="J1440" s="1"/>
    </row>
    <row r="1441" spans="10:10" x14ac:dyDescent="0.3">
      <c r="J1441" s="1"/>
    </row>
    <row r="1442" spans="10:10" x14ac:dyDescent="0.3">
      <c r="J1442" s="1"/>
    </row>
    <row r="1443" spans="10:10" x14ac:dyDescent="0.3">
      <c r="J1443" s="1"/>
    </row>
    <row r="1444" spans="10:10" x14ac:dyDescent="0.3">
      <c r="J1444" s="1"/>
    </row>
    <row r="1445" spans="10:10" x14ac:dyDescent="0.3">
      <c r="J1445" s="1"/>
    </row>
    <row r="1446" spans="10:10" x14ac:dyDescent="0.3">
      <c r="J1446" s="1"/>
    </row>
    <row r="1447" spans="10:10" x14ac:dyDescent="0.3">
      <c r="J1447" s="1"/>
    </row>
    <row r="1448" spans="10:10" x14ac:dyDescent="0.3">
      <c r="J1448" s="1"/>
    </row>
    <row r="1449" spans="10:10" x14ac:dyDescent="0.3">
      <c r="J1449" s="1"/>
    </row>
    <row r="1450" spans="10:10" x14ac:dyDescent="0.3">
      <c r="J1450" s="1"/>
    </row>
    <row r="1451" spans="10:10" x14ac:dyDescent="0.3">
      <c r="J1451" s="1"/>
    </row>
    <row r="1452" spans="10:10" x14ac:dyDescent="0.3">
      <c r="J1452" s="1"/>
    </row>
    <row r="1453" spans="10:10" x14ac:dyDescent="0.3">
      <c r="J1453" s="1"/>
    </row>
    <row r="1454" spans="10:10" x14ac:dyDescent="0.3">
      <c r="J1454" s="1"/>
    </row>
    <row r="1455" spans="10:10" x14ac:dyDescent="0.3">
      <c r="J1455" s="1"/>
    </row>
    <row r="1456" spans="10:10" x14ac:dyDescent="0.3">
      <c r="J1456" s="1"/>
    </row>
    <row r="1457" spans="10:10" x14ac:dyDescent="0.3">
      <c r="J1457" s="1"/>
    </row>
    <row r="1458" spans="10:10" x14ac:dyDescent="0.3">
      <c r="J1458" s="1"/>
    </row>
    <row r="1459" spans="10:10" x14ac:dyDescent="0.3">
      <c r="J1459" s="1"/>
    </row>
    <row r="1460" spans="10:10" x14ac:dyDescent="0.3">
      <c r="J1460" s="1"/>
    </row>
    <row r="1461" spans="10:10" x14ac:dyDescent="0.3">
      <c r="J1461" s="1"/>
    </row>
    <row r="1462" spans="10:10" x14ac:dyDescent="0.3">
      <c r="J1462" s="1"/>
    </row>
    <row r="1463" spans="10:10" x14ac:dyDescent="0.3">
      <c r="J1463" s="1"/>
    </row>
    <row r="1464" spans="10:10" x14ac:dyDescent="0.3">
      <c r="J1464" s="1"/>
    </row>
    <row r="1465" spans="10:10" x14ac:dyDescent="0.3">
      <c r="J1465" s="1"/>
    </row>
    <row r="1466" spans="10:10" x14ac:dyDescent="0.3">
      <c r="J1466" s="1"/>
    </row>
    <row r="1467" spans="10:10" x14ac:dyDescent="0.3">
      <c r="J1467" s="1"/>
    </row>
    <row r="1468" spans="10:10" x14ac:dyDescent="0.3">
      <c r="J1468" s="1"/>
    </row>
    <row r="1469" spans="10:10" x14ac:dyDescent="0.3">
      <c r="J1469" s="1"/>
    </row>
    <row r="1470" spans="10:10" x14ac:dyDescent="0.3">
      <c r="J1470" s="1"/>
    </row>
    <row r="1471" spans="10:10" x14ac:dyDescent="0.3">
      <c r="J1471" s="1"/>
    </row>
    <row r="1472" spans="10:10" x14ac:dyDescent="0.3">
      <c r="J1472" s="1"/>
    </row>
    <row r="1473" spans="10:10" x14ac:dyDescent="0.3">
      <c r="J1473" s="1"/>
    </row>
    <row r="1474" spans="10:10" x14ac:dyDescent="0.3">
      <c r="J1474" s="1"/>
    </row>
    <row r="1475" spans="10:10" x14ac:dyDescent="0.3">
      <c r="J1475" s="1"/>
    </row>
    <row r="1476" spans="10:10" x14ac:dyDescent="0.3">
      <c r="J1476" s="1"/>
    </row>
    <row r="1477" spans="10:10" x14ac:dyDescent="0.3">
      <c r="J1477" s="1"/>
    </row>
    <row r="1478" spans="10:10" x14ac:dyDescent="0.3">
      <c r="J1478" s="1"/>
    </row>
    <row r="1479" spans="10:10" x14ac:dyDescent="0.3">
      <c r="J1479" s="1"/>
    </row>
    <row r="1480" spans="10:10" x14ac:dyDescent="0.3">
      <c r="J1480" s="1"/>
    </row>
    <row r="1481" spans="10:10" x14ac:dyDescent="0.3">
      <c r="J1481" s="1"/>
    </row>
    <row r="1482" spans="10:10" x14ac:dyDescent="0.3">
      <c r="J1482" s="1"/>
    </row>
    <row r="1483" spans="10:10" x14ac:dyDescent="0.3">
      <c r="J1483" s="1"/>
    </row>
    <row r="1484" spans="10:10" x14ac:dyDescent="0.3">
      <c r="J1484" s="1"/>
    </row>
    <row r="1485" spans="10:10" x14ac:dyDescent="0.3">
      <c r="J1485" s="1"/>
    </row>
    <row r="1486" spans="10:10" x14ac:dyDescent="0.3">
      <c r="J1486" s="1"/>
    </row>
    <row r="1487" spans="10:10" x14ac:dyDescent="0.3">
      <c r="J1487" s="1"/>
    </row>
    <row r="1488" spans="10:10" x14ac:dyDescent="0.3">
      <c r="J1488" s="1"/>
    </row>
    <row r="1489" spans="10:10" x14ac:dyDescent="0.3">
      <c r="J1489" s="1"/>
    </row>
    <row r="1490" spans="10:10" x14ac:dyDescent="0.3">
      <c r="J1490" s="1"/>
    </row>
    <row r="1491" spans="10:10" x14ac:dyDescent="0.3">
      <c r="J1491" s="1"/>
    </row>
    <row r="1492" spans="10:10" x14ac:dyDescent="0.3">
      <c r="J1492" s="1"/>
    </row>
    <row r="1493" spans="10:10" x14ac:dyDescent="0.3">
      <c r="J1493" s="1"/>
    </row>
    <row r="1494" spans="10:10" x14ac:dyDescent="0.3">
      <c r="J1494" s="1"/>
    </row>
    <row r="1495" spans="10:10" x14ac:dyDescent="0.3">
      <c r="J1495" s="1"/>
    </row>
    <row r="1496" spans="10:10" x14ac:dyDescent="0.3">
      <c r="J1496" s="1"/>
    </row>
    <row r="1497" spans="10:10" x14ac:dyDescent="0.3">
      <c r="J1497" s="1"/>
    </row>
    <row r="1498" spans="10:10" x14ac:dyDescent="0.3">
      <c r="J1498" s="1"/>
    </row>
    <row r="1499" spans="10:10" x14ac:dyDescent="0.3">
      <c r="J1499" s="1"/>
    </row>
    <row r="1500" spans="10:10" x14ac:dyDescent="0.3">
      <c r="J1500" s="1"/>
    </row>
    <row r="1501" spans="10:10" x14ac:dyDescent="0.3">
      <c r="J1501" s="1"/>
    </row>
    <row r="1502" spans="10:10" x14ac:dyDescent="0.3">
      <c r="J1502" s="1"/>
    </row>
    <row r="1503" spans="10:10" x14ac:dyDescent="0.3">
      <c r="J1503" s="1"/>
    </row>
    <row r="1504" spans="10:10" x14ac:dyDescent="0.3">
      <c r="J1504" s="1"/>
    </row>
    <row r="1505" spans="10:10" x14ac:dyDescent="0.3">
      <c r="J1505" s="1"/>
    </row>
    <row r="1506" spans="10:10" x14ac:dyDescent="0.3">
      <c r="J1506" s="1"/>
    </row>
    <row r="1507" spans="10:10" x14ac:dyDescent="0.3">
      <c r="J1507" s="1"/>
    </row>
    <row r="1508" spans="10:10" x14ac:dyDescent="0.3">
      <c r="J1508" s="1"/>
    </row>
    <row r="1509" spans="10:10" x14ac:dyDescent="0.3">
      <c r="J1509" s="1"/>
    </row>
    <row r="1510" spans="10:10" x14ac:dyDescent="0.3">
      <c r="J1510" s="1"/>
    </row>
    <row r="1511" spans="10:10" x14ac:dyDescent="0.3">
      <c r="J1511" s="1"/>
    </row>
    <row r="1512" spans="10:10" x14ac:dyDescent="0.3">
      <c r="J1512" s="1"/>
    </row>
    <row r="1513" spans="10:10" x14ac:dyDescent="0.3">
      <c r="J1513" s="1"/>
    </row>
    <row r="1514" spans="10:10" x14ac:dyDescent="0.3">
      <c r="J1514" s="1"/>
    </row>
    <row r="1515" spans="10:10" x14ac:dyDescent="0.3">
      <c r="J1515" s="1"/>
    </row>
    <row r="1516" spans="10:10" x14ac:dyDescent="0.3">
      <c r="J1516" s="1"/>
    </row>
    <row r="1517" spans="10:10" x14ac:dyDescent="0.3">
      <c r="J1517" s="1"/>
    </row>
    <row r="1518" spans="10:10" x14ac:dyDescent="0.3">
      <c r="J1518" s="1"/>
    </row>
    <row r="1519" spans="10:10" x14ac:dyDescent="0.3">
      <c r="J1519" s="1"/>
    </row>
    <row r="1520" spans="10:10" x14ac:dyDescent="0.3">
      <c r="J1520" s="1"/>
    </row>
    <row r="1521" spans="10:10" x14ac:dyDescent="0.3">
      <c r="J1521" s="1"/>
    </row>
    <row r="1522" spans="10:10" x14ac:dyDescent="0.3">
      <c r="J1522" s="1"/>
    </row>
    <row r="1523" spans="10:10" x14ac:dyDescent="0.3">
      <c r="J1523" s="1"/>
    </row>
    <row r="1524" spans="10:10" x14ac:dyDescent="0.3">
      <c r="J1524" s="1"/>
    </row>
    <row r="1525" spans="10:10" x14ac:dyDescent="0.3">
      <c r="J1525" s="1"/>
    </row>
    <row r="1526" spans="10:10" x14ac:dyDescent="0.3">
      <c r="J1526" s="1"/>
    </row>
    <row r="1527" spans="10:10" x14ac:dyDescent="0.3">
      <c r="J1527" s="1"/>
    </row>
    <row r="1528" spans="10:10" x14ac:dyDescent="0.3">
      <c r="J1528" s="1"/>
    </row>
    <row r="1529" spans="10:10" x14ac:dyDescent="0.3">
      <c r="J1529" s="1"/>
    </row>
    <row r="1530" spans="10:10" x14ac:dyDescent="0.3">
      <c r="J1530" s="1"/>
    </row>
    <row r="1531" spans="10:10" x14ac:dyDescent="0.3">
      <c r="J1531" s="1"/>
    </row>
    <row r="1532" spans="10:10" x14ac:dyDescent="0.3">
      <c r="J1532" s="1"/>
    </row>
    <row r="1533" spans="10:10" x14ac:dyDescent="0.3">
      <c r="J1533" s="1"/>
    </row>
    <row r="1534" spans="10:10" x14ac:dyDescent="0.3">
      <c r="J1534" s="1"/>
    </row>
    <row r="1535" spans="10:10" x14ac:dyDescent="0.3">
      <c r="J1535" s="1"/>
    </row>
    <row r="1536" spans="10:10" x14ac:dyDescent="0.3">
      <c r="J1536" s="1"/>
    </row>
    <row r="1537" spans="10:10" x14ac:dyDescent="0.3">
      <c r="J1537" s="1"/>
    </row>
    <row r="1538" spans="10:10" x14ac:dyDescent="0.3">
      <c r="J1538" s="1"/>
    </row>
    <row r="1539" spans="10:10" x14ac:dyDescent="0.3">
      <c r="J1539" s="1"/>
    </row>
    <row r="1540" spans="10:10" x14ac:dyDescent="0.3">
      <c r="J1540" s="1"/>
    </row>
    <row r="1541" spans="10:10" x14ac:dyDescent="0.3">
      <c r="J1541" s="1"/>
    </row>
    <row r="1542" spans="10:10" x14ac:dyDescent="0.3">
      <c r="J1542" s="1"/>
    </row>
    <row r="1543" spans="10:10" x14ac:dyDescent="0.3">
      <c r="J1543" s="1"/>
    </row>
    <row r="1544" spans="10:10" x14ac:dyDescent="0.3">
      <c r="J1544" s="1"/>
    </row>
    <row r="1545" spans="10:10" x14ac:dyDescent="0.3">
      <c r="J1545" s="1"/>
    </row>
    <row r="1546" spans="10:10" x14ac:dyDescent="0.3">
      <c r="J1546" s="1"/>
    </row>
    <row r="1547" spans="10:10" x14ac:dyDescent="0.3">
      <c r="J1547" s="1"/>
    </row>
    <row r="1548" spans="10:10" x14ac:dyDescent="0.3">
      <c r="J1548" s="1"/>
    </row>
    <row r="1549" spans="10:10" x14ac:dyDescent="0.3">
      <c r="J1549" s="1"/>
    </row>
    <row r="1550" spans="10:10" x14ac:dyDescent="0.3">
      <c r="J1550" s="1"/>
    </row>
    <row r="1551" spans="10:10" x14ac:dyDescent="0.3">
      <c r="J1551" s="1"/>
    </row>
    <row r="1552" spans="10:10" x14ac:dyDescent="0.3">
      <c r="J1552" s="1"/>
    </row>
    <row r="1553" spans="10:10" x14ac:dyDescent="0.3">
      <c r="J1553" s="1"/>
    </row>
    <row r="1554" spans="10:10" x14ac:dyDescent="0.3">
      <c r="J1554" s="1"/>
    </row>
    <row r="1555" spans="10:10" x14ac:dyDescent="0.3">
      <c r="J1555" s="1"/>
    </row>
    <row r="1556" spans="10:10" x14ac:dyDescent="0.3">
      <c r="J1556" s="1"/>
    </row>
    <row r="1557" spans="10:10" x14ac:dyDescent="0.3">
      <c r="J1557" s="1"/>
    </row>
    <row r="1558" spans="10:10" x14ac:dyDescent="0.3">
      <c r="J1558" s="1"/>
    </row>
    <row r="1559" spans="10:10" x14ac:dyDescent="0.3">
      <c r="J1559" s="1"/>
    </row>
    <row r="1560" spans="10:10" x14ac:dyDescent="0.3">
      <c r="J1560" s="1"/>
    </row>
    <row r="1561" spans="10:10" x14ac:dyDescent="0.3">
      <c r="J1561" s="1"/>
    </row>
    <row r="1562" spans="10:10" x14ac:dyDescent="0.3">
      <c r="J1562" s="1"/>
    </row>
    <row r="1563" spans="10:10" x14ac:dyDescent="0.3">
      <c r="J1563" s="1"/>
    </row>
    <row r="1564" spans="10:10" x14ac:dyDescent="0.3">
      <c r="J1564" s="1"/>
    </row>
    <row r="1565" spans="10:10" x14ac:dyDescent="0.3">
      <c r="J1565" s="1"/>
    </row>
    <row r="1566" spans="10:10" x14ac:dyDescent="0.3">
      <c r="J1566" s="1"/>
    </row>
    <row r="1567" spans="10:10" x14ac:dyDescent="0.3">
      <c r="J1567" s="1"/>
    </row>
    <row r="1568" spans="10:10" x14ac:dyDescent="0.3">
      <c r="J1568" s="1"/>
    </row>
    <row r="1569" spans="10:10" x14ac:dyDescent="0.3">
      <c r="J1569" s="1"/>
    </row>
    <row r="1570" spans="10:10" x14ac:dyDescent="0.3">
      <c r="J1570" s="1"/>
    </row>
    <row r="1571" spans="10:10" x14ac:dyDescent="0.3">
      <c r="J1571" s="1"/>
    </row>
    <row r="1572" spans="10:10" x14ac:dyDescent="0.3">
      <c r="J1572" s="1"/>
    </row>
    <row r="1573" spans="10:10" x14ac:dyDescent="0.3">
      <c r="J1573" s="1"/>
    </row>
    <row r="1574" spans="10:10" x14ac:dyDescent="0.3">
      <c r="J1574" s="1"/>
    </row>
    <row r="1575" spans="10:10" x14ac:dyDescent="0.3">
      <c r="J1575" s="1"/>
    </row>
    <row r="1576" spans="10:10" x14ac:dyDescent="0.3">
      <c r="J1576" s="1"/>
    </row>
    <row r="1577" spans="10:10" x14ac:dyDescent="0.3">
      <c r="J1577" s="1"/>
    </row>
    <row r="1578" spans="10:10" x14ac:dyDescent="0.3">
      <c r="J1578" s="1"/>
    </row>
    <row r="1579" spans="10:10" x14ac:dyDescent="0.3">
      <c r="J1579" s="1"/>
    </row>
    <row r="1580" spans="10:10" x14ac:dyDescent="0.3">
      <c r="J1580" s="1"/>
    </row>
    <row r="1581" spans="10:10" x14ac:dyDescent="0.3">
      <c r="J1581" s="1"/>
    </row>
    <row r="1582" spans="10:10" x14ac:dyDescent="0.3">
      <c r="J1582" s="1"/>
    </row>
    <row r="1583" spans="10:10" x14ac:dyDescent="0.3">
      <c r="J1583" s="1"/>
    </row>
    <row r="1584" spans="10:10" x14ac:dyDescent="0.3">
      <c r="J1584" s="1"/>
    </row>
    <row r="1585" spans="10:10" x14ac:dyDescent="0.3">
      <c r="J1585" s="1"/>
    </row>
    <row r="1586" spans="10:10" x14ac:dyDescent="0.3">
      <c r="J1586" s="1"/>
    </row>
    <row r="1587" spans="10:10" x14ac:dyDescent="0.3">
      <c r="J1587" s="1"/>
    </row>
    <row r="1588" spans="10:10" x14ac:dyDescent="0.3">
      <c r="J1588" s="1"/>
    </row>
    <row r="1589" spans="10:10" x14ac:dyDescent="0.3">
      <c r="J1589" s="1"/>
    </row>
    <row r="1590" spans="10:10" x14ac:dyDescent="0.3">
      <c r="J1590" s="1"/>
    </row>
    <row r="1591" spans="10:10" x14ac:dyDescent="0.3">
      <c r="J1591" s="1"/>
    </row>
    <row r="1592" spans="10:10" x14ac:dyDescent="0.3">
      <c r="J1592" s="1"/>
    </row>
    <row r="1593" spans="10:10" x14ac:dyDescent="0.3">
      <c r="J1593" s="1"/>
    </row>
    <row r="1594" spans="10:10" x14ac:dyDescent="0.3">
      <c r="J1594" s="1"/>
    </row>
    <row r="1595" spans="10:10" x14ac:dyDescent="0.3">
      <c r="J1595" s="1"/>
    </row>
    <row r="1596" spans="10:10" x14ac:dyDescent="0.3">
      <c r="J1596" s="1"/>
    </row>
    <row r="1597" spans="10:10" x14ac:dyDescent="0.3">
      <c r="J1597" s="1"/>
    </row>
    <row r="1598" spans="10:10" x14ac:dyDescent="0.3">
      <c r="J1598" s="1"/>
    </row>
    <row r="1599" spans="10:10" x14ac:dyDescent="0.3">
      <c r="J1599" s="1"/>
    </row>
    <row r="1600" spans="10:10" x14ac:dyDescent="0.3">
      <c r="J1600" s="1"/>
    </row>
    <row r="1601" spans="10:10" x14ac:dyDescent="0.3">
      <c r="J1601" s="1"/>
    </row>
    <row r="1602" spans="10:10" x14ac:dyDescent="0.3">
      <c r="J1602" s="1"/>
    </row>
    <row r="1603" spans="10:10" x14ac:dyDescent="0.3">
      <c r="J1603" s="1"/>
    </row>
    <row r="1604" spans="10:10" x14ac:dyDescent="0.3">
      <c r="J1604" s="1"/>
    </row>
    <row r="1605" spans="10:10" x14ac:dyDescent="0.3">
      <c r="J1605" s="1"/>
    </row>
    <row r="1606" spans="10:10" x14ac:dyDescent="0.3">
      <c r="J1606" s="1"/>
    </row>
    <row r="1607" spans="10:10" x14ac:dyDescent="0.3">
      <c r="J1607" s="1"/>
    </row>
    <row r="1608" spans="10:10" x14ac:dyDescent="0.3">
      <c r="J1608" s="1"/>
    </row>
    <row r="1609" spans="10:10" x14ac:dyDescent="0.3">
      <c r="J1609" s="1"/>
    </row>
    <row r="1610" spans="10:10" x14ac:dyDescent="0.3">
      <c r="J1610" s="1"/>
    </row>
    <row r="1611" spans="10:10" x14ac:dyDescent="0.3">
      <c r="J1611" s="1"/>
    </row>
    <row r="1612" spans="10:10" x14ac:dyDescent="0.3">
      <c r="J1612" s="1"/>
    </row>
    <row r="1613" spans="10:10" x14ac:dyDescent="0.3">
      <c r="J1613" s="1"/>
    </row>
    <row r="1614" spans="10:10" x14ac:dyDescent="0.3">
      <c r="J1614" s="1"/>
    </row>
    <row r="1615" spans="10:10" x14ac:dyDescent="0.3">
      <c r="J1615" s="1"/>
    </row>
    <row r="1616" spans="10:10" x14ac:dyDescent="0.3">
      <c r="J1616" s="1"/>
    </row>
    <row r="1617" spans="10:10" x14ac:dyDescent="0.3">
      <c r="J1617" s="1"/>
    </row>
    <row r="1618" spans="10:10" x14ac:dyDescent="0.3">
      <c r="J1618" s="1"/>
    </row>
    <row r="1619" spans="10:10" x14ac:dyDescent="0.3">
      <c r="J1619" s="1"/>
    </row>
    <row r="1620" spans="10:10" x14ac:dyDescent="0.3">
      <c r="J1620" s="1"/>
    </row>
    <row r="1621" spans="10:10" x14ac:dyDescent="0.3">
      <c r="J1621" s="1"/>
    </row>
    <row r="1622" spans="10:10" x14ac:dyDescent="0.3">
      <c r="J1622" s="1"/>
    </row>
    <row r="1623" spans="10:10" x14ac:dyDescent="0.3">
      <c r="J1623" s="1"/>
    </row>
    <row r="1624" spans="10:10" x14ac:dyDescent="0.3">
      <c r="J1624" s="1"/>
    </row>
    <row r="1625" spans="10:10" x14ac:dyDescent="0.3">
      <c r="J1625" s="1"/>
    </row>
    <row r="1626" spans="10:10" x14ac:dyDescent="0.3">
      <c r="J1626" s="1"/>
    </row>
    <row r="1627" spans="10:10" x14ac:dyDescent="0.3">
      <c r="J1627" s="1"/>
    </row>
    <row r="1628" spans="10:10" x14ac:dyDescent="0.3">
      <c r="J1628" s="1"/>
    </row>
    <row r="1629" spans="10:10" x14ac:dyDescent="0.3">
      <c r="J1629" s="1"/>
    </row>
    <row r="1630" spans="10:10" x14ac:dyDescent="0.3">
      <c r="J1630" s="1"/>
    </row>
    <row r="1631" spans="10:10" x14ac:dyDescent="0.3">
      <c r="J1631" s="1"/>
    </row>
    <row r="1632" spans="10:10" x14ac:dyDescent="0.3">
      <c r="J1632" s="1"/>
    </row>
    <row r="1633" spans="10:10" x14ac:dyDescent="0.3">
      <c r="J1633" s="1"/>
    </row>
    <row r="1634" spans="10:10" x14ac:dyDescent="0.3">
      <c r="J1634" s="1"/>
    </row>
    <row r="1635" spans="10:10" x14ac:dyDescent="0.3">
      <c r="J1635" s="1"/>
    </row>
    <row r="1636" spans="10:10" x14ac:dyDescent="0.3">
      <c r="J1636" s="1"/>
    </row>
    <row r="1637" spans="10:10" x14ac:dyDescent="0.3">
      <c r="J1637" s="1"/>
    </row>
    <row r="1638" spans="10:10" x14ac:dyDescent="0.3">
      <c r="J1638" s="1"/>
    </row>
    <row r="1639" spans="10:10" x14ac:dyDescent="0.3">
      <c r="J1639" s="1"/>
    </row>
    <row r="1640" spans="10:10" x14ac:dyDescent="0.3">
      <c r="J1640" s="1"/>
    </row>
    <row r="1641" spans="10:10" x14ac:dyDescent="0.3">
      <c r="J1641" s="1"/>
    </row>
    <row r="1642" spans="10:10" x14ac:dyDescent="0.3">
      <c r="J1642" s="1"/>
    </row>
    <row r="1643" spans="10:10" x14ac:dyDescent="0.3">
      <c r="J1643" s="1"/>
    </row>
    <row r="1644" spans="10:10" x14ac:dyDescent="0.3">
      <c r="J1644" s="1"/>
    </row>
    <row r="1645" spans="10:10" x14ac:dyDescent="0.3">
      <c r="J1645" s="1"/>
    </row>
    <row r="1646" spans="10:10" x14ac:dyDescent="0.3">
      <c r="J1646" s="1"/>
    </row>
    <row r="1647" spans="10:10" x14ac:dyDescent="0.3">
      <c r="J1647" s="1"/>
    </row>
    <row r="1648" spans="10:10" x14ac:dyDescent="0.3">
      <c r="J1648" s="1"/>
    </row>
    <row r="1649" spans="10:10" x14ac:dyDescent="0.3">
      <c r="J1649" s="1"/>
    </row>
    <row r="1650" spans="10:10" x14ac:dyDescent="0.3">
      <c r="J1650" s="1"/>
    </row>
    <row r="1651" spans="10:10" x14ac:dyDescent="0.3">
      <c r="J1651" s="1"/>
    </row>
    <row r="1652" spans="10:10" x14ac:dyDescent="0.3">
      <c r="J1652" s="1"/>
    </row>
    <row r="1653" spans="10:10" x14ac:dyDescent="0.3">
      <c r="J1653" s="1"/>
    </row>
    <row r="1654" spans="10:10" x14ac:dyDescent="0.3">
      <c r="J1654" s="1"/>
    </row>
    <row r="1655" spans="10:10" x14ac:dyDescent="0.3">
      <c r="J1655" s="1"/>
    </row>
    <row r="1656" spans="10:10" x14ac:dyDescent="0.3">
      <c r="J1656" s="1"/>
    </row>
    <row r="1657" spans="10:10" x14ac:dyDescent="0.3">
      <c r="J1657" s="1"/>
    </row>
    <row r="1658" spans="10:10" x14ac:dyDescent="0.3">
      <c r="J1658" s="1"/>
    </row>
    <row r="1659" spans="10:10" x14ac:dyDescent="0.3">
      <c r="J1659" s="1"/>
    </row>
    <row r="1660" spans="10:10" x14ac:dyDescent="0.3">
      <c r="J1660" s="1"/>
    </row>
    <row r="1661" spans="10:10" x14ac:dyDescent="0.3">
      <c r="J1661" s="1"/>
    </row>
    <row r="1662" spans="10:10" x14ac:dyDescent="0.3">
      <c r="J1662" s="1"/>
    </row>
    <row r="1663" spans="10:10" x14ac:dyDescent="0.3">
      <c r="J1663" s="1"/>
    </row>
    <row r="1664" spans="10:10" x14ac:dyDescent="0.3">
      <c r="J1664" s="1"/>
    </row>
    <row r="1665" spans="10:10" x14ac:dyDescent="0.3">
      <c r="J1665" s="1"/>
    </row>
    <row r="1666" spans="10:10" x14ac:dyDescent="0.3">
      <c r="J1666" s="1"/>
    </row>
    <row r="1667" spans="10:10" x14ac:dyDescent="0.3">
      <c r="J1667" s="1"/>
    </row>
    <row r="1668" spans="10:10" x14ac:dyDescent="0.3">
      <c r="J1668" s="1"/>
    </row>
    <row r="1669" spans="10:10" x14ac:dyDescent="0.3">
      <c r="J1669" s="1"/>
    </row>
    <row r="1670" spans="10:10" x14ac:dyDescent="0.3">
      <c r="J1670" s="1"/>
    </row>
    <row r="1671" spans="10:10" x14ac:dyDescent="0.3">
      <c r="J1671" s="1"/>
    </row>
    <row r="1672" spans="10:10" x14ac:dyDescent="0.3">
      <c r="J1672" s="1"/>
    </row>
    <row r="1673" spans="10:10" x14ac:dyDescent="0.3">
      <c r="J1673" s="1"/>
    </row>
    <row r="1674" spans="10:10" x14ac:dyDescent="0.3">
      <c r="J1674" s="1"/>
    </row>
    <row r="1675" spans="10:10" x14ac:dyDescent="0.3">
      <c r="J1675" s="1"/>
    </row>
    <row r="1676" spans="10:10" x14ac:dyDescent="0.3">
      <c r="J1676" s="1"/>
    </row>
    <row r="1677" spans="10:10" x14ac:dyDescent="0.3">
      <c r="J1677" s="1"/>
    </row>
    <row r="1678" spans="10:10" x14ac:dyDescent="0.3">
      <c r="J1678" s="1"/>
    </row>
    <row r="1679" spans="10:10" x14ac:dyDescent="0.3">
      <c r="J1679" s="1"/>
    </row>
    <row r="1680" spans="10:10" x14ac:dyDescent="0.3">
      <c r="J1680" s="1"/>
    </row>
    <row r="1681" spans="10:10" x14ac:dyDescent="0.3">
      <c r="J1681" s="1"/>
    </row>
    <row r="1682" spans="10:10" x14ac:dyDescent="0.3">
      <c r="J1682" s="1"/>
    </row>
    <row r="1683" spans="10:10" x14ac:dyDescent="0.3">
      <c r="J1683" s="1"/>
    </row>
    <row r="1684" spans="10:10" x14ac:dyDescent="0.3">
      <c r="J1684" s="1"/>
    </row>
    <row r="1685" spans="10:10" x14ac:dyDescent="0.3">
      <c r="J1685" s="1"/>
    </row>
    <row r="1686" spans="10:10" x14ac:dyDescent="0.3">
      <c r="J1686" s="1"/>
    </row>
    <row r="1687" spans="10:10" x14ac:dyDescent="0.3">
      <c r="J1687" s="1"/>
    </row>
    <row r="1688" spans="10:10" x14ac:dyDescent="0.3">
      <c r="J1688" s="1"/>
    </row>
    <row r="1689" spans="10:10" x14ac:dyDescent="0.3">
      <c r="J1689" s="1"/>
    </row>
    <row r="1690" spans="10:10" x14ac:dyDescent="0.3">
      <c r="J1690" s="1"/>
    </row>
    <row r="1691" spans="10:10" x14ac:dyDescent="0.3">
      <c r="J1691" s="1"/>
    </row>
    <row r="1692" spans="10:10" x14ac:dyDescent="0.3">
      <c r="J1692" s="1"/>
    </row>
    <row r="1693" spans="10:10" x14ac:dyDescent="0.3">
      <c r="J1693" s="1"/>
    </row>
    <row r="1694" spans="10:10" x14ac:dyDescent="0.3">
      <c r="J1694" s="1"/>
    </row>
    <row r="1695" spans="10:10" x14ac:dyDescent="0.3">
      <c r="J1695" s="1"/>
    </row>
    <row r="1696" spans="10:10" x14ac:dyDescent="0.3">
      <c r="J1696" s="1"/>
    </row>
    <row r="1697" spans="10:10" x14ac:dyDescent="0.3">
      <c r="J1697" s="1"/>
    </row>
    <row r="1698" spans="10:10" x14ac:dyDescent="0.3">
      <c r="J1698" s="1"/>
    </row>
    <row r="1699" spans="10:10" x14ac:dyDescent="0.3">
      <c r="J1699" s="1"/>
    </row>
    <row r="1700" spans="10:10" x14ac:dyDescent="0.3">
      <c r="J1700" s="1"/>
    </row>
    <row r="1701" spans="10:10" x14ac:dyDescent="0.3">
      <c r="J1701" s="1"/>
    </row>
    <row r="1702" spans="10:10" x14ac:dyDescent="0.3">
      <c r="J1702" s="1"/>
    </row>
    <row r="1703" spans="10:10" x14ac:dyDescent="0.3">
      <c r="J1703" s="1"/>
    </row>
    <row r="1704" spans="10:10" x14ac:dyDescent="0.3">
      <c r="J1704" s="1"/>
    </row>
    <row r="1705" spans="10:10" x14ac:dyDescent="0.3">
      <c r="J1705" s="1"/>
    </row>
    <row r="1706" spans="10:10" x14ac:dyDescent="0.3">
      <c r="J1706" s="1"/>
    </row>
    <row r="1707" spans="10:10" x14ac:dyDescent="0.3">
      <c r="J1707" s="1"/>
    </row>
    <row r="1708" spans="10:10" x14ac:dyDescent="0.3">
      <c r="J1708" s="1"/>
    </row>
    <row r="1709" spans="10:10" x14ac:dyDescent="0.3">
      <c r="J1709" s="1"/>
    </row>
    <row r="1710" spans="10:10" x14ac:dyDescent="0.3">
      <c r="J1710" s="1"/>
    </row>
    <row r="1711" spans="10:10" x14ac:dyDescent="0.3">
      <c r="J1711" s="1"/>
    </row>
    <row r="1712" spans="10:10" x14ac:dyDescent="0.3">
      <c r="J1712" s="1"/>
    </row>
    <row r="1713" spans="10:10" x14ac:dyDescent="0.3">
      <c r="J1713" s="1"/>
    </row>
    <row r="1714" spans="10:10" x14ac:dyDescent="0.3">
      <c r="J1714" s="1"/>
    </row>
    <row r="1715" spans="10:10" x14ac:dyDescent="0.3">
      <c r="J1715" s="1"/>
    </row>
    <row r="1716" spans="10:10" x14ac:dyDescent="0.3">
      <c r="J1716" s="1"/>
    </row>
    <row r="1717" spans="10:10" x14ac:dyDescent="0.3">
      <c r="J1717" s="1"/>
    </row>
    <row r="1718" spans="10:10" x14ac:dyDescent="0.3">
      <c r="J1718" s="1"/>
    </row>
    <row r="1719" spans="10:10" x14ac:dyDescent="0.3">
      <c r="J1719" s="1"/>
    </row>
    <row r="1720" spans="10:10" x14ac:dyDescent="0.3">
      <c r="J1720" s="1"/>
    </row>
    <row r="1721" spans="10:10" x14ac:dyDescent="0.3">
      <c r="J1721" s="1"/>
    </row>
    <row r="1722" spans="10:10" x14ac:dyDescent="0.3">
      <c r="J1722" s="1"/>
    </row>
    <row r="1723" spans="10:10" x14ac:dyDescent="0.3">
      <c r="J1723" s="1"/>
    </row>
    <row r="1724" spans="10:10" x14ac:dyDescent="0.3">
      <c r="J1724" s="1"/>
    </row>
    <row r="1725" spans="10:10" x14ac:dyDescent="0.3">
      <c r="J1725" s="1"/>
    </row>
    <row r="1726" spans="10:10" x14ac:dyDescent="0.3">
      <c r="J1726" s="1"/>
    </row>
    <row r="1727" spans="10:10" x14ac:dyDescent="0.3">
      <c r="J1727" s="1"/>
    </row>
    <row r="1728" spans="10:10" x14ac:dyDescent="0.3">
      <c r="J1728" s="1"/>
    </row>
    <row r="1729" spans="10:10" x14ac:dyDescent="0.3">
      <c r="J1729" s="1"/>
    </row>
    <row r="1730" spans="10:10" x14ac:dyDescent="0.3">
      <c r="J1730" s="1"/>
    </row>
    <row r="1731" spans="10:10" x14ac:dyDescent="0.3">
      <c r="J1731" s="1"/>
    </row>
    <row r="1732" spans="10:10" x14ac:dyDescent="0.3">
      <c r="J1732" s="1"/>
    </row>
    <row r="1733" spans="10:10" x14ac:dyDescent="0.3">
      <c r="J1733" s="1"/>
    </row>
    <row r="1734" spans="10:10" x14ac:dyDescent="0.3">
      <c r="J1734" s="1"/>
    </row>
    <row r="1735" spans="10:10" x14ac:dyDescent="0.3">
      <c r="J1735" s="1"/>
    </row>
    <row r="1736" spans="10:10" x14ac:dyDescent="0.3">
      <c r="J1736" s="1"/>
    </row>
    <row r="1737" spans="10:10" x14ac:dyDescent="0.3">
      <c r="J1737" s="1"/>
    </row>
    <row r="1738" spans="10:10" x14ac:dyDescent="0.3">
      <c r="J1738" s="1"/>
    </row>
    <row r="1739" spans="10:10" x14ac:dyDescent="0.3">
      <c r="J1739" s="1"/>
    </row>
    <row r="1740" spans="10:10" x14ac:dyDescent="0.3">
      <c r="J1740" s="1"/>
    </row>
    <row r="1741" spans="10:10" x14ac:dyDescent="0.3">
      <c r="J1741" s="1"/>
    </row>
    <row r="1742" spans="10:10" x14ac:dyDescent="0.3">
      <c r="J1742" s="1"/>
    </row>
    <row r="1743" spans="10:10" x14ac:dyDescent="0.3">
      <c r="J1743" s="1"/>
    </row>
    <row r="1744" spans="10:10" x14ac:dyDescent="0.3">
      <c r="J1744" s="1"/>
    </row>
    <row r="1745" spans="10:10" x14ac:dyDescent="0.3">
      <c r="J1745" s="1"/>
    </row>
    <row r="1746" spans="10:10" x14ac:dyDescent="0.3">
      <c r="J1746" s="1"/>
    </row>
    <row r="1747" spans="10:10" x14ac:dyDescent="0.3">
      <c r="J1747" s="1"/>
    </row>
    <row r="1748" spans="10:10" x14ac:dyDescent="0.3">
      <c r="J1748" s="1"/>
    </row>
    <row r="1749" spans="10:10" x14ac:dyDescent="0.3">
      <c r="J1749" s="1"/>
    </row>
    <row r="1750" spans="10:10" x14ac:dyDescent="0.3">
      <c r="J1750" s="1"/>
    </row>
    <row r="1751" spans="10:10" x14ac:dyDescent="0.3">
      <c r="J1751" s="1"/>
    </row>
    <row r="1752" spans="10:10" x14ac:dyDescent="0.3">
      <c r="J1752" s="1"/>
    </row>
    <row r="1753" spans="10:10" x14ac:dyDescent="0.3">
      <c r="J1753" s="1"/>
    </row>
    <row r="1754" spans="10:10" x14ac:dyDescent="0.3">
      <c r="J1754" s="1"/>
    </row>
    <row r="1755" spans="10:10" x14ac:dyDescent="0.3">
      <c r="J1755" s="1"/>
    </row>
    <row r="1756" spans="10:10" x14ac:dyDescent="0.3">
      <c r="J1756" s="1"/>
    </row>
    <row r="1757" spans="10:10" x14ac:dyDescent="0.3">
      <c r="J1757" s="1"/>
    </row>
    <row r="1758" spans="10:10" x14ac:dyDescent="0.3">
      <c r="J1758" s="1"/>
    </row>
    <row r="1759" spans="10:10" x14ac:dyDescent="0.3">
      <c r="J1759" s="1"/>
    </row>
    <row r="1760" spans="10:10" x14ac:dyDescent="0.3">
      <c r="J1760" s="1"/>
    </row>
    <row r="1761" spans="10:10" x14ac:dyDescent="0.3">
      <c r="J1761" s="1"/>
    </row>
    <row r="1762" spans="10:10" x14ac:dyDescent="0.3">
      <c r="J1762" s="1"/>
    </row>
    <row r="1763" spans="10:10" x14ac:dyDescent="0.3">
      <c r="J1763" s="1"/>
    </row>
    <row r="1764" spans="10:10" x14ac:dyDescent="0.3">
      <c r="J1764" s="1"/>
    </row>
    <row r="1765" spans="10:10" x14ac:dyDescent="0.3">
      <c r="J1765" s="1"/>
    </row>
    <row r="1766" spans="10:10" x14ac:dyDescent="0.3">
      <c r="J1766" s="1"/>
    </row>
    <row r="1767" spans="10:10" x14ac:dyDescent="0.3">
      <c r="J1767" s="1"/>
    </row>
    <row r="1768" spans="10:10" x14ac:dyDescent="0.3">
      <c r="J1768" s="1"/>
    </row>
    <row r="1769" spans="10:10" x14ac:dyDescent="0.3">
      <c r="J1769" s="1"/>
    </row>
    <row r="1770" spans="10:10" x14ac:dyDescent="0.3">
      <c r="J1770" s="1"/>
    </row>
    <row r="1771" spans="10:10" x14ac:dyDescent="0.3">
      <c r="J1771" s="1"/>
    </row>
    <row r="1772" spans="10:10" x14ac:dyDescent="0.3">
      <c r="J1772" s="1"/>
    </row>
    <row r="1773" spans="10:10" x14ac:dyDescent="0.3">
      <c r="J1773" s="1"/>
    </row>
    <row r="1774" spans="10:10" x14ac:dyDescent="0.3">
      <c r="J1774" s="1"/>
    </row>
    <row r="1775" spans="10:10" x14ac:dyDescent="0.3">
      <c r="J1775" s="1"/>
    </row>
    <row r="1776" spans="10:10" x14ac:dyDescent="0.3">
      <c r="J1776" s="1"/>
    </row>
    <row r="1777" spans="10:10" x14ac:dyDescent="0.3">
      <c r="J1777" s="1"/>
    </row>
    <row r="1778" spans="10:10" x14ac:dyDescent="0.3">
      <c r="J1778" s="1"/>
    </row>
    <row r="1779" spans="10:10" x14ac:dyDescent="0.3">
      <c r="J1779" s="1"/>
    </row>
    <row r="1780" spans="10:10" x14ac:dyDescent="0.3">
      <c r="J1780" s="1"/>
    </row>
    <row r="1781" spans="10:10" x14ac:dyDescent="0.3">
      <c r="J1781" s="1"/>
    </row>
    <row r="1782" spans="10:10" x14ac:dyDescent="0.3">
      <c r="J1782" s="1"/>
    </row>
    <row r="1783" spans="10:10" x14ac:dyDescent="0.3">
      <c r="J1783" s="1"/>
    </row>
    <row r="1784" spans="10:10" x14ac:dyDescent="0.3">
      <c r="J1784" s="1"/>
    </row>
    <row r="1785" spans="10:10" x14ac:dyDescent="0.3">
      <c r="J1785" s="1"/>
    </row>
    <row r="1786" spans="10:10" x14ac:dyDescent="0.3">
      <c r="J1786" s="1"/>
    </row>
    <row r="1787" spans="10:10" x14ac:dyDescent="0.3">
      <c r="J1787" s="1"/>
    </row>
    <row r="1788" spans="10:10" x14ac:dyDescent="0.3">
      <c r="J1788" s="1"/>
    </row>
    <row r="1789" spans="10:10" x14ac:dyDescent="0.3">
      <c r="J1789" s="1"/>
    </row>
    <row r="1790" spans="10:10" x14ac:dyDescent="0.3">
      <c r="J1790" s="1"/>
    </row>
    <row r="1791" spans="10:10" x14ac:dyDescent="0.3">
      <c r="J1791" s="1"/>
    </row>
    <row r="1792" spans="10:10" x14ac:dyDescent="0.3">
      <c r="J1792" s="1"/>
    </row>
    <row r="1793" spans="10:10" x14ac:dyDescent="0.3">
      <c r="J1793" s="1"/>
    </row>
    <row r="1794" spans="10:10" x14ac:dyDescent="0.3">
      <c r="J1794" s="1"/>
    </row>
    <row r="1795" spans="10:10" x14ac:dyDescent="0.3">
      <c r="J1795" s="1"/>
    </row>
    <row r="1796" spans="10:10" x14ac:dyDescent="0.3">
      <c r="J1796" s="1"/>
    </row>
    <row r="1797" spans="10:10" x14ac:dyDescent="0.3">
      <c r="J1797" s="1"/>
    </row>
    <row r="1798" spans="10:10" x14ac:dyDescent="0.3">
      <c r="J1798" s="1"/>
    </row>
    <row r="1799" spans="10:10" x14ac:dyDescent="0.3">
      <c r="J1799" s="1"/>
    </row>
    <row r="1800" spans="10:10" x14ac:dyDescent="0.3">
      <c r="J1800" s="1"/>
    </row>
    <row r="1801" spans="10:10" x14ac:dyDescent="0.3">
      <c r="J1801" s="1"/>
    </row>
    <row r="1802" spans="10:10" x14ac:dyDescent="0.3">
      <c r="J1802" s="1"/>
    </row>
    <row r="1803" spans="10:10" x14ac:dyDescent="0.3">
      <c r="J1803" s="1"/>
    </row>
    <row r="1804" spans="10:10" x14ac:dyDescent="0.3">
      <c r="J1804" s="1"/>
    </row>
    <row r="1805" spans="10:10" x14ac:dyDescent="0.3">
      <c r="J1805" s="1"/>
    </row>
    <row r="1806" spans="10:10" x14ac:dyDescent="0.3">
      <c r="J1806" s="1"/>
    </row>
    <row r="1807" spans="10:10" x14ac:dyDescent="0.3">
      <c r="J1807" s="1"/>
    </row>
    <row r="1808" spans="10:10" x14ac:dyDescent="0.3">
      <c r="J1808" s="1"/>
    </row>
    <row r="1809" spans="10:10" x14ac:dyDescent="0.3">
      <c r="J1809" s="1"/>
    </row>
    <row r="1810" spans="10:10" x14ac:dyDescent="0.3">
      <c r="J1810" s="1"/>
    </row>
    <row r="1811" spans="10:10" x14ac:dyDescent="0.3">
      <c r="J1811" s="1"/>
    </row>
    <row r="1812" spans="10:10" x14ac:dyDescent="0.3">
      <c r="J1812" s="1"/>
    </row>
    <row r="1813" spans="10:10" x14ac:dyDescent="0.3">
      <c r="J1813" s="1"/>
    </row>
    <row r="1814" spans="10:10" x14ac:dyDescent="0.3">
      <c r="J1814" s="1"/>
    </row>
    <row r="1815" spans="10:10" x14ac:dyDescent="0.3">
      <c r="J1815" s="1"/>
    </row>
    <row r="1816" spans="10:10" x14ac:dyDescent="0.3">
      <c r="J1816" s="1"/>
    </row>
    <row r="1817" spans="10:10" x14ac:dyDescent="0.3">
      <c r="J1817" s="1"/>
    </row>
    <row r="1818" spans="10:10" x14ac:dyDescent="0.3">
      <c r="J1818" s="1"/>
    </row>
    <row r="1819" spans="10:10" x14ac:dyDescent="0.3">
      <c r="J1819" s="1"/>
    </row>
    <row r="1820" spans="10:10" x14ac:dyDescent="0.3">
      <c r="J1820" s="1"/>
    </row>
    <row r="1821" spans="10:10" x14ac:dyDescent="0.3">
      <c r="J1821" s="1"/>
    </row>
    <row r="1822" spans="10:10" x14ac:dyDescent="0.3">
      <c r="J1822" s="1"/>
    </row>
    <row r="1823" spans="10:10" x14ac:dyDescent="0.3">
      <c r="J1823" s="1"/>
    </row>
    <row r="1824" spans="10:10" x14ac:dyDescent="0.3">
      <c r="J1824" s="1"/>
    </row>
    <row r="1825" spans="10:10" x14ac:dyDescent="0.3">
      <c r="J1825" s="1"/>
    </row>
    <row r="1826" spans="10:10" x14ac:dyDescent="0.3">
      <c r="J1826" s="1"/>
    </row>
    <row r="1827" spans="10:10" x14ac:dyDescent="0.3">
      <c r="J1827" s="1"/>
    </row>
    <row r="1828" spans="10:10" x14ac:dyDescent="0.3">
      <c r="J1828" s="1"/>
    </row>
    <row r="1829" spans="10:10" x14ac:dyDescent="0.3">
      <c r="J1829" s="1"/>
    </row>
    <row r="1830" spans="10:10" x14ac:dyDescent="0.3">
      <c r="J1830" s="1"/>
    </row>
    <row r="1831" spans="10:10" x14ac:dyDescent="0.3">
      <c r="J1831" s="1"/>
    </row>
    <row r="1832" spans="10:10" x14ac:dyDescent="0.3">
      <c r="J1832" s="1"/>
    </row>
    <row r="1833" spans="10:10" x14ac:dyDescent="0.3">
      <c r="J1833" s="1"/>
    </row>
    <row r="1834" spans="10:10" x14ac:dyDescent="0.3">
      <c r="J1834" s="1"/>
    </row>
    <row r="1835" spans="10:10" x14ac:dyDescent="0.3">
      <c r="J1835" s="1"/>
    </row>
    <row r="1836" spans="10:10" x14ac:dyDescent="0.3">
      <c r="J1836" s="1"/>
    </row>
    <row r="1837" spans="10:10" x14ac:dyDescent="0.3">
      <c r="J1837" s="1"/>
    </row>
    <row r="1838" spans="10:10" x14ac:dyDescent="0.3">
      <c r="J1838" s="1"/>
    </row>
    <row r="1839" spans="10:10" x14ac:dyDescent="0.3">
      <c r="J1839" s="1"/>
    </row>
    <row r="1840" spans="10:10" x14ac:dyDescent="0.3">
      <c r="J1840" s="1"/>
    </row>
    <row r="1841" spans="10:10" x14ac:dyDescent="0.3">
      <c r="J1841" s="1"/>
    </row>
    <row r="1842" spans="10:10" x14ac:dyDescent="0.3">
      <c r="J1842" s="1"/>
    </row>
    <row r="1843" spans="10:10" x14ac:dyDescent="0.3">
      <c r="J1843" s="1"/>
    </row>
    <row r="1844" spans="10:10" x14ac:dyDescent="0.3">
      <c r="J1844" s="1"/>
    </row>
    <row r="1845" spans="10:10" x14ac:dyDescent="0.3">
      <c r="J1845" s="1"/>
    </row>
    <row r="1846" spans="10:10" x14ac:dyDescent="0.3">
      <c r="J1846" s="1"/>
    </row>
    <row r="1847" spans="10:10" x14ac:dyDescent="0.3">
      <c r="J1847" s="1"/>
    </row>
    <row r="1848" spans="10:10" x14ac:dyDescent="0.3">
      <c r="J1848" s="1"/>
    </row>
    <row r="1849" spans="10:10" x14ac:dyDescent="0.3">
      <c r="J1849" s="1"/>
    </row>
    <row r="1850" spans="10:10" x14ac:dyDescent="0.3">
      <c r="J1850" s="1"/>
    </row>
    <row r="1851" spans="10:10" x14ac:dyDescent="0.3">
      <c r="J1851" s="1"/>
    </row>
    <row r="1852" spans="10:10" x14ac:dyDescent="0.3">
      <c r="J1852" s="1"/>
    </row>
    <row r="1853" spans="10:10" x14ac:dyDescent="0.3">
      <c r="J1853" s="1"/>
    </row>
    <row r="1854" spans="10:10" x14ac:dyDescent="0.3">
      <c r="J1854" s="1"/>
    </row>
    <row r="1855" spans="10:10" x14ac:dyDescent="0.3">
      <c r="J1855" s="1"/>
    </row>
    <row r="1856" spans="10:10" x14ac:dyDescent="0.3">
      <c r="J1856" s="1"/>
    </row>
    <row r="1857" spans="10:10" x14ac:dyDescent="0.3">
      <c r="J1857" s="1"/>
    </row>
    <row r="1858" spans="10:10" x14ac:dyDescent="0.3">
      <c r="J1858" s="1"/>
    </row>
    <row r="1859" spans="10:10" x14ac:dyDescent="0.3">
      <c r="J1859" s="1"/>
    </row>
    <row r="1860" spans="10:10" x14ac:dyDescent="0.3">
      <c r="J1860" s="1"/>
    </row>
    <row r="1861" spans="10:10" x14ac:dyDescent="0.3">
      <c r="J1861" s="1"/>
    </row>
    <row r="1862" spans="10:10" x14ac:dyDescent="0.3">
      <c r="J1862" s="1"/>
    </row>
    <row r="1863" spans="10:10" x14ac:dyDescent="0.3">
      <c r="J1863" s="1"/>
    </row>
    <row r="1864" spans="10:10" x14ac:dyDescent="0.3">
      <c r="J1864" s="1"/>
    </row>
    <row r="1865" spans="10:10" x14ac:dyDescent="0.3">
      <c r="J1865" s="1"/>
    </row>
    <row r="1866" spans="10:10" x14ac:dyDescent="0.3">
      <c r="J1866" s="1"/>
    </row>
    <row r="1867" spans="10:10" x14ac:dyDescent="0.3">
      <c r="J1867" s="1"/>
    </row>
    <row r="1868" spans="10:10" x14ac:dyDescent="0.3">
      <c r="J1868" s="1"/>
    </row>
    <row r="1869" spans="10:10" x14ac:dyDescent="0.3">
      <c r="J1869" s="1"/>
    </row>
    <row r="1870" spans="10:10" x14ac:dyDescent="0.3">
      <c r="J1870" s="1"/>
    </row>
    <row r="1871" spans="10:10" x14ac:dyDescent="0.3">
      <c r="J1871" s="1"/>
    </row>
    <row r="1872" spans="10:10" x14ac:dyDescent="0.3">
      <c r="J1872" s="1"/>
    </row>
    <row r="1873" spans="10:10" x14ac:dyDescent="0.3">
      <c r="J1873" s="1"/>
    </row>
    <row r="1874" spans="10:10" x14ac:dyDescent="0.3">
      <c r="J1874" s="1"/>
    </row>
    <row r="1875" spans="10:10" x14ac:dyDescent="0.3">
      <c r="J1875" s="1"/>
    </row>
    <row r="1876" spans="10:10" x14ac:dyDescent="0.3">
      <c r="J1876" s="1"/>
    </row>
    <row r="1877" spans="10:10" x14ac:dyDescent="0.3">
      <c r="J1877" s="1"/>
    </row>
    <row r="1878" spans="10:10" x14ac:dyDescent="0.3">
      <c r="J1878" s="1"/>
    </row>
    <row r="1879" spans="10:10" x14ac:dyDescent="0.3">
      <c r="J1879" s="1"/>
    </row>
    <row r="1880" spans="10:10" x14ac:dyDescent="0.3">
      <c r="J1880" s="1"/>
    </row>
    <row r="1881" spans="10:10" x14ac:dyDescent="0.3">
      <c r="J1881" s="1"/>
    </row>
    <row r="1882" spans="10:10" x14ac:dyDescent="0.3">
      <c r="J1882" s="1"/>
    </row>
    <row r="1883" spans="10:10" x14ac:dyDescent="0.3">
      <c r="J1883" s="1"/>
    </row>
    <row r="1884" spans="10:10" x14ac:dyDescent="0.3">
      <c r="J1884" s="1"/>
    </row>
    <row r="1885" spans="10:10" x14ac:dyDescent="0.3">
      <c r="J1885" s="1"/>
    </row>
    <row r="1886" spans="10:10" x14ac:dyDescent="0.3">
      <c r="J1886" s="1"/>
    </row>
    <row r="1887" spans="10:10" x14ac:dyDescent="0.3">
      <c r="J1887" s="1"/>
    </row>
    <row r="1888" spans="10:10" x14ac:dyDescent="0.3">
      <c r="J1888" s="1"/>
    </row>
    <row r="1889" spans="10:10" x14ac:dyDescent="0.3">
      <c r="J1889" s="1"/>
    </row>
    <row r="1890" spans="10:10" x14ac:dyDescent="0.3">
      <c r="J1890" s="1"/>
    </row>
    <row r="1891" spans="10:10" x14ac:dyDescent="0.3">
      <c r="J1891" s="1"/>
    </row>
    <row r="1892" spans="10:10" x14ac:dyDescent="0.3">
      <c r="J1892" s="1"/>
    </row>
    <row r="1893" spans="10:10" x14ac:dyDescent="0.3">
      <c r="J1893" s="1"/>
    </row>
    <row r="1894" spans="10:10" x14ac:dyDescent="0.3">
      <c r="J1894" s="1"/>
    </row>
    <row r="1895" spans="10:10" x14ac:dyDescent="0.3">
      <c r="J1895" s="1"/>
    </row>
    <row r="1896" spans="10:10" x14ac:dyDescent="0.3">
      <c r="J1896" s="1"/>
    </row>
    <row r="1897" spans="10:10" x14ac:dyDescent="0.3">
      <c r="J1897" s="1"/>
    </row>
    <row r="1898" spans="10:10" x14ac:dyDescent="0.3">
      <c r="J1898" s="1"/>
    </row>
    <row r="1899" spans="10:10" x14ac:dyDescent="0.3">
      <c r="J1899" s="1"/>
    </row>
    <row r="1900" spans="10:10" x14ac:dyDescent="0.3">
      <c r="J1900" s="1"/>
    </row>
    <row r="1901" spans="10:10" x14ac:dyDescent="0.3">
      <c r="J1901" s="1"/>
    </row>
    <row r="1902" spans="10:10" x14ac:dyDescent="0.3">
      <c r="J1902" s="1"/>
    </row>
    <row r="1903" spans="10:10" x14ac:dyDescent="0.3">
      <c r="J1903" s="1"/>
    </row>
    <row r="1904" spans="10:10" x14ac:dyDescent="0.3">
      <c r="J1904" s="1"/>
    </row>
    <row r="1905" spans="10:10" x14ac:dyDescent="0.3">
      <c r="J1905" s="1"/>
    </row>
    <row r="1906" spans="10:10" x14ac:dyDescent="0.3">
      <c r="J1906" s="1"/>
    </row>
    <row r="1907" spans="10:10" x14ac:dyDescent="0.3">
      <c r="J1907" s="1"/>
    </row>
    <row r="1908" spans="10:10" x14ac:dyDescent="0.3">
      <c r="J1908" s="1"/>
    </row>
    <row r="1909" spans="10:10" x14ac:dyDescent="0.3">
      <c r="J1909" s="1"/>
    </row>
    <row r="1910" spans="10:10" x14ac:dyDescent="0.3">
      <c r="J1910" s="1"/>
    </row>
    <row r="1911" spans="10:10" x14ac:dyDescent="0.3">
      <c r="J1911" s="1"/>
    </row>
    <row r="1912" spans="10:10" x14ac:dyDescent="0.3">
      <c r="J1912" s="1"/>
    </row>
    <row r="1913" spans="10:10" x14ac:dyDescent="0.3">
      <c r="J1913" s="1"/>
    </row>
    <row r="1914" spans="10:10" x14ac:dyDescent="0.3">
      <c r="J1914" s="1"/>
    </row>
    <row r="1915" spans="10:10" x14ac:dyDescent="0.3">
      <c r="J1915" s="1"/>
    </row>
    <row r="1916" spans="10:10" x14ac:dyDescent="0.3">
      <c r="J1916" s="1"/>
    </row>
    <row r="1917" spans="10:10" x14ac:dyDescent="0.3">
      <c r="J1917" s="1"/>
    </row>
    <row r="1918" spans="10:10" x14ac:dyDescent="0.3">
      <c r="J1918" s="1"/>
    </row>
    <row r="1919" spans="10:10" x14ac:dyDescent="0.3">
      <c r="J1919" s="1"/>
    </row>
    <row r="1920" spans="10:10" x14ac:dyDescent="0.3">
      <c r="J1920" s="1"/>
    </row>
    <row r="1921" spans="10:10" x14ac:dyDescent="0.3">
      <c r="J1921" s="1"/>
    </row>
    <row r="1922" spans="10:10" x14ac:dyDescent="0.3">
      <c r="J1922" s="1"/>
    </row>
    <row r="1923" spans="10:10" x14ac:dyDescent="0.3">
      <c r="J1923" s="1"/>
    </row>
    <row r="1924" spans="10:10" x14ac:dyDescent="0.3">
      <c r="J1924" s="1"/>
    </row>
    <row r="1925" spans="10:10" x14ac:dyDescent="0.3">
      <c r="J1925" s="1"/>
    </row>
    <row r="1926" spans="10:10" x14ac:dyDescent="0.3">
      <c r="J1926" s="1"/>
    </row>
    <row r="1927" spans="10:10" x14ac:dyDescent="0.3">
      <c r="J1927" s="1"/>
    </row>
    <row r="1928" spans="10:10" x14ac:dyDescent="0.3">
      <c r="J1928" s="1"/>
    </row>
    <row r="1929" spans="10:10" x14ac:dyDescent="0.3">
      <c r="J1929" s="1"/>
    </row>
    <row r="1930" spans="10:10" x14ac:dyDescent="0.3">
      <c r="J1930" s="1"/>
    </row>
    <row r="1931" spans="10:10" x14ac:dyDescent="0.3">
      <c r="J1931" s="1"/>
    </row>
    <row r="1932" spans="10:10" x14ac:dyDescent="0.3">
      <c r="J1932" s="1"/>
    </row>
    <row r="1933" spans="10:10" x14ac:dyDescent="0.3">
      <c r="J1933" s="1"/>
    </row>
    <row r="1934" spans="10:10" x14ac:dyDescent="0.3">
      <c r="J1934" s="1"/>
    </row>
    <row r="1935" spans="10:10" x14ac:dyDescent="0.3">
      <c r="J1935" s="1"/>
    </row>
    <row r="1936" spans="10:10" x14ac:dyDescent="0.3">
      <c r="J1936" s="1"/>
    </row>
    <row r="1937" spans="10:10" x14ac:dyDescent="0.3">
      <c r="J1937" s="1"/>
    </row>
    <row r="1938" spans="10:10" x14ac:dyDescent="0.3">
      <c r="J1938" s="1"/>
    </row>
    <row r="1939" spans="10:10" x14ac:dyDescent="0.3">
      <c r="J1939" s="1"/>
    </row>
    <row r="1940" spans="10:10" x14ac:dyDescent="0.3">
      <c r="J1940" s="1"/>
    </row>
    <row r="1941" spans="10:10" x14ac:dyDescent="0.3">
      <c r="J1941" s="1"/>
    </row>
    <row r="1942" spans="10:10" x14ac:dyDescent="0.3">
      <c r="J1942" s="1"/>
    </row>
    <row r="1943" spans="10:10" x14ac:dyDescent="0.3">
      <c r="J1943" s="1"/>
    </row>
    <row r="1944" spans="10:10" x14ac:dyDescent="0.3">
      <c r="J1944" s="1"/>
    </row>
    <row r="1945" spans="10:10" x14ac:dyDescent="0.3">
      <c r="J1945" s="1"/>
    </row>
    <row r="1946" spans="10:10" x14ac:dyDescent="0.3">
      <c r="J1946" s="1"/>
    </row>
    <row r="1947" spans="10:10" x14ac:dyDescent="0.3">
      <c r="J1947" s="1"/>
    </row>
    <row r="1948" spans="10:10" x14ac:dyDescent="0.3">
      <c r="J1948" s="1"/>
    </row>
    <row r="1949" spans="10:10" x14ac:dyDescent="0.3">
      <c r="J1949" s="1"/>
    </row>
    <row r="1950" spans="10:10" x14ac:dyDescent="0.3">
      <c r="J1950" s="1"/>
    </row>
    <row r="1951" spans="10:10" x14ac:dyDescent="0.3">
      <c r="J1951" s="1"/>
    </row>
    <row r="1952" spans="10:10" x14ac:dyDescent="0.3">
      <c r="J1952" s="1"/>
    </row>
    <row r="1953" spans="10:10" x14ac:dyDescent="0.3">
      <c r="J1953" s="1"/>
    </row>
    <row r="1954" spans="10:10" x14ac:dyDescent="0.3">
      <c r="J1954" s="1"/>
    </row>
    <row r="1955" spans="10:10" x14ac:dyDescent="0.3">
      <c r="J1955" s="1"/>
    </row>
    <row r="1956" spans="10:10" x14ac:dyDescent="0.3">
      <c r="J1956" s="1"/>
    </row>
    <row r="1957" spans="10:10" x14ac:dyDescent="0.3">
      <c r="J1957" s="1"/>
    </row>
    <row r="1958" spans="10:10" x14ac:dyDescent="0.3">
      <c r="J1958" s="1"/>
    </row>
    <row r="1959" spans="10:10" x14ac:dyDescent="0.3">
      <c r="J1959" s="1"/>
    </row>
    <row r="1960" spans="10:10" x14ac:dyDescent="0.3">
      <c r="J1960" s="1"/>
    </row>
    <row r="1961" spans="10:10" x14ac:dyDescent="0.3">
      <c r="J1961" s="1"/>
    </row>
    <row r="1962" spans="10:10" x14ac:dyDescent="0.3">
      <c r="J1962" s="1"/>
    </row>
    <row r="1963" spans="10:10" x14ac:dyDescent="0.3">
      <c r="J1963" s="1"/>
    </row>
    <row r="1964" spans="10:10" x14ac:dyDescent="0.3">
      <c r="J1964" s="1"/>
    </row>
    <row r="1965" spans="10:10" x14ac:dyDescent="0.3">
      <c r="J1965" s="1"/>
    </row>
    <row r="1966" spans="10:10" x14ac:dyDescent="0.3">
      <c r="J1966" s="1"/>
    </row>
    <row r="1967" spans="10:10" x14ac:dyDescent="0.3">
      <c r="J1967" s="1"/>
    </row>
    <row r="1968" spans="10:10" x14ac:dyDescent="0.3">
      <c r="J1968" s="1"/>
    </row>
    <row r="1969" spans="10:10" x14ac:dyDescent="0.3">
      <c r="J1969" s="1"/>
    </row>
    <row r="1970" spans="10:10" x14ac:dyDescent="0.3">
      <c r="J1970" s="1"/>
    </row>
    <row r="1971" spans="10:10" x14ac:dyDescent="0.3">
      <c r="J1971" s="1"/>
    </row>
    <row r="1972" spans="10:10" x14ac:dyDescent="0.3">
      <c r="J1972" s="1"/>
    </row>
    <row r="1973" spans="10:10" x14ac:dyDescent="0.3">
      <c r="J1973" s="1"/>
    </row>
    <row r="1974" spans="10:10" x14ac:dyDescent="0.3">
      <c r="J1974" s="1"/>
    </row>
    <row r="1975" spans="10:10" x14ac:dyDescent="0.3">
      <c r="J1975" s="1"/>
    </row>
    <row r="1976" spans="10:10" x14ac:dyDescent="0.3">
      <c r="J1976" s="1"/>
    </row>
    <row r="1977" spans="10:10" x14ac:dyDescent="0.3">
      <c r="J1977" s="1"/>
    </row>
    <row r="1978" spans="10:10" x14ac:dyDescent="0.3">
      <c r="J1978" s="1"/>
    </row>
    <row r="1979" spans="10:10" x14ac:dyDescent="0.3">
      <c r="J1979" s="1"/>
    </row>
    <row r="1980" spans="10:10" x14ac:dyDescent="0.3">
      <c r="J1980" s="1"/>
    </row>
    <row r="1981" spans="10:10" x14ac:dyDescent="0.3">
      <c r="J1981" s="1"/>
    </row>
    <row r="1982" spans="10:10" x14ac:dyDescent="0.3">
      <c r="J1982" s="1"/>
    </row>
    <row r="1983" spans="10:10" x14ac:dyDescent="0.3">
      <c r="J1983" s="1"/>
    </row>
    <row r="1984" spans="10:10" x14ac:dyDescent="0.3">
      <c r="J1984" s="1"/>
    </row>
    <row r="1985" spans="10:10" x14ac:dyDescent="0.3">
      <c r="J1985" s="1"/>
    </row>
    <row r="1986" spans="10:10" x14ac:dyDescent="0.3">
      <c r="J1986" s="1"/>
    </row>
    <row r="1987" spans="10:10" x14ac:dyDescent="0.3">
      <c r="J1987" s="1"/>
    </row>
    <row r="1988" spans="10:10" x14ac:dyDescent="0.3">
      <c r="J1988" s="1"/>
    </row>
    <row r="1989" spans="10:10" x14ac:dyDescent="0.3">
      <c r="J1989" s="1"/>
    </row>
    <row r="1990" spans="10:10" x14ac:dyDescent="0.3">
      <c r="J1990" s="1"/>
    </row>
    <row r="1991" spans="10:10" x14ac:dyDescent="0.3">
      <c r="J1991" s="1"/>
    </row>
    <row r="1992" spans="10:10" x14ac:dyDescent="0.3">
      <c r="J1992" s="1"/>
    </row>
    <row r="1993" spans="10:10" x14ac:dyDescent="0.3">
      <c r="J1993" s="1"/>
    </row>
    <row r="1994" spans="10:10" x14ac:dyDescent="0.3">
      <c r="J1994" s="1"/>
    </row>
    <row r="1995" spans="10:10" x14ac:dyDescent="0.3">
      <c r="J1995" s="1"/>
    </row>
    <row r="1996" spans="10:10" x14ac:dyDescent="0.3">
      <c r="J1996" s="1"/>
    </row>
    <row r="1997" spans="10:10" x14ac:dyDescent="0.3">
      <c r="J1997" s="1"/>
    </row>
    <row r="1998" spans="10:10" x14ac:dyDescent="0.3">
      <c r="J1998" s="1"/>
    </row>
    <row r="1999" spans="10:10" x14ac:dyDescent="0.3">
      <c r="J1999" s="1"/>
    </row>
    <row r="2000" spans="10:10" x14ac:dyDescent="0.3">
      <c r="J2000" s="1"/>
    </row>
    <row r="2001" spans="10:10" x14ac:dyDescent="0.3">
      <c r="J2001" s="1"/>
    </row>
    <row r="2002" spans="10:10" x14ac:dyDescent="0.3">
      <c r="J2002" s="1"/>
    </row>
    <row r="2003" spans="10:10" x14ac:dyDescent="0.3">
      <c r="J2003" s="1"/>
    </row>
    <row r="2004" spans="10:10" x14ac:dyDescent="0.3">
      <c r="J2004" s="1"/>
    </row>
    <row r="2005" spans="10:10" x14ac:dyDescent="0.3">
      <c r="J2005" s="1"/>
    </row>
    <row r="2006" spans="10:10" x14ac:dyDescent="0.3">
      <c r="J2006" s="1"/>
    </row>
    <row r="2007" spans="10:10" x14ac:dyDescent="0.3">
      <c r="J2007" s="1"/>
    </row>
    <row r="2008" spans="10:10" x14ac:dyDescent="0.3">
      <c r="J2008" s="1"/>
    </row>
    <row r="2009" spans="10:10" x14ac:dyDescent="0.3">
      <c r="J2009" s="1"/>
    </row>
    <row r="2010" spans="10:10" x14ac:dyDescent="0.3">
      <c r="J2010" s="1"/>
    </row>
    <row r="2011" spans="10:10" x14ac:dyDescent="0.3">
      <c r="J2011" s="1"/>
    </row>
    <row r="2012" spans="10:10" x14ac:dyDescent="0.3">
      <c r="J2012" s="1"/>
    </row>
    <row r="2013" spans="10:10" x14ac:dyDescent="0.3">
      <c r="J2013" s="1"/>
    </row>
    <row r="2014" spans="10:10" x14ac:dyDescent="0.3">
      <c r="J2014" s="1"/>
    </row>
    <row r="2015" spans="10:10" x14ac:dyDescent="0.3">
      <c r="J2015" s="1"/>
    </row>
    <row r="2016" spans="10:10" x14ac:dyDescent="0.3">
      <c r="J2016" s="1"/>
    </row>
    <row r="2017" spans="10:10" x14ac:dyDescent="0.3">
      <c r="J2017" s="1"/>
    </row>
    <row r="2018" spans="10:10" x14ac:dyDescent="0.3">
      <c r="J2018" s="1"/>
    </row>
    <row r="2019" spans="10:10" x14ac:dyDescent="0.3">
      <c r="J2019" s="1"/>
    </row>
    <row r="2020" spans="10:10" x14ac:dyDescent="0.3">
      <c r="J2020" s="1"/>
    </row>
    <row r="2021" spans="10:10" x14ac:dyDescent="0.3">
      <c r="J2021" s="1"/>
    </row>
    <row r="2022" spans="10:10" x14ac:dyDescent="0.3">
      <c r="J2022" s="1"/>
    </row>
    <row r="2023" spans="10:10" x14ac:dyDescent="0.3">
      <c r="J2023" s="1"/>
    </row>
    <row r="2024" spans="10:10" x14ac:dyDescent="0.3">
      <c r="J2024" s="1"/>
    </row>
    <row r="2025" spans="10:10" x14ac:dyDescent="0.3">
      <c r="J2025" s="1"/>
    </row>
    <row r="2026" spans="10:10" x14ac:dyDescent="0.3">
      <c r="J2026" s="1"/>
    </row>
    <row r="2027" spans="10:10" x14ac:dyDescent="0.3">
      <c r="J2027" s="1"/>
    </row>
    <row r="2028" spans="10:10" x14ac:dyDescent="0.3">
      <c r="J2028" s="1"/>
    </row>
    <row r="2029" spans="10:10" x14ac:dyDescent="0.3">
      <c r="J2029" s="1"/>
    </row>
    <row r="2030" spans="10:10" x14ac:dyDescent="0.3">
      <c r="J2030" s="1"/>
    </row>
    <row r="2031" spans="10:10" x14ac:dyDescent="0.3">
      <c r="J2031" s="1"/>
    </row>
    <row r="2032" spans="10:10" x14ac:dyDescent="0.3">
      <c r="J2032" s="1"/>
    </row>
    <row r="2033" spans="10:10" x14ac:dyDescent="0.3">
      <c r="J2033" s="1"/>
    </row>
    <row r="2034" spans="10:10" x14ac:dyDescent="0.3">
      <c r="J2034" s="1"/>
    </row>
    <row r="2035" spans="10:10" x14ac:dyDescent="0.3">
      <c r="J2035" s="1"/>
    </row>
    <row r="2036" spans="10:10" x14ac:dyDescent="0.3">
      <c r="J2036" s="1"/>
    </row>
    <row r="2037" spans="10:10" x14ac:dyDescent="0.3">
      <c r="J2037" s="1"/>
    </row>
    <row r="2038" spans="10:10" x14ac:dyDescent="0.3">
      <c r="J2038" s="1"/>
    </row>
    <row r="2039" spans="10:10" x14ac:dyDescent="0.3">
      <c r="J2039" s="1"/>
    </row>
    <row r="2040" spans="10:10" x14ac:dyDescent="0.3">
      <c r="J2040" s="1"/>
    </row>
    <row r="2041" spans="10:10" x14ac:dyDescent="0.3">
      <c r="J2041" s="1"/>
    </row>
    <row r="2042" spans="10:10" x14ac:dyDescent="0.3">
      <c r="J2042" s="1"/>
    </row>
    <row r="2043" spans="10:10" x14ac:dyDescent="0.3">
      <c r="J2043" s="1"/>
    </row>
    <row r="2044" spans="10:10" x14ac:dyDescent="0.3">
      <c r="J2044" s="1"/>
    </row>
    <row r="2045" spans="10:10" x14ac:dyDescent="0.3">
      <c r="J2045" s="1"/>
    </row>
    <row r="2046" spans="10:10" x14ac:dyDescent="0.3">
      <c r="J2046" s="1"/>
    </row>
    <row r="2047" spans="10:10" x14ac:dyDescent="0.3">
      <c r="J2047" s="1"/>
    </row>
    <row r="2048" spans="10:10" x14ac:dyDescent="0.3">
      <c r="J2048" s="1"/>
    </row>
    <row r="2049" spans="10:10" x14ac:dyDescent="0.3">
      <c r="J2049" s="1"/>
    </row>
    <row r="2050" spans="10:10" x14ac:dyDescent="0.3">
      <c r="J2050" s="1"/>
    </row>
    <row r="2051" spans="10:10" x14ac:dyDescent="0.3">
      <c r="J2051" s="1"/>
    </row>
    <row r="2052" spans="10:10" x14ac:dyDescent="0.3">
      <c r="J2052" s="1"/>
    </row>
    <row r="2053" spans="10:10" x14ac:dyDescent="0.3">
      <c r="J2053" s="1"/>
    </row>
    <row r="2054" spans="10:10" x14ac:dyDescent="0.3">
      <c r="J2054" s="1"/>
    </row>
    <row r="2055" spans="10:10" x14ac:dyDescent="0.3">
      <c r="J2055" s="1"/>
    </row>
    <row r="2056" spans="10:10" x14ac:dyDescent="0.3">
      <c r="J2056" s="1"/>
    </row>
    <row r="2057" spans="10:10" x14ac:dyDescent="0.3">
      <c r="J2057" s="1"/>
    </row>
    <row r="2058" spans="10:10" x14ac:dyDescent="0.3">
      <c r="J2058" s="1"/>
    </row>
    <row r="2059" spans="10:10" x14ac:dyDescent="0.3">
      <c r="J2059" s="1"/>
    </row>
    <row r="2060" spans="10:10" x14ac:dyDescent="0.3">
      <c r="J2060" s="1"/>
    </row>
    <row r="2061" spans="10:10" x14ac:dyDescent="0.3">
      <c r="J2061" s="1"/>
    </row>
    <row r="2062" spans="10:10" x14ac:dyDescent="0.3">
      <c r="J2062" s="1"/>
    </row>
    <row r="2063" spans="10:10" x14ac:dyDescent="0.3">
      <c r="J2063" s="1"/>
    </row>
    <row r="2064" spans="10:10" x14ac:dyDescent="0.3">
      <c r="J2064" s="1"/>
    </row>
    <row r="2065" spans="10:10" x14ac:dyDescent="0.3">
      <c r="J2065" s="1"/>
    </row>
    <row r="2066" spans="10:10" x14ac:dyDescent="0.3">
      <c r="J2066" s="1"/>
    </row>
    <row r="2067" spans="10:10" x14ac:dyDescent="0.3">
      <c r="J2067" s="1"/>
    </row>
    <row r="2068" spans="10:10" x14ac:dyDescent="0.3">
      <c r="J2068" s="1"/>
    </row>
    <row r="2069" spans="10:10" x14ac:dyDescent="0.3">
      <c r="J2069" s="1"/>
    </row>
    <row r="2070" spans="10:10" x14ac:dyDescent="0.3">
      <c r="J2070" s="1"/>
    </row>
    <row r="2071" spans="10:10" x14ac:dyDescent="0.3">
      <c r="J2071" s="1"/>
    </row>
    <row r="2072" spans="10:10" x14ac:dyDescent="0.3">
      <c r="J2072" s="1"/>
    </row>
    <row r="2073" spans="10:10" x14ac:dyDescent="0.3">
      <c r="J2073" s="1"/>
    </row>
    <row r="2074" spans="10:10" x14ac:dyDescent="0.3">
      <c r="J2074" s="1"/>
    </row>
    <row r="2075" spans="10:10" x14ac:dyDescent="0.3">
      <c r="J2075" s="1"/>
    </row>
    <row r="2076" spans="10:10" x14ac:dyDescent="0.3">
      <c r="J2076" s="1"/>
    </row>
    <row r="2077" spans="10:10" x14ac:dyDescent="0.3">
      <c r="J2077" s="1"/>
    </row>
    <row r="2078" spans="10:10" x14ac:dyDescent="0.3">
      <c r="J2078" s="1"/>
    </row>
    <row r="2079" spans="10:10" x14ac:dyDescent="0.3">
      <c r="J2079" s="1"/>
    </row>
    <row r="2080" spans="10:10" x14ac:dyDescent="0.3">
      <c r="J2080" s="1"/>
    </row>
    <row r="2081" spans="10:10" x14ac:dyDescent="0.3">
      <c r="J2081" s="1"/>
    </row>
    <row r="2082" spans="10:10" x14ac:dyDescent="0.3">
      <c r="J2082" s="1"/>
    </row>
    <row r="2083" spans="10:10" x14ac:dyDescent="0.3">
      <c r="J2083" s="1"/>
    </row>
    <row r="2084" spans="10:10" x14ac:dyDescent="0.3">
      <c r="J2084" s="1"/>
    </row>
    <row r="2085" spans="10:10" x14ac:dyDescent="0.3">
      <c r="J2085" s="1"/>
    </row>
    <row r="2086" spans="10:10" x14ac:dyDescent="0.3">
      <c r="J2086" s="1"/>
    </row>
    <row r="2087" spans="10:10" x14ac:dyDescent="0.3">
      <c r="J2087" s="1"/>
    </row>
    <row r="2088" spans="10:10" x14ac:dyDescent="0.3">
      <c r="J2088" s="1"/>
    </row>
    <row r="2089" spans="10:10" x14ac:dyDescent="0.3">
      <c r="J2089" s="1"/>
    </row>
    <row r="2090" spans="10:10" x14ac:dyDescent="0.3">
      <c r="J2090" s="1"/>
    </row>
    <row r="2091" spans="10:10" x14ac:dyDescent="0.3">
      <c r="J2091" s="1"/>
    </row>
    <row r="2092" spans="10:10" x14ac:dyDescent="0.3">
      <c r="J2092" s="1"/>
    </row>
    <row r="2093" spans="10:10" x14ac:dyDescent="0.3">
      <c r="J2093" s="1"/>
    </row>
    <row r="2094" spans="10:10" x14ac:dyDescent="0.3">
      <c r="J2094" s="1"/>
    </row>
    <row r="2095" spans="10:10" x14ac:dyDescent="0.3">
      <c r="J2095" s="1"/>
    </row>
    <row r="2096" spans="10:10" x14ac:dyDescent="0.3">
      <c r="J2096" s="1"/>
    </row>
    <row r="2097" spans="10:10" x14ac:dyDescent="0.3">
      <c r="J2097" s="1"/>
    </row>
    <row r="2098" spans="10:10" x14ac:dyDescent="0.3">
      <c r="J2098" s="1"/>
    </row>
    <row r="2099" spans="10:10" x14ac:dyDescent="0.3">
      <c r="J2099" s="1"/>
    </row>
    <row r="2100" spans="10:10" x14ac:dyDescent="0.3">
      <c r="J2100" s="1"/>
    </row>
    <row r="2101" spans="10:10" x14ac:dyDescent="0.3">
      <c r="J2101" s="1"/>
    </row>
    <row r="2102" spans="10:10" x14ac:dyDescent="0.3">
      <c r="J2102" s="1"/>
    </row>
    <row r="2103" spans="10:10" x14ac:dyDescent="0.3">
      <c r="J2103" s="1"/>
    </row>
    <row r="2104" spans="10:10" x14ac:dyDescent="0.3">
      <c r="J2104" s="1"/>
    </row>
    <row r="2105" spans="10:10" x14ac:dyDescent="0.3">
      <c r="J2105" s="1"/>
    </row>
    <row r="2106" spans="10:10" x14ac:dyDescent="0.3">
      <c r="J2106" s="1"/>
    </row>
    <row r="2107" spans="10:10" x14ac:dyDescent="0.3">
      <c r="J2107" s="1"/>
    </row>
    <row r="2108" spans="10:10" x14ac:dyDescent="0.3">
      <c r="J2108" s="1"/>
    </row>
    <row r="2109" spans="10:10" x14ac:dyDescent="0.3">
      <c r="J2109" s="1"/>
    </row>
    <row r="2110" spans="10:10" x14ac:dyDescent="0.3">
      <c r="J2110" s="1"/>
    </row>
    <row r="2111" spans="10:10" x14ac:dyDescent="0.3">
      <c r="J2111" s="1"/>
    </row>
    <row r="2112" spans="10:10" x14ac:dyDescent="0.3">
      <c r="J2112" s="1"/>
    </row>
    <row r="2113" spans="10:10" x14ac:dyDescent="0.3">
      <c r="J2113" s="1"/>
    </row>
    <row r="2114" spans="10:10" x14ac:dyDescent="0.3">
      <c r="J2114" s="1"/>
    </row>
    <row r="2115" spans="10:10" x14ac:dyDescent="0.3">
      <c r="J2115" s="1"/>
    </row>
    <row r="2116" spans="10:10" x14ac:dyDescent="0.3">
      <c r="J2116" s="1"/>
    </row>
    <row r="2117" spans="10:10" x14ac:dyDescent="0.3">
      <c r="J2117" s="1"/>
    </row>
    <row r="2118" spans="10:10" x14ac:dyDescent="0.3">
      <c r="J2118" s="1"/>
    </row>
    <row r="2119" spans="10:10" x14ac:dyDescent="0.3">
      <c r="J2119" s="1"/>
    </row>
    <row r="2120" spans="10:10" x14ac:dyDescent="0.3">
      <c r="J2120" s="1"/>
    </row>
    <row r="2121" spans="10:10" x14ac:dyDescent="0.3">
      <c r="J2121" s="1"/>
    </row>
    <row r="2122" spans="10:10" x14ac:dyDescent="0.3">
      <c r="J2122" s="1"/>
    </row>
    <row r="2123" spans="10:10" x14ac:dyDescent="0.3">
      <c r="J2123" s="1"/>
    </row>
    <row r="2124" spans="10:10" x14ac:dyDescent="0.3">
      <c r="J2124" s="1"/>
    </row>
    <row r="2125" spans="10:10" x14ac:dyDescent="0.3">
      <c r="J2125" s="1"/>
    </row>
    <row r="2126" spans="10:10" x14ac:dyDescent="0.3">
      <c r="J2126" s="1"/>
    </row>
    <row r="2127" spans="10:10" x14ac:dyDescent="0.3">
      <c r="J2127" s="1"/>
    </row>
    <row r="2128" spans="10:10" x14ac:dyDescent="0.3">
      <c r="J2128" s="1"/>
    </row>
    <row r="2129" spans="10:10" x14ac:dyDescent="0.3">
      <c r="J2129" s="1"/>
    </row>
    <row r="2130" spans="10:10" x14ac:dyDescent="0.3">
      <c r="J2130" s="1"/>
    </row>
    <row r="2131" spans="10:10" x14ac:dyDescent="0.3">
      <c r="J2131" s="1"/>
    </row>
    <row r="2132" spans="10:10" x14ac:dyDescent="0.3">
      <c r="J2132" s="1"/>
    </row>
    <row r="2133" spans="10:10" x14ac:dyDescent="0.3">
      <c r="J2133" s="1"/>
    </row>
    <row r="2134" spans="10:10" x14ac:dyDescent="0.3">
      <c r="J2134" s="1"/>
    </row>
    <row r="2135" spans="10:10" x14ac:dyDescent="0.3">
      <c r="J2135" s="1"/>
    </row>
    <row r="2136" spans="10:10" x14ac:dyDescent="0.3">
      <c r="J2136" s="1"/>
    </row>
    <row r="2137" spans="10:10" x14ac:dyDescent="0.3">
      <c r="J2137" s="1"/>
    </row>
    <row r="2138" spans="10:10" x14ac:dyDescent="0.3">
      <c r="J2138" s="1"/>
    </row>
    <row r="2139" spans="10:10" x14ac:dyDescent="0.3">
      <c r="J2139" s="1"/>
    </row>
    <row r="2140" spans="10:10" x14ac:dyDescent="0.3">
      <c r="J2140" s="1"/>
    </row>
    <row r="2141" spans="10:10" x14ac:dyDescent="0.3">
      <c r="J2141" s="1"/>
    </row>
    <row r="2142" spans="10:10" x14ac:dyDescent="0.3">
      <c r="J2142" s="1"/>
    </row>
    <row r="2143" spans="10:10" x14ac:dyDescent="0.3">
      <c r="J2143" s="1"/>
    </row>
    <row r="2144" spans="10:10" x14ac:dyDescent="0.3">
      <c r="J2144" s="1"/>
    </row>
    <row r="2145" spans="10:10" x14ac:dyDescent="0.3">
      <c r="J2145" s="1"/>
    </row>
    <row r="2146" spans="10:10" x14ac:dyDescent="0.3">
      <c r="J2146" s="1"/>
    </row>
    <row r="2147" spans="10:10" x14ac:dyDescent="0.3">
      <c r="J2147" s="1"/>
    </row>
    <row r="2148" spans="10:10" x14ac:dyDescent="0.3">
      <c r="J2148" s="1"/>
    </row>
    <row r="2149" spans="10:10" x14ac:dyDescent="0.3">
      <c r="J2149" s="1"/>
    </row>
    <row r="2150" spans="10:10" x14ac:dyDescent="0.3">
      <c r="J2150" s="1"/>
    </row>
    <row r="2151" spans="10:10" x14ac:dyDescent="0.3">
      <c r="J2151" s="1"/>
    </row>
    <row r="2152" spans="10:10" x14ac:dyDescent="0.3">
      <c r="J2152" s="1"/>
    </row>
    <row r="2153" spans="10:10" x14ac:dyDescent="0.3">
      <c r="J2153" s="1"/>
    </row>
    <row r="2154" spans="10:10" x14ac:dyDescent="0.3">
      <c r="J2154" s="1"/>
    </row>
    <row r="2155" spans="10:10" x14ac:dyDescent="0.3">
      <c r="J2155" s="1"/>
    </row>
    <row r="2156" spans="10:10" x14ac:dyDescent="0.3">
      <c r="J2156" s="1"/>
    </row>
    <row r="2157" spans="10:10" x14ac:dyDescent="0.3">
      <c r="J2157" s="1"/>
    </row>
    <row r="2158" spans="10:10" x14ac:dyDescent="0.3">
      <c r="J2158" s="1"/>
    </row>
    <row r="2159" spans="10:10" x14ac:dyDescent="0.3">
      <c r="J2159" s="1"/>
    </row>
    <row r="2160" spans="10:10" x14ac:dyDescent="0.3">
      <c r="J2160" s="1"/>
    </row>
    <row r="2161" spans="10:10" x14ac:dyDescent="0.3">
      <c r="J2161" s="1"/>
    </row>
    <row r="2162" spans="10:10" x14ac:dyDescent="0.3">
      <c r="J2162" s="1"/>
    </row>
    <row r="2163" spans="10:10" x14ac:dyDescent="0.3">
      <c r="J2163" s="1"/>
    </row>
    <row r="2164" spans="10:10" x14ac:dyDescent="0.3">
      <c r="J2164" s="1"/>
    </row>
    <row r="2165" spans="10:10" x14ac:dyDescent="0.3">
      <c r="J2165" s="1"/>
    </row>
    <row r="2166" spans="10:10" x14ac:dyDescent="0.3">
      <c r="J2166" s="1"/>
    </row>
    <row r="2167" spans="10:10" x14ac:dyDescent="0.3">
      <c r="J2167" s="1"/>
    </row>
    <row r="2168" spans="10:10" x14ac:dyDescent="0.3">
      <c r="J2168" s="1"/>
    </row>
    <row r="2169" spans="10:10" x14ac:dyDescent="0.3">
      <c r="J2169" s="1"/>
    </row>
    <row r="2170" spans="10:10" x14ac:dyDescent="0.3">
      <c r="J2170" s="1"/>
    </row>
    <row r="2171" spans="10:10" x14ac:dyDescent="0.3">
      <c r="J2171" s="1"/>
    </row>
    <row r="2172" spans="10:10" x14ac:dyDescent="0.3">
      <c r="J2172" s="1"/>
    </row>
    <row r="2173" spans="10:10" x14ac:dyDescent="0.3">
      <c r="J2173" s="1"/>
    </row>
    <row r="2174" spans="10:10" x14ac:dyDescent="0.3">
      <c r="J2174" s="1"/>
    </row>
    <row r="2175" spans="10:10" x14ac:dyDescent="0.3">
      <c r="J2175" s="1"/>
    </row>
    <row r="2176" spans="10:10" x14ac:dyDescent="0.3">
      <c r="J2176" s="1"/>
    </row>
    <row r="2177" spans="10:10" x14ac:dyDescent="0.3">
      <c r="J2177" s="1"/>
    </row>
    <row r="2178" spans="10:10" x14ac:dyDescent="0.3">
      <c r="J2178" s="1"/>
    </row>
    <row r="2179" spans="10:10" x14ac:dyDescent="0.3">
      <c r="J2179" s="1"/>
    </row>
    <row r="2180" spans="10:10" x14ac:dyDescent="0.3">
      <c r="J2180" s="1"/>
    </row>
    <row r="2181" spans="10:10" x14ac:dyDescent="0.3">
      <c r="J2181" s="1"/>
    </row>
    <row r="2182" spans="10:10" x14ac:dyDescent="0.3">
      <c r="J2182" s="1"/>
    </row>
    <row r="2183" spans="10:10" x14ac:dyDescent="0.3">
      <c r="J2183" s="1"/>
    </row>
    <row r="2184" spans="10:10" x14ac:dyDescent="0.3">
      <c r="J2184" s="1"/>
    </row>
    <row r="2185" spans="10:10" x14ac:dyDescent="0.3">
      <c r="J2185" s="1"/>
    </row>
    <row r="2186" spans="10:10" x14ac:dyDescent="0.3">
      <c r="J2186" s="1"/>
    </row>
    <row r="2187" spans="10:10" x14ac:dyDescent="0.3">
      <c r="J2187" s="1"/>
    </row>
    <row r="2188" spans="10:10" x14ac:dyDescent="0.3">
      <c r="J2188" s="1"/>
    </row>
    <row r="2189" spans="10:10" x14ac:dyDescent="0.3">
      <c r="J2189" s="1"/>
    </row>
    <row r="2190" spans="10:10" x14ac:dyDescent="0.3">
      <c r="J2190" s="1"/>
    </row>
    <row r="2191" spans="10:10" x14ac:dyDescent="0.3">
      <c r="J2191" s="1"/>
    </row>
    <row r="2192" spans="10:10" x14ac:dyDescent="0.3">
      <c r="J2192" s="1"/>
    </row>
    <row r="2193" spans="10:10" x14ac:dyDescent="0.3">
      <c r="J2193" s="1"/>
    </row>
    <row r="2194" spans="10:10" x14ac:dyDescent="0.3">
      <c r="J2194" s="1"/>
    </row>
    <row r="2195" spans="10:10" x14ac:dyDescent="0.3">
      <c r="J2195" s="1"/>
    </row>
    <row r="2196" spans="10:10" x14ac:dyDescent="0.3">
      <c r="J2196" s="1"/>
    </row>
    <row r="2197" spans="10:10" x14ac:dyDescent="0.3">
      <c r="J2197" s="1"/>
    </row>
    <row r="2198" spans="10:10" x14ac:dyDescent="0.3">
      <c r="J2198" s="1"/>
    </row>
    <row r="2199" spans="10:10" x14ac:dyDescent="0.3">
      <c r="J2199" s="1"/>
    </row>
    <row r="2200" spans="10:10" x14ac:dyDescent="0.3">
      <c r="J2200" s="1"/>
    </row>
    <row r="2201" spans="10:10" x14ac:dyDescent="0.3">
      <c r="J2201" s="1"/>
    </row>
    <row r="2202" spans="10:10" x14ac:dyDescent="0.3">
      <c r="J2202" s="1"/>
    </row>
    <row r="2203" spans="10:10" x14ac:dyDescent="0.3">
      <c r="J2203" s="1"/>
    </row>
    <row r="2204" spans="10:10" x14ac:dyDescent="0.3">
      <c r="J2204" s="1"/>
    </row>
    <row r="2205" spans="10:10" x14ac:dyDescent="0.3">
      <c r="J2205" s="1"/>
    </row>
    <row r="2206" spans="10:10" x14ac:dyDescent="0.3">
      <c r="J2206" s="1"/>
    </row>
    <row r="2207" spans="10:10" x14ac:dyDescent="0.3">
      <c r="J2207" s="1"/>
    </row>
    <row r="2208" spans="10:10" x14ac:dyDescent="0.3">
      <c r="J2208" s="1"/>
    </row>
    <row r="2209" spans="10:10" x14ac:dyDescent="0.3">
      <c r="J2209" s="1"/>
    </row>
    <row r="2210" spans="10:10" x14ac:dyDescent="0.3">
      <c r="J2210" s="1"/>
    </row>
    <row r="2211" spans="10:10" x14ac:dyDescent="0.3">
      <c r="J2211" s="1"/>
    </row>
    <row r="2212" spans="10:10" x14ac:dyDescent="0.3">
      <c r="J2212" s="1"/>
    </row>
    <row r="2213" spans="10:10" x14ac:dyDescent="0.3">
      <c r="J2213" s="1"/>
    </row>
    <row r="2214" spans="10:10" x14ac:dyDescent="0.3">
      <c r="J2214" s="1"/>
    </row>
    <row r="2215" spans="10:10" x14ac:dyDescent="0.3">
      <c r="J2215" s="1"/>
    </row>
    <row r="2216" spans="10:10" x14ac:dyDescent="0.3">
      <c r="J2216" s="1"/>
    </row>
    <row r="2217" spans="10:10" x14ac:dyDescent="0.3">
      <c r="J2217" s="1"/>
    </row>
    <row r="2218" spans="10:10" x14ac:dyDescent="0.3">
      <c r="J2218" s="1"/>
    </row>
    <row r="2219" spans="10:10" x14ac:dyDescent="0.3">
      <c r="J2219" s="1"/>
    </row>
    <row r="2220" spans="10:10" x14ac:dyDescent="0.3">
      <c r="J2220" s="1"/>
    </row>
    <row r="2221" spans="10:10" x14ac:dyDescent="0.3">
      <c r="J2221" s="1"/>
    </row>
    <row r="2222" spans="10:10" x14ac:dyDescent="0.3">
      <c r="J2222" s="1"/>
    </row>
    <row r="2223" spans="10:10" x14ac:dyDescent="0.3">
      <c r="J2223" s="1"/>
    </row>
    <row r="2224" spans="10:10" x14ac:dyDescent="0.3">
      <c r="J2224" s="1"/>
    </row>
    <row r="2225" spans="10:10" x14ac:dyDescent="0.3">
      <c r="J2225" s="1"/>
    </row>
    <row r="2226" spans="10:10" x14ac:dyDescent="0.3">
      <c r="J2226" s="1"/>
    </row>
    <row r="2227" spans="10:10" x14ac:dyDescent="0.3">
      <c r="J2227" s="1"/>
    </row>
    <row r="2228" spans="10:10" x14ac:dyDescent="0.3">
      <c r="J2228" s="1"/>
    </row>
    <row r="2229" spans="10:10" x14ac:dyDescent="0.3">
      <c r="J2229" s="1"/>
    </row>
    <row r="2230" spans="10:10" x14ac:dyDescent="0.3">
      <c r="J2230" s="1"/>
    </row>
    <row r="2231" spans="10:10" x14ac:dyDescent="0.3">
      <c r="J2231" s="1"/>
    </row>
    <row r="2232" spans="10:10" x14ac:dyDescent="0.3">
      <c r="J2232" s="1"/>
    </row>
    <row r="2233" spans="10:10" x14ac:dyDescent="0.3">
      <c r="J2233" s="1"/>
    </row>
    <row r="2234" spans="10:10" x14ac:dyDescent="0.3">
      <c r="J2234" s="1"/>
    </row>
    <row r="2235" spans="10:10" x14ac:dyDescent="0.3">
      <c r="J2235" s="1"/>
    </row>
    <row r="2236" spans="10:10" x14ac:dyDescent="0.3">
      <c r="J2236" s="1"/>
    </row>
    <row r="2237" spans="10:10" x14ac:dyDescent="0.3">
      <c r="J2237" s="1"/>
    </row>
    <row r="2238" spans="10:10" x14ac:dyDescent="0.3">
      <c r="J2238" s="1"/>
    </row>
    <row r="2239" spans="10:10" x14ac:dyDescent="0.3">
      <c r="J2239" s="1"/>
    </row>
    <row r="2240" spans="10:10" x14ac:dyDescent="0.3">
      <c r="J2240" s="1"/>
    </row>
    <row r="2241" spans="10:10" x14ac:dyDescent="0.3">
      <c r="J2241" s="1"/>
    </row>
    <row r="2242" spans="10:10" x14ac:dyDescent="0.3">
      <c r="J2242" s="1"/>
    </row>
    <row r="2243" spans="10:10" x14ac:dyDescent="0.3">
      <c r="J2243" s="1"/>
    </row>
    <row r="2244" spans="10:10" x14ac:dyDescent="0.3">
      <c r="J2244" s="1"/>
    </row>
    <row r="2245" spans="10:10" x14ac:dyDescent="0.3">
      <c r="J2245" s="1"/>
    </row>
    <row r="2246" spans="10:10" x14ac:dyDescent="0.3">
      <c r="J2246" s="1"/>
    </row>
    <row r="2247" spans="10:10" x14ac:dyDescent="0.3">
      <c r="J2247" s="1"/>
    </row>
    <row r="2248" spans="10:10" x14ac:dyDescent="0.3">
      <c r="J2248" s="1"/>
    </row>
    <row r="2249" spans="10:10" x14ac:dyDescent="0.3">
      <c r="J2249" s="1"/>
    </row>
    <row r="2250" spans="10:10" x14ac:dyDescent="0.3">
      <c r="J2250" s="1"/>
    </row>
    <row r="2251" spans="10:10" x14ac:dyDescent="0.3">
      <c r="J2251" s="1"/>
    </row>
    <row r="2252" spans="10:10" x14ac:dyDescent="0.3">
      <c r="J2252" s="1"/>
    </row>
    <row r="2253" spans="10:10" x14ac:dyDescent="0.3">
      <c r="J2253" s="1"/>
    </row>
    <row r="2254" spans="10:10" x14ac:dyDescent="0.3">
      <c r="J2254" s="1"/>
    </row>
    <row r="2255" spans="10:10" x14ac:dyDescent="0.3">
      <c r="J2255" s="1"/>
    </row>
    <row r="2256" spans="10:10" x14ac:dyDescent="0.3">
      <c r="J2256" s="1"/>
    </row>
    <row r="2257" spans="10:10" x14ac:dyDescent="0.3">
      <c r="J2257" s="1"/>
    </row>
    <row r="2258" spans="10:10" x14ac:dyDescent="0.3">
      <c r="J2258" s="1"/>
    </row>
    <row r="2259" spans="10:10" x14ac:dyDescent="0.3">
      <c r="J2259" s="1"/>
    </row>
    <row r="2260" spans="10:10" x14ac:dyDescent="0.3">
      <c r="J2260" s="1"/>
    </row>
    <row r="2261" spans="10:10" x14ac:dyDescent="0.3">
      <c r="J2261" s="1"/>
    </row>
    <row r="2262" spans="10:10" x14ac:dyDescent="0.3">
      <c r="J2262" s="1"/>
    </row>
    <row r="2263" spans="10:10" x14ac:dyDescent="0.3">
      <c r="J2263" s="1"/>
    </row>
    <row r="2264" spans="10:10" x14ac:dyDescent="0.3">
      <c r="J2264" s="1"/>
    </row>
    <row r="2265" spans="10:10" x14ac:dyDescent="0.3">
      <c r="J2265" s="1"/>
    </row>
    <row r="2266" spans="10:10" x14ac:dyDescent="0.3">
      <c r="J2266" s="1"/>
    </row>
    <row r="2267" spans="10:10" x14ac:dyDescent="0.3">
      <c r="J2267" s="1"/>
    </row>
    <row r="2268" spans="10:10" x14ac:dyDescent="0.3">
      <c r="J2268" s="1"/>
    </row>
    <row r="2269" spans="10:10" x14ac:dyDescent="0.3">
      <c r="J2269" s="1"/>
    </row>
    <row r="2270" spans="10:10" x14ac:dyDescent="0.3">
      <c r="J2270" s="1"/>
    </row>
    <row r="2271" spans="10:10" x14ac:dyDescent="0.3">
      <c r="J2271" s="1"/>
    </row>
    <row r="2272" spans="10:10" x14ac:dyDescent="0.3">
      <c r="J2272" s="1"/>
    </row>
    <row r="2273" spans="10:10" x14ac:dyDescent="0.3">
      <c r="J2273" s="1"/>
    </row>
    <row r="2274" spans="10:10" x14ac:dyDescent="0.3">
      <c r="J2274" s="1"/>
    </row>
    <row r="2275" spans="10:10" x14ac:dyDescent="0.3">
      <c r="J2275" s="1"/>
    </row>
    <row r="2276" spans="10:10" x14ac:dyDescent="0.3">
      <c r="J2276" s="1"/>
    </row>
    <row r="2277" spans="10:10" x14ac:dyDescent="0.3">
      <c r="J2277" s="1"/>
    </row>
    <row r="2278" spans="10:10" x14ac:dyDescent="0.3">
      <c r="J2278" s="1"/>
    </row>
    <row r="2279" spans="10:10" x14ac:dyDescent="0.3">
      <c r="J2279" s="1"/>
    </row>
    <row r="2280" spans="10:10" x14ac:dyDescent="0.3">
      <c r="J2280" s="1"/>
    </row>
    <row r="2281" spans="10:10" x14ac:dyDescent="0.3">
      <c r="J2281" s="1"/>
    </row>
    <row r="2282" spans="10:10" x14ac:dyDescent="0.3">
      <c r="J2282" s="1"/>
    </row>
    <row r="2283" spans="10:10" x14ac:dyDescent="0.3">
      <c r="J2283" s="1"/>
    </row>
    <row r="2284" spans="10:10" x14ac:dyDescent="0.3">
      <c r="J2284" s="1"/>
    </row>
    <row r="2285" spans="10:10" x14ac:dyDescent="0.3">
      <c r="J2285" s="1"/>
    </row>
    <row r="2286" spans="10:10" x14ac:dyDescent="0.3">
      <c r="J2286" s="1"/>
    </row>
    <row r="2287" spans="10:10" x14ac:dyDescent="0.3">
      <c r="J2287" s="1"/>
    </row>
    <row r="2288" spans="10:10" x14ac:dyDescent="0.3">
      <c r="J2288" s="1"/>
    </row>
    <row r="2289" spans="10:10" x14ac:dyDescent="0.3">
      <c r="J2289" s="1"/>
    </row>
    <row r="2290" spans="10:10" x14ac:dyDescent="0.3">
      <c r="J2290" s="1"/>
    </row>
    <row r="2291" spans="10:10" x14ac:dyDescent="0.3">
      <c r="J2291" s="1"/>
    </row>
    <row r="2292" spans="10:10" x14ac:dyDescent="0.3">
      <c r="J2292" s="1"/>
    </row>
    <row r="2293" spans="10:10" x14ac:dyDescent="0.3">
      <c r="J2293" s="1"/>
    </row>
    <row r="2294" spans="10:10" x14ac:dyDescent="0.3">
      <c r="J2294" s="1"/>
    </row>
    <row r="2295" spans="10:10" x14ac:dyDescent="0.3">
      <c r="J2295" s="1"/>
    </row>
    <row r="2296" spans="10:10" x14ac:dyDescent="0.3">
      <c r="J2296" s="1"/>
    </row>
    <row r="2297" spans="10:10" x14ac:dyDescent="0.3">
      <c r="J2297" s="1"/>
    </row>
    <row r="2298" spans="10:10" x14ac:dyDescent="0.3">
      <c r="J2298" s="1"/>
    </row>
    <row r="2299" spans="10:10" x14ac:dyDescent="0.3">
      <c r="J2299" s="1"/>
    </row>
    <row r="2300" spans="10:10" x14ac:dyDescent="0.3">
      <c r="J2300" s="1"/>
    </row>
    <row r="2301" spans="10:10" x14ac:dyDescent="0.3">
      <c r="J2301" s="1"/>
    </row>
    <row r="2302" spans="10:10" x14ac:dyDescent="0.3">
      <c r="J2302" s="1"/>
    </row>
    <row r="2303" spans="10:10" x14ac:dyDescent="0.3">
      <c r="J2303" s="1"/>
    </row>
    <row r="2304" spans="10:10" x14ac:dyDescent="0.3">
      <c r="J2304" s="1"/>
    </row>
    <row r="2305" spans="10:10" x14ac:dyDescent="0.3">
      <c r="J2305" s="1"/>
    </row>
    <row r="2306" spans="10:10" x14ac:dyDescent="0.3">
      <c r="J2306" s="1"/>
    </row>
    <row r="2307" spans="10:10" x14ac:dyDescent="0.3">
      <c r="J2307" s="1"/>
    </row>
    <row r="2308" spans="10:10" x14ac:dyDescent="0.3">
      <c r="J2308" s="1"/>
    </row>
    <row r="2309" spans="10:10" x14ac:dyDescent="0.3">
      <c r="J2309" s="1"/>
    </row>
    <row r="2310" spans="10:10" x14ac:dyDescent="0.3">
      <c r="J2310" s="1"/>
    </row>
    <row r="2311" spans="10:10" x14ac:dyDescent="0.3">
      <c r="J2311" s="1"/>
    </row>
    <row r="2312" spans="10:10" x14ac:dyDescent="0.3">
      <c r="J2312" s="1"/>
    </row>
    <row r="2313" spans="10:10" x14ac:dyDescent="0.3">
      <c r="J2313" s="1"/>
    </row>
    <row r="2314" spans="10:10" x14ac:dyDescent="0.3">
      <c r="J2314" s="1"/>
    </row>
    <row r="2315" spans="10:10" x14ac:dyDescent="0.3">
      <c r="J2315" s="1"/>
    </row>
    <row r="2316" spans="10:10" x14ac:dyDescent="0.3">
      <c r="J2316" s="1"/>
    </row>
    <row r="2317" spans="10:10" x14ac:dyDescent="0.3">
      <c r="J2317" s="1"/>
    </row>
    <row r="2318" spans="10:10" x14ac:dyDescent="0.3">
      <c r="J2318" s="1"/>
    </row>
    <row r="2319" spans="10:10" x14ac:dyDescent="0.3">
      <c r="J2319" s="1"/>
    </row>
    <row r="2320" spans="10:10" x14ac:dyDescent="0.3">
      <c r="J2320" s="1"/>
    </row>
    <row r="2321" spans="10:10" x14ac:dyDescent="0.3">
      <c r="J2321" s="1"/>
    </row>
    <row r="2322" spans="10:10" x14ac:dyDescent="0.3">
      <c r="J2322" s="1"/>
    </row>
    <row r="2323" spans="10:10" x14ac:dyDescent="0.3">
      <c r="J2323" s="1"/>
    </row>
    <row r="2324" spans="10:10" x14ac:dyDescent="0.3">
      <c r="J2324" s="1"/>
    </row>
    <row r="2325" spans="10:10" x14ac:dyDescent="0.3">
      <c r="J2325" s="1"/>
    </row>
    <row r="2326" spans="10:10" x14ac:dyDescent="0.3">
      <c r="J2326" s="1"/>
    </row>
    <row r="2327" spans="10:10" x14ac:dyDescent="0.3">
      <c r="J2327" s="1"/>
    </row>
    <row r="2328" spans="10:10" x14ac:dyDescent="0.3">
      <c r="J2328" s="1"/>
    </row>
    <row r="2329" spans="10:10" x14ac:dyDescent="0.3">
      <c r="J2329" s="1"/>
    </row>
    <row r="2330" spans="10:10" x14ac:dyDescent="0.3">
      <c r="J2330" s="1"/>
    </row>
    <row r="2331" spans="10:10" x14ac:dyDescent="0.3">
      <c r="J2331" s="1"/>
    </row>
    <row r="2332" spans="10:10" x14ac:dyDescent="0.3">
      <c r="J2332" s="1"/>
    </row>
    <row r="2333" spans="10:10" x14ac:dyDescent="0.3">
      <c r="J2333" s="1"/>
    </row>
    <row r="2334" spans="10:10" x14ac:dyDescent="0.3">
      <c r="J2334" s="1"/>
    </row>
    <row r="2335" spans="10:10" x14ac:dyDescent="0.3">
      <c r="J2335" s="1"/>
    </row>
    <row r="2336" spans="10:10" x14ac:dyDescent="0.3">
      <c r="J2336" s="1"/>
    </row>
    <row r="2337" spans="10:10" x14ac:dyDescent="0.3">
      <c r="J2337" s="1"/>
    </row>
    <row r="2338" spans="10:10" x14ac:dyDescent="0.3">
      <c r="J2338" s="1"/>
    </row>
    <row r="2339" spans="10:10" x14ac:dyDescent="0.3">
      <c r="J2339" s="1"/>
    </row>
    <row r="2340" spans="10:10" x14ac:dyDescent="0.3">
      <c r="J2340" s="1"/>
    </row>
    <row r="2341" spans="10:10" x14ac:dyDescent="0.3">
      <c r="J2341" s="1"/>
    </row>
    <row r="2342" spans="10:10" x14ac:dyDescent="0.3">
      <c r="J2342" s="1"/>
    </row>
    <row r="2343" spans="10:10" x14ac:dyDescent="0.3">
      <c r="J2343" s="1"/>
    </row>
    <row r="2344" spans="10:10" x14ac:dyDescent="0.3">
      <c r="J2344" s="1"/>
    </row>
    <row r="2345" spans="10:10" x14ac:dyDescent="0.3">
      <c r="J2345" s="1"/>
    </row>
    <row r="2346" spans="10:10" x14ac:dyDescent="0.3">
      <c r="J2346" s="1"/>
    </row>
    <row r="2347" spans="10:10" x14ac:dyDescent="0.3">
      <c r="J2347" s="1"/>
    </row>
    <row r="2348" spans="10:10" x14ac:dyDescent="0.3">
      <c r="J2348" s="1"/>
    </row>
    <row r="2349" spans="10:10" x14ac:dyDescent="0.3">
      <c r="J2349" s="1"/>
    </row>
    <row r="2350" spans="10:10" x14ac:dyDescent="0.3">
      <c r="J2350" s="1"/>
    </row>
    <row r="2351" spans="10:10" x14ac:dyDescent="0.3">
      <c r="J2351" s="1"/>
    </row>
    <row r="2352" spans="10:10" x14ac:dyDescent="0.3">
      <c r="J2352" s="1"/>
    </row>
    <row r="2353" spans="10:10" x14ac:dyDescent="0.3">
      <c r="J2353" s="1"/>
    </row>
    <row r="2354" spans="10:10" x14ac:dyDescent="0.3">
      <c r="J2354" s="1"/>
    </row>
    <row r="2355" spans="10:10" x14ac:dyDescent="0.3">
      <c r="J2355" s="1"/>
    </row>
    <row r="2356" spans="10:10" x14ac:dyDescent="0.3">
      <c r="J2356" s="1"/>
    </row>
    <row r="2357" spans="10:10" x14ac:dyDescent="0.3">
      <c r="J2357" s="1"/>
    </row>
    <row r="2358" spans="10:10" x14ac:dyDescent="0.3">
      <c r="J2358" s="1"/>
    </row>
    <row r="2359" spans="10:10" x14ac:dyDescent="0.3">
      <c r="J2359" s="1"/>
    </row>
    <row r="2360" spans="10:10" x14ac:dyDescent="0.3">
      <c r="J2360" s="1"/>
    </row>
    <row r="2361" spans="10:10" x14ac:dyDescent="0.3">
      <c r="J2361" s="1"/>
    </row>
    <row r="2362" spans="10:10" x14ac:dyDescent="0.3">
      <c r="J2362" s="1"/>
    </row>
    <row r="2363" spans="10:10" x14ac:dyDescent="0.3">
      <c r="J2363" s="1"/>
    </row>
    <row r="2364" spans="10:10" x14ac:dyDescent="0.3">
      <c r="J2364" s="1"/>
    </row>
    <row r="2365" spans="10:10" x14ac:dyDescent="0.3">
      <c r="J2365" s="1"/>
    </row>
    <row r="2366" spans="10:10" x14ac:dyDescent="0.3">
      <c r="J2366" s="1"/>
    </row>
    <row r="2367" spans="10:10" x14ac:dyDescent="0.3">
      <c r="J2367" s="1"/>
    </row>
    <row r="2368" spans="10:10" x14ac:dyDescent="0.3">
      <c r="J2368" s="1"/>
    </row>
    <row r="2369" spans="10:10" x14ac:dyDescent="0.3">
      <c r="J2369" s="1"/>
    </row>
    <row r="2370" spans="10:10" x14ac:dyDescent="0.3">
      <c r="J2370" s="1"/>
    </row>
    <row r="2371" spans="10:10" x14ac:dyDescent="0.3">
      <c r="J2371" s="1"/>
    </row>
    <row r="2372" spans="10:10" x14ac:dyDescent="0.3">
      <c r="J2372" s="1"/>
    </row>
    <row r="2373" spans="10:10" x14ac:dyDescent="0.3">
      <c r="J2373" s="1"/>
    </row>
    <row r="2374" spans="10:10" x14ac:dyDescent="0.3">
      <c r="J2374" s="1"/>
    </row>
    <row r="2375" spans="10:10" x14ac:dyDescent="0.3">
      <c r="J2375" s="1"/>
    </row>
    <row r="2376" spans="10:10" x14ac:dyDescent="0.3">
      <c r="J2376" s="1"/>
    </row>
    <row r="2377" spans="10:10" x14ac:dyDescent="0.3">
      <c r="J2377" s="1"/>
    </row>
    <row r="2378" spans="10:10" x14ac:dyDescent="0.3">
      <c r="J2378" s="1"/>
    </row>
    <row r="2379" spans="10:10" x14ac:dyDescent="0.3">
      <c r="J2379" s="1"/>
    </row>
    <row r="2380" spans="10:10" x14ac:dyDescent="0.3">
      <c r="J2380" s="1"/>
    </row>
    <row r="2381" spans="10:10" x14ac:dyDescent="0.3">
      <c r="J2381" s="1"/>
    </row>
    <row r="2382" spans="10:10" x14ac:dyDescent="0.3">
      <c r="J2382" s="1"/>
    </row>
    <row r="2383" spans="10:10" x14ac:dyDescent="0.3">
      <c r="J2383" s="1"/>
    </row>
    <row r="2384" spans="10:10" x14ac:dyDescent="0.3">
      <c r="J2384" s="1"/>
    </row>
    <row r="2385" spans="10:10" x14ac:dyDescent="0.3">
      <c r="J2385" s="1"/>
    </row>
    <row r="2386" spans="10:10" x14ac:dyDescent="0.3">
      <c r="J2386" s="1"/>
    </row>
    <row r="2387" spans="10:10" x14ac:dyDescent="0.3">
      <c r="J2387" s="1"/>
    </row>
    <row r="2388" spans="10:10" x14ac:dyDescent="0.3">
      <c r="J2388" s="1"/>
    </row>
    <row r="2389" spans="10:10" x14ac:dyDescent="0.3">
      <c r="J2389" s="1"/>
    </row>
    <row r="2390" spans="10:10" x14ac:dyDescent="0.3">
      <c r="J2390" s="1"/>
    </row>
    <row r="2391" spans="10:10" x14ac:dyDescent="0.3">
      <c r="J2391" s="1"/>
    </row>
    <row r="2392" spans="10:10" x14ac:dyDescent="0.3">
      <c r="J2392" s="1"/>
    </row>
    <row r="2393" spans="10:10" x14ac:dyDescent="0.3">
      <c r="J2393" s="1"/>
    </row>
    <row r="2394" spans="10:10" x14ac:dyDescent="0.3">
      <c r="J2394" s="1"/>
    </row>
    <row r="2395" spans="10:10" x14ac:dyDescent="0.3">
      <c r="J2395" s="1"/>
    </row>
    <row r="2396" spans="10:10" x14ac:dyDescent="0.3">
      <c r="J2396" s="1"/>
    </row>
    <row r="2397" spans="10:10" x14ac:dyDescent="0.3">
      <c r="J2397" s="1"/>
    </row>
    <row r="2398" spans="10:10" x14ac:dyDescent="0.3">
      <c r="J2398" s="1"/>
    </row>
    <row r="2399" spans="10:10" x14ac:dyDescent="0.3">
      <c r="J2399" s="1"/>
    </row>
    <row r="2400" spans="10:10" x14ac:dyDescent="0.3">
      <c r="J2400" s="1"/>
    </row>
    <row r="2401" spans="10:10" x14ac:dyDescent="0.3">
      <c r="J2401" s="1"/>
    </row>
    <row r="2402" spans="10:10" x14ac:dyDescent="0.3">
      <c r="J2402" s="1"/>
    </row>
    <row r="2403" spans="10:10" x14ac:dyDescent="0.3">
      <c r="J2403" s="1"/>
    </row>
    <row r="2404" spans="10:10" x14ac:dyDescent="0.3">
      <c r="J2404" s="1"/>
    </row>
    <row r="2405" spans="10:10" x14ac:dyDescent="0.3">
      <c r="J2405" s="1"/>
    </row>
    <row r="2406" spans="10:10" x14ac:dyDescent="0.3">
      <c r="J2406" s="1"/>
    </row>
    <row r="2407" spans="10:10" x14ac:dyDescent="0.3">
      <c r="J2407" s="1"/>
    </row>
    <row r="2408" spans="10:10" x14ac:dyDescent="0.3">
      <c r="J2408" s="1"/>
    </row>
    <row r="2409" spans="10:10" x14ac:dyDescent="0.3">
      <c r="J2409" s="1"/>
    </row>
    <row r="2410" spans="10:10" x14ac:dyDescent="0.3">
      <c r="J2410" s="1"/>
    </row>
    <row r="2411" spans="10:10" x14ac:dyDescent="0.3">
      <c r="J2411" s="1"/>
    </row>
    <row r="2412" spans="10:10" x14ac:dyDescent="0.3">
      <c r="J2412" s="1"/>
    </row>
    <row r="2413" spans="10:10" x14ac:dyDescent="0.3">
      <c r="J2413" s="1"/>
    </row>
    <row r="2414" spans="10:10" x14ac:dyDescent="0.3">
      <c r="J2414" s="1"/>
    </row>
    <row r="2415" spans="10:10" x14ac:dyDescent="0.3">
      <c r="J2415" s="1"/>
    </row>
    <row r="2416" spans="10:10" x14ac:dyDescent="0.3">
      <c r="J2416" s="1"/>
    </row>
    <row r="2417" spans="10:10" x14ac:dyDescent="0.3">
      <c r="J2417" s="1"/>
    </row>
    <row r="2418" spans="10:10" x14ac:dyDescent="0.3">
      <c r="J2418" s="1"/>
    </row>
    <row r="2419" spans="10:10" x14ac:dyDescent="0.3">
      <c r="J2419" s="1"/>
    </row>
    <row r="2420" spans="10:10" x14ac:dyDescent="0.3">
      <c r="J2420" s="1"/>
    </row>
    <row r="2421" spans="10:10" x14ac:dyDescent="0.3">
      <c r="J2421" s="1"/>
    </row>
    <row r="2422" spans="10:10" x14ac:dyDescent="0.3">
      <c r="J2422" s="1"/>
    </row>
    <row r="2423" spans="10:10" x14ac:dyDescent="0.3">
      <c r="J2423" s="1"/>
    </row>
    <row r="2424" spans="10:10" x14ac:dyDescent="0.3">
      <c r="J2424" s="1"/>
    </row>
    <row r="2425" spans="10:10" x14ac:dyDescent="0.3">
      <c r="J2425" s="1"/>
    </row>
    <row r="2426" spans="10:10" x14ac:dyDescent="0.3">
      <c r="J2426" s="1"/>
    </row>
    <row r="2427" spans="10:10" x14ac:dyDescent="0.3">
      <c r="J2427" s="1"/>
    </row>
    <row r="2428" spans="10:10" x14ac:dyDescent="0.3">
      <c r="J2428" s="1"/>
    </row>
    <row r="2429" spans="10:10" x14ac:dyDescent="0.3">
      <c r="J2429" s="1"/>
    </row>
    <row r="2430" spans="10:10" x14ac:dyDescent="0.3">
      <c r="J2430" s="1"/>
    </row>
    <row r="2431" spans="10:10" x14ac:dyDescent="0.3">
      <c r="J2431" s="1"/>
    </row>
    <row r="2432" spans="10:10" x14ac:dyDescent="0.3">
      <c r="J2432" s="1"/>
    </row>
    <row r="2433" spans="10:10" x14ac:dyDescent="0.3">
      <c r="J2433" s="1"/>
    </row>
    <row r="2434" spans="10:10" x14ac:dyDescent="0.3">
      <c r="J2434" s="1"/>
    </row>
    <row r="2435" spans="10:10" x14ac:dyDescent="0.3">
      <c r="J2435" s="1"/>
    </row>
    <row r="2436" spans="10:10" x14ac:dyDescent="0.3">
      <c r="J2436" s="1"/>
    </row>
    <row r="2437" spans="10:10" x14ac:dyDescent="0.3">
      <c r="J2437" s="1"/>
    </row>
    <row r="2438" spans="10:10" x14ac:dyDescent="0.3">
      <c r="J2438" s="1"/>
    </row>
    <row r="2439" spans="10:10" x14ac:dyDescent="0.3">
      <c r="J2439" s="1"/>
    </row>
    <row r="2440" spans="10:10" x14ac:dyDescent="0.3">
      <c r="J2440" s="1"/>
    </row>
    <row r="2441" spans="10:10" x14ac:dyDescent="0.3">
      <c r="J2441" s="1"/>
    </row>
    <row r="2442" spans="10:10" x14ac:dyDescent="0.3">
      <c r="J2442" s="1"/>
    </row>
    <row r="2443" spans="10:10" x14ac:dyDescent="0.3">
      <c r="J2443" s="1"/>
    </row>
    <row r="2444" spans="10:10" x14ac:dyDescent="0.3">
      <c r="J2444" s="1"/>
    </row>
    <row r="2445" spans="10:10" x14ac:dyDescent="0.3">
      <c r="J2445" s="1"/>
    </row>
    <row r="2446" spans="10:10" x14ac:dyDescent="0.3">
      <c r="J2446" s="1"/>
    </row>
    <row r="2447" spans="10:10" x14ac:dyDescent="0.3">
      <c r="J2447" s="1"/>
    </row>
    <row r="2448" spans="10:10" x14ac:dyDescent="0.3">
      <c r="J2448" s="1"/>
    </row>
    <row r="2449" spans="10:10" x14ac:dyDescent="0.3">
      <c r="J2449" s="1"/>
    </row>
    <row r="2450" spans="10:10" x14ac:dyDescent="0.3">
      <c r="J2450" s="1"/>
    </row>
    <row r="2451" spans="10:10" x14ac:dyDescent="0.3">
      <c r="J2451" s="1"/>
    </row>
    <row r="2452" spans="10:10" x14ac:dyDescent="0.3">
      <c r="J2452" s="1"/>
    </row>
    <row r="2453" spans="10:10" x14ac:dyDescent="0.3">
      <c r="J2453" s="1"/>
    </row>
    <row r="2454" spans="10:10" x14ac:dyDescent="0.3">
      <c r="J2454" s="1"/>
    </row>
    <row r="2455" spans="10:10" x14ac:dyDescent="0.3">
      <c r="J2455" s="1"/>
    </row>
    <row r="2456" spans="10:10" x14ac:dyDescent="0.3">
      <c r="J2456" s="1"/>
    </row>
    <row r="2457" spans="10:10" x14ac:dyDescent="0.3">
      <c r="J2457" s="1"/>
    </row>
    <row r="2458" spans="10:10" x14ac:dyDescent="0.3">
      <c r="J2458" s="1"/>
    </row>
    <row r="2459" spans="10:10" x14ac:dyDescent="0.3">
      <c r="J2459" s="1"/>
    </row>
    <row r="2460" spans="10:10" x14ac:dyDescent="0.3">
      <c r="J2460" s="1"/>
    </row>
    <row r="2461" spans="10:10" x14ac:dyDescent="0.3">
      <c r="J2461" s="1"/>
    </row>
    <row r="2462" spans="10:10" x14ac:dyDescent="0.3">
      <c r="J2462" s="1"/>
    </row>
    <row r="2463" spans="10:10" x14ac:dyDescent="0.3">
      <c r="J2463" s="1"/>
    </row>
    <row r="2464" spans="10:10" x14ac:dyDescent="0.3">
      <c r="J2464" s="1"/>
    </row>
    <row r="2465" spans="10:10" x14ac:dyDescent="0.3">
      <c r="J2465" s="1"/>
    </row>
    <row r="2466" spans="10:10" x14ac:dyDescent="0.3">
      <c r="J2466" s="1"/>
    </row>
    <row r="2467" spans="10:10" x14ac:dyDescent="0.3">
      <c r="J2467" s="1"/>
    </row>
    <row r="2468" spans="10:10" x14ac:dyDescent="0.3">
      <c r="J2468" s="1"/>
    </row>
    <row r="2469" spans="10:10" x14ac:dyDescent="0.3">
      <c r="J2469" s="1"/>
    </row>
    <row r="2470" spans="10:10" x14ac:dyDescent="0.3">
      <c r="J2470" s="1"/>
    </row>
    <row r="2471" spans="10:10" x14ac:dyDescent="0.3">
      <c r="J2471" s="1"/>
    </row>
    <row r="2472" spans="10:10" x14ac:dyDescent="0.3">
      <c r="J2472" s="1"/>
    </row>
    <row r="2473" spans="10:10" x14ac:dyDescent="0.3">
      <c r="J2473" s="1"/>
    </row>
    <row r="2474" spans="10:10" x14ac:dyDescent="0.3">
      <c r="J2474" s="1"/>
    </row>
    <row r="2475" spans="10:10" x14ac:dyDescent="0.3">
      <c r="J2475" s="1"/>
    </row>
    <row r="2476" spans="10:10" x14ac:dyDescent="0.3">
      <c r="J2476" s="1"/>
    </row>
    <row r="2477" spans="10:10" x14ac:dyDescent="0.3">
      <c r="J2477" s="1"/>
    </row>
    <row r="2478" spans="10:10" x14ac:dyDescent="0.3">
      <c r="J2478" s="1"/>
    </row>
    <row r="2479" spans="10:10" x14ac:dyDescent="0.3">
      <c r="J2479" s="1"/>
    </row>
    <row r="2480" spans="10:10" x14ac:dyDescent="0.3">
      <c r="J2480" s="1"/>
    </row>
    <row r="2481" spans="10:10" x14ac:dyDescent="0.3">
      <c r="J2481" s="1"/>
    </row>
    <row r="2482" spans="10:10" x14ac:dyDescent="0.3">
      <c r="J2482" s="1"/>
    </row>
    <row r="2483" spans="10:10" x14ac:dyDescent="0.3">
      <c r="J2483" s="1"/>
    </row>
    <row r="2484" spans="10:10" x14ac:dyDescent="0.3">
      <c r="J2484" s="1"/>
    </row>
    <row r="2485" spans="10:10" x14ac:dyDescent="0.3">
      <c r="J2485" s="1"/>
    </row>
    <row r="2486" spans="10:10" x14ac:dyDescent="0.3">
      <c r="J2486" s="1"/>
    </row>
    <row r="2487" spans="10:10" x14ac:dyDescent="0.3">
      <c r="J2487" s="1"/>
    </row>
    <row r="2488" spans="10:10" x14ac:dyDescent="0.3">
      <c r="J2488" s="1"/>
    </row>
    <row r="2489" spans="10:10" x14ac:dyDescent="0.3">
      <c r="J2489" s="1"/>
    </row>
    <row r="2490" spans="10:10" x14ac:dyDescent="0.3">
      <c r="J2490" s="1"/>
    </row>
    <row r="2491" spans="10:10" x14ac:dyDescent="0.3">
      <c r="J2491" s="1"/>
    </row>
    <row r="2492" spans="10:10" x14ac:dyDescent="0.3">
      <c r="J2492" s="1"/>
    </row>
    <row r="2493" spans="10:10" x14ac:dyDescent="0.3">
      <c r="J2493" s="1"/>
    </row>
    <row r="2494" spans="10:10" x14ac:dyDescent="0.3">
      <c r="J2494" s="1"/>
    </row>
    <row r="2495" spans="10:10" x14ac:dyDescent="0.3">
      <c r="J2495" s="1"/>
    </row>
    <row r="2496" spans="10:10" x14ac:dyDescent="0.3">
      <c r="J2496" s="1"/>
    </row>
    <row r="2497" spans="10:10" x14ac:dyDescent="0.3">
      <c r="J2497" s="1"/>
    </row>
    <row r="2498" spans="10:10" x14ac:dyDescent="0.3">
      <c r="J2498" s="1"/>
    </row>
    <row r="2499" spans="10:10" x14ac:dyDescent="0.3">
      <c r="J2499" s="1"/>
    </row>
    <row r="2500" spans="10:10" x14ac:dyDescent="0.3">
      <c r="J2500" s="1"/>
    </row>
    <row r="2501" spans="10:10" x14ac:dyDescent="0.3">
      <c r="J2501" s="1"/>
    </row>
    <row r="2502" spans="10:10" x14ac:dyDescent="0.3">
      <c r="J2502" s="1"/>
    </row>
    <row r="2503" spans="10:10" x14ac:dyDescent="0.3">
      <c r="J2503" s="1"/>
    </row>
    <row r="2504" spans="10:10" x14ac:dyDescent="0.3">
      <c r="J2504" s="1"/>
    </row>
    <row r="2505" spans="10:10" x14ac:dyDescent="0.3">
      <c r="J2505" s="1"/>
    </row>
    <row r="2506" spans="10:10" x14ac:dyDescent="0.3">
      <c r="J2506" s="1"/>
    </row>
    <row r="2507" spans="10:10" x14ac:dyDescent="0.3">
      <c r="J2507" s="1"/>
    </row>
    <row r="2508" spans="10:10" x14ac:dyDescent="0.3">
      <c r="J2508" s="1"/>
    </row>
    <row r="2509" spans="10:10" x14ac:dyDescent="0.3">
      <c r="J2509" s="1"/>
    </row>
    <row r="2510" spans="10:10" x14ac:dyDescent="0.3">
      <c r="J2510" s="1"/>
    </row>
    <row r="2511" spans="10:10" x14ac:dyDescent="0.3">
      <c r="J2511" s="1"/>
    </row>
    <row r="2512" spans="10:10" x14ac:dyDescent="0.3">
      <c r="J2512" s="1"/>
    </row>
    <row r="2513" spans="10:10" x14ac:dyDescent="0.3">
      <c r="J2513" s="1"/>
    </row>
    <row r="2514" spans="10:10" x14ac:dyDescent="0.3">
      <c r="J2514" s="1"/>
    </row>
    <row r="2515" spans="10:10" x14ac:dyDescent="0.3">
      <c r="J2515" s="1"/>
    </row>
    <row r="2516" spans="10:10" x14ac:dyDescent="0.3">
      <c r="J2516" s="1"/>
    </row>
    <row r="2517" spans="10:10" x14ac:dyDescent="0.3">
      <c r="J2517" s="1"/>
    </row>
    <row r="2518" spans="10:10" x14ac:dyDescent="0.3">
      <c r="J2518" s="1"/>
    </row>
    <row r="2519" spans="10:10" x14ac:dyDescent="0.3">
      <c r="J2519" s="1"/>
    </row>
    <row r="2520" spans="10:10" x14ac:dyDescent="0.3">
      <c r="J2520" s="1"/>
    </row>
    <row r="2521" spans="10:10" x14ac:dyDescent="0.3">
      <c r="J2521" s="1"/>
    </row>
    <row r="2522" spans="10:10" x14ac:dyDescent="0.3">
      <c r="J2522" s="1"/>
    </row>
    <row r="2523" spans="10:10" x14ac:dyDescent="0.3">
      <c r="J2523" s="1"/>
    </row>
    <row r="2524" spans="10:10" x14ac:dyDescent="0.3">
      <c r="J2524" s="1"/>
    </row>
    <row r="2525" spans="10:10" x14ac:dyDescent="0.3">
      <c r="J2525" s="1"/>
    </row>
    <row r="2526" spans="10:10" x14ac:dyDescent="0.3">
      <c r="J2526" s="1"/>
    </row>
    <row r="2527" spans="10:10" x14ac:dyDescent="0.3">
      <c r="J2527" s="1"/>
    </row>
    <row r="2528" spans="10:10" x14ac:dyDescent="0.3">
      <c r="J2528" s="1"/>
    </row>
    <row r="2529" spans="10:10" x14ac:dyDescent="0.3">
      <c r="J2529" s="1"/>
    </row>
    <row r="2530" spans="10:10" x14ac:dyDescent="0.3">
      <c r="J2530" s="1"/>
    </row>
    <row r="2531" spans="10:10" x14ac:dyDescent="0.3">
      <c r="J2531" s="1"/>
    </row>
    <row r="2532" spans="10:10" x14ac:dyDescent="0.3">
      <c r="J2532" s="1"/>
    </row>
    <row r="2533" spans="10:10" x14ac:dyDescent="0.3">
      <c r="J2533" s="1"/>
    </row>
    <row r="2534" spans="10:10" x14ac:dyDescent="0.3">
      <c r="J2534" s="1"/>
    </row>
    <row r="2535" spans="10:10" x14ac:dyDescent="0.3">
      <c r="J2535" s="1"/>
    </row>
    <row r="2536" spans="10:10" x14ac:dyDescent="0.3">
      <c r="J2536" s="1"/>
    </row>
    <row r="2537" spans="10:10" x14ac:dyDescent="0.3">
      <c r="J2537" s="1"/>
    </row>
    <row r="2538" spans="10:10" x14ac:dyDescent="0.3">
      <c r="J2538" s="1"/>
    </row>
    <row r="2539" spans="10:10" x14ac:dyDescent="0.3">
      <c r="J2539" s="1"/>
    </row>
    <row r="2540" spans="10:10" x14ac:dyDescent="0.3">
      <c r="J2540" s="1"/>
    </row>
    <row r="2541" spans="10:10" x14ac:dyDescent="0.3">
      <c r="J2541" s="1"/>
    </row>
    <row r="2542" spans="10:10" x14ac:dyDescent="0.3">
      <c r="J2542" s="1"/>
    </row>
    <row r="2543" spans="10:10" x14ac:dyDescent="0.3">
      <c r="J2543" s="1"/>
    </row>
    <row r="2544" spans="10:10" x14ac:dyDescent="0.3">
      <c r="J2544" s="1"/>
    </row>
    <row r="2545" spans="10:10" x14ac:dyDescent="0.3">
      <c r="J2545" s="1"/>
    </row>
    <row r="2546" spans="10:10" x14ac:dyDescent="0.3">
      <c r="J2546" s="1"/>
    </row>
    <row r="2547" spans="10:10" x14ac:dyDescent="0.3">
      <c r="J2547" s="1"/>
    </row>
    <row r="2548" spans="10:10" x14ac:dyDescent="0.3">
      <c r="J2548" s="1"/>
    </row>
    <row r="2549" spans="10:10" x14ac:dyDescent="0.3">
      <c r="J2549" s="1"/>
    </row>
    <row r="2550" spans="10:10" x14ac:dyDescent="0.3">
      <c r="J2550" s="1"/>
    </row>
    <row r="2551" spans="10:10" x14ac:dyDescent="0.3">
      <c r="J2551" s="1"/>
    </row>
    <row r="2552" spans="10:10" x14ac:dyDescent="0.3">
      <c r="J2552" s="1"/>
    </row>
    <row r="2553" spans="10:10" x14ac:dyDescent="0.3">
      <c r="J2553" s="1"/>
    </row>
    <row r="2554" spans="10:10" x14ac:dyDescent="0.3">
      <c r="J2554" s="1"/>
    </row>
    <row r="2555" spans="10:10" x14ac:dyDescent="0.3">
      <c r="J2555" s="1"/>
    </row>
    <row r="2556" spans="10:10" x14ac:dyDescent="0.3">
      <c r="J2556" s="1"/>
    </row>
    <row r="2557" spans="10:10" x14ac:dyDescent="0.3">
      <c r="J2557" s="1"/>
    </row>
    <row r="2558" spans="10:10" x14ac:dyDescent="0.3">
      <c r="J2558" s="1"/>
    </row>
    <row r="2559" spans="10:10" x14ac:dyDescent="0.3">
      <c r="J2559" s="1"/>
    </row>
    <row r="2560" spans="10:10" x14ac:dyDescent="0.3">
      <c r="J2560" s="1"/>
    </row>
    <row r="2561" spans="10:10" x14ac:dyDescent="0.3">
      <c r="J2561" s="1"/>
    </row>
    <row r="2562" spans="10:10" x14ac:dyDescent="0.3">
      <c r="J2562" s="1"/>
    </row>
    <row r="2563" spans="10:10" x14ac:dyDescent="0.3">
      <c r="J2563" s="1"/>
    </row>
    <row r="2564" spans="10:10" x14ac:dyDescent="0.3">
      <c r="J2564" s="1"/>
    </row>
    <row r="2565" spans="10:10" x14ac:dyDescent="0.3">
      <c r="J2565" s="1"/>
    </row>
    <row r="2566" spans="10:10" x14ac:dyDescent="0.3">
      <c r="J2566" s="1"/>
    </row>
    <row r="2567" spans="10:10" x14ac:dyDescent="0.3">
      <c r="J2567" s="1"/>
    </row>
    <row r="2568" spans="10:10" x14ac:dyDescent="0.3">
      <c r="J2568" s="1"/>
    </row>
    <row r="2569" spans="10:10" x14ac:dyDescent="0.3">
      <c r="J2569" s="1"/>
    </row>
    <row r="2570" spans="10:10" x14ac:dyDescent="0.3">
      <c r="J2570" s="1"/>
    </row>
    <row r="2571" spans="10:10" x14ac:dyDescent="0.3">
      <c r="J2571" s="1"/>
    </row>
    <row r="2572" spans="10:10" x14ac:dyDescent="0.3">
      <c r="J2572" s="1"/>
    </row>
    <row r="2573" spans="10:10" x14ac:dyDescent="0.3">
      <c r="J2573" s="1"/>
    </row>
    <row r="2574" spans="10:10" x14ac:dyDescent="0.3">
      <c r="J2574" s="1"/>
    </row>
    <row r="2575" spans="10:10" x14ac:dyDescent="0.3">
      <c r="J2575" s="1"/>
    </row>
    <row r="2576" spans="10:10" x14ac:dyDescent="0.3">
      <c r="J2576" s="1"/>
    </row>
    <row r="2577" spans="10:10" x14ac:dyDescent="0.3">
      <c r="J2577" s="1"/>
    </row>
    <row r="2578" spans="10:10" x14ac:dyDescent="0.3">
      <c r="J2578" s="1"/>
    </row>
    <row r="2579" spans="10:10" x14ac:dyDescent="0.3">
      <c r="J2579" s="1"/>
    </row>
    <row r="2580" spans="10:10" x14ac:dyDescent="0.3">
      <c r="J2580" s="1"/>
    </row>
    <row r="2581" spans="10:10" x14ac:dyDescent="0.3">
      <c r="J2581" s="1"/>
    </row>
    <row r="2582" spans="10:10" x14ac:dyDescent="0.3">
      <c r="J2582" s="1"/>
    </row>
    <row r="2583" spans="10:10" x14ac:dyDescent="0.3">
      <c r="J2583" s="1"/>
    </row>
    <row r="2584" spans="10:10" x14ac:dyDescent="0.3">
      <c r="J2584" s="1"/>
    </row>
    <row r="2585" spans="10:10" x14ac:dyDescent="0.3">
      <c r="J2585" s="1"/>
    </row>
    <row r="2586" spans="10:10" x14ac:dyDescent="0.3">
      <c r="J2586" s="1"/>
    </row>
    <row r="2587" spans="10:10" x14ac:dyDescent="0.3">
      <c r="J2587" s="1"/>
    </row>
    <row r="2588" spans="10:10" x14ac:dyDescent="0.3">
      <c r="J2588" s="1"/>
    </row>
    <row r="2589" spans="10:10" x14ac:dyDescent="0.3">
      <c r="J2589" s="1"/>
    </row>
    <row r="2590" spans="10:10" x14ac:dyDescent="0.3">
      <c r="J2590" s="1"/>
    </row>
    <row r="2591" spans="10:10" x14ac:dyDescent="0.3">
      <c r="J2591" s="1"/>
    </row>
    <row r="2592" spans="10:10" x14ac:dyDescent="0.3">
      <c r="J2592" s="1"/>
    </row>
    <row r="2593" spans="10:10" x14ac:dyDescent="0.3">
      <c r="J2593" s="1"/>
    </row>
    <row r="2594" spans="10:10" x14ac:dyDescent="0.3">
      <c r="J2594" s="1"/>
    </row>
    <row r="2595" spans="10:10" x14ac:dyDescent="0.3">
      <c r="J2595" s="1"/>
    </row>
    <row r="2596" spans="10:10" x14ac:dyDescent="0.3">
      <c r="J2596" s="1"/>
    </row>
    <row r="2597" spans="10:10" x14ac:dyDescent="0.3">
      <c r="J2597" s="1"/>
    </row>
    <row r="2598" spans="10:10" x14ac:dyDescent="0.3">
      <c r="J2598" s="1"/>
    </row>
    <row r="2599" spans="10:10" x14ac:dyDescent="0.3">
      <c r="J2599" s="1"/>
    </row>
    <row r="2600" spans="10:10" x14ac:dyDescent="0.3">
      <c r="J2600" s="1"/>
    </row>
    <row r="2601" spans="10:10" x14ac:dyDescent="0.3">
      <c r="J2601" s="1"/>
    </row>
    <row r="2602" spans="10:10" x14ac:dyDescent="0.3">
      <c r="J2602" s="1"/>
    </row>
    <row r="2603" spans="10:10" x14ac:dyDescent="0.3">
      <c r="J2603" s="1"/>
    </row>
    <row r="2604" spans="10:10" x14ac:dyDescent="0.3">
      <c r="J2604" s="1"/>
    </row>
    <row r="2605" spans="10:10" x14ac:dyDescent="0.3">
      <c r="J2605" s="1"/>
    </row>
    <row r="2606" spans="10:10" x14ac:dyDescent="0.3">
      <c r="J2606" s="1"/>
    </row>
    <row r="2607" spans="10:10" x14ac:dyDescent="0.3">
      <c r="J2607" s="1"/>
    </row>
    <row r="2608" spans="10:10" x14ac:dyDescent="0.3">
      <c r="J2608" s="1"/>
    </row>
    <row r="2609" spans="10:10" x14ac:dyDescent="0.3">
      <c r="J2609" s="1"/>
    </row>
    <row r="2610" spans="10:10" x14ac:dyDescent="0.3">
      <c r="J2610" s="1"/>
    </row>
    <row r="2611" spans="10:10" x14ac:dyDescent="0.3">
      <c r="J2611" s="1"/>
    </row>
    <row r="2612" spans="10:10" x14ac:dyDescent="0.3">
      <c r="J2612" s="1"/>
    </row>
    <row r="2613" spans="10:10" x14ac:dyDescent="0.3">
      <c r="J2613" s="1"/>
    </row>
    <row r="2614" spans="10:10" x14ac:dyDescent="0.3">
      <c r="J2614" s="1"/>
    </row>
    <row r="2615" spans="10:10" x14ac:dyDescent="0.3">
      <c r="J2615" s="1"/>
    </row>
    <row r="2616" spans="10:10" x14ac:dyDescent="0.3">
      <c r="J2616" s="1"/>
    </row>
    <row r="2617" spans="10:10" x14ac:dyDescent="0.3">
      <c r="J2617" s="1"/>
    </row>
    <row r="2618" spans="10:10" x14ac:dyDescent="0.3">
      <c r="J2618" s="1"/>
    </row>
    <row r="2619" spans="10:10" x14ac:dyDescent="0.3">
      <c r="J2619" s="1"/>
    </row>
    <row r="2620" spans="10:10" x14ac:dyDescent="0.3">
      <c r="J2620" s="1"/>
    </row>
    <row r="2621" spans="10:10" x14ac:dyDescent="0.3">
      <c r="J2621" s="1"/>
    </row>
    <row r="2622" spans="10:10" x14ac:dyDescent="0.3">
      <c r="J2622" s="1"/>
    </row>
    <row r="2623" spans="10:10" x14ac:dyDescent="0.3">
      <c r="J2623" s="1"/>
    </row>
    <row r="2624" spans="10:10" x14ac:dyDescent="0.3">
      <c r="J2624" s="1"/>
    </row>
    <row r="2625" spans="10:10" x14ac:dyDescent="0.3">
      <c r="J2625" s="1"/>
    </row>
    <row r="2626" spans="10:10" x14ac:dyDescent="0.3">
      <c r="J2626" s="1"/>
    </row>
    <row r="2627" spans="10:10" x14ac:dyDescent="0.3">
      <c r="J2627" s="1"/>
    </row>
    <row r="2628" spans="10:10" x14ac:dyDescent="0.3">
      <c r="J2628" s="1"/>
    </row>
    <row r="2629" spans="10:10" x14ac:dyDescent="0.3">
      <c r="J2629" s="1"/>
    </row>
    <row r="2630" spans="10:10" x14ac:dyDescent="0.3">
      <c r="J2630" s="1"/>
    </row>
    <row r="2631" spans="10:10" x14ac:dyDescent="0.3">
      <c r="J2631" s="1"/>
    </row>
    <row r="2632" spans="10:10" x14ac:dyDescent="0.3">
      <c r="J2632" s="1"/>
    </row>
    <row r="2633" spans="10:10" x14ac:dyDescent="0.3">
      <c r="J2633" s="1"/>
    </row>
    <row r="2634" spans="10:10" x14ac:dyDescent="0.3">
      <c r="J2634" s="1"/>
    </row>
    <row r="2635" spans="10:10" x14ac:dyDescent="0.3">
      <c r="J2635" s="1"/>
    </row>
    <row r="2636" spans="10:10" x14ac:dyDescent="0.3">
      <c r="J2636" s="1"/>
    </row>
    <row r="2637" spans="10:10" x14ac:dyDescent="0.3">
      <c r="J2637" s="1"/>
    </row>
    <row r="2638" spans="10:10" x14ac:dyDescent="0.3">
      <c r="J2638" s="1"/>
    </row>
    <row r="2639" spans="10:10" x14ac:dyDescent="0.3">
      <c r="J2639" s="1"/>
    </row>
    <row r="2640" spans="10:10" x14ac:dyDescent="0.3">
      <c r="J2640" s="1"/>
    </row>
    <row r="2641" spans="10:10" x14ac:dyDescent="0.3">
      <c r="J2641" s="1"/>
    </row>
    <row r="2642" spans="10:10" x14ac:dyDescent="0.3">
      <c r="J2642" s="1"/>
    </row>
    <row r="2643" spans="10:10" x14ac:dyDescent="0.3">
      <c r="J2643" s="1"/>
    </row>
    <row r="2644" spans="10:10" x14ac:dyDescent="0.3">
      <c r="J2644" s="1"/>
    </row>
    <row r="2645" spans="10:10" x14ac:dyDescent="0.3">
      <c r="J2645" s="1"/>
    </row>
    <row r="2646" spans="10:10" x14ac:dyDescent="0.3">
      <c r="J2646" s="1"/>
    </row>
    <row r="2647" spans="10:10" x14ac:dyDescent="0.3">
      <c r="J2647" s="1"/>
    </row>
    <row r="2648" spans="10:10" x14ac:dyDescent="0.3">
      <c r="J2648" s="1"/>
    </row>
    <row r="2649" spans="10:10" x14ac:dyDescent="0.3">
      <c r="J2649" s="1"/>
    </row>
    <row r="2650" spans="10:10" x14ac:dyDescent="0.3">
      <c r="J2650" s="1"/>
    </row>
    <row r="2651" spans="10:10" x14ac:dyDescent="0.3">
      <c r="J2651" s="1"/>
    </row>
    <row r="2652" spans="10:10" x14ac:dyDescent="0.3">
      <c r="J2652" s="1"/>
    </row>
    <row r="2653" spans="10:10" x14ac:dyDescent="0.3">
      <c r="J2653" s="1"/>
    </row>
    <row r="2654" spans="10:10" x14ac:dyDescent="0.3">
      <c r="J2654" s="1"/>
    </row>
    <row r="2655" spans="10:10" x14ac:dyDescent="0.3">
      <c r="J2655" s="1"/>
    </row>
    <row r="2656" spans="10:10" x14ac:dyDescent="0.3">
      <c r="J2656" s="1"/>
    </row>
    <row r="2657" spans="10:10" x14ac:dyDescent="0.3">
      <c r="J2657" s="1"/>
    </row>
    <row r="2658" spans="10:10" x14ac:dyDescent="0.3">
      <c r="J2658" s="1"/>
    </row>
    <row r="2659" spans="10:10" x14ac:dyDescent="0.3">
      <c r="J2659" s="1"/>
    </row>
    <row r="2660" spans="10:10" x14ac:dyDescent="0.3">
      <c r="J2660" s="1"/>
    </row>
    <row r="2661" spans="10:10" x14ac:dyDescent="0.3">
      <c r="J2661" s="1"/>
    </row>
    <row r="2662" spans="10:10" x14ac:dyDescent="0.3">
      <c r="J2662" s="1"/>
    </row>
    <row r="2663" spans="10:10" x14ac:dyDescent="0.3">
      <c r="J2663" s="1"/>
    </row>
    <row r="2664" spans="10:10" x14ac:dyDescent="0.3">
      <c r="J2664" s="1"/>
    </row>
    <row r="2665" spans="10:10" x14ac:dyDescent="0.3">
      <c r="J2665" s="1"/>
    </row>
    <row r="2666" spans="10:10" x14ac:dyDescent="0.3">
      <c r="J2666" s="1"/>
    </row>
    <row r="2667" spans="10:10" x14ac:dyDescent="0.3">
      <c r="J2667" s="1"/>
    </row>
    <row r="2668" spans="10:10" x14ac:dyDescent="0.3">
      <c r="J2668" s="1"/>
    </row>
    <row r="2669" spans="10:10" x14ac:dyDescent="0.3">
      <c r="J2669" s="1"/>
    </row>
    <row r="2670" spans="10:10" x14ac:dyDescent="0.3">
      <c r="J2670" s="1"/>
    </row>
    <row r="2671" spans="10:10" x14ac:dyDescent="0.3">
      <c r="J2671" s="1"/>
    </row>
    <row r="2672" spans="10:10" x14ac:dyDescent="0.3">
      <c r="J2672" s="1"/>
    </row>
    <row r="2673" spans="10:10" x14ac:dyDescent="0.3">
      <c r="J2673" s="1"/>
    </row>
    <row r="2674" spans="10:10" x14ac:dyDescent="0.3">
      <c r="J2674" s="1"/>
    </row>
    <row r="2675" spans="10:10" x14ac:dyDescent="0.3">
      <c r="J2675" s="1"/>
    </row>
    <row r="2676" spans="10:10" x14ac:dyDescent="0.3">
      <c r="J2676" s="1"/>
    </row>
    <row r="2677" spans="10:10" x14ac:dyDescent="0.3">
      <c r="J2677" s="1"/>
    </row>
    <row r="2678" spans="10:10" x14ac:dyDescent="0.3">
      <c r="J2678" s="1"/>
    </row>
    <row r="2679" spans="10:10" x14ac:dyDescent="0.3">
      <c r="J2679" s="1"/>
    </row>
    <row r="2680" spans="10:10" x14ac:dyDescent="0.3">
      <c r="J2680" s="1"/>
    </row>
    <row r="2681" spans="10:10" x14ac:dyDescent="0.3">
      <c r="J2681" s="1"/>
    </row>
    <row r="2682" spans="10:10" x14ac:dyDescent="0.3">
      <c r="J2682" s="1"/>
    </row>
    <row r="2683" spans="10:10" x14ac:dyDescent="0.3">
      <c r="J2683" s="1"/>
    </row>
    <row r="2684" spans="10:10" x14ac:dyDescent="0.3">
      <c r="J2684" s="1"/>
    </row>
    <row r="2685" spans="10:10" x14ac:dyDescent="0.3">
      <c r="J2685" s="1"/>
    </row>
    <row r="2686" spans="10:10" x14ac:dyDescent="0.3">
      <c r="J2686" s="1"/>
    </row>
    <row r="2687" spans="10:10" x14ac:dyDescent="0.3">
      <c r="J2687" s="1"/>
    </row>
    <row r="2688" spans="10:10" x14ac:dyDescent="0.3">
      <c r="J2688" s="1"/>
    </row>
    <row r="2689" spans="10:10" x14ac:dyDescent="0.3">
      <c r="J2689" s="1"/>
    </row>
    <row r="2690" spans="10:10" x14ac:dyDescent="0.3">
      <c r="J2690" s="1"/>
    </row>
    <row r="2691" spans="10:10" x14ac:dyDescent="0.3">
      <c r="J2691" s="1"/>
    </row>
    <row r="2692" spans="10:10" x14ac:dyDescent="0.3">
      <c r="J2692" s="1"/>
    </row>
    <row r="2693" spans="10:10" x14ac:dyDescent="0.3">
      <c r="J2693" s="1"/>
    </row>
    <row r="2694" spans="10:10" x14ac:dyDescent="0.3">
      <c r="J2694" s="1"/>
    </row>
    <row r="2695" spans="10:10" x14ac:dyDescent="0.3">
      <c r="J2695" s="1"/>
    </row>
    <row r="2696" spans="10:10" x14ac:dyDescent="0.3">
      <c r="J2696" s="1"/>
    </row>
    <row r="2697" spans="10:10" x14ac:dyDescent="0.3">
      <c r="J2697" s="1"/>
    </row>
    <row r="2698" spans="10:10" x14ac:dyDescent="0.3">
      <c r="J2698" s="1"/>
    </row>
    <row r="2699" spans="10:10" x14ac:dyDescent="0.3">
      <c r="J2699" s="1"/>
    </row>
    <row r="2700" spans="10:10" x14ac:dyDescent="0.3">
      <c r="J2700" s="1"/>
    </row>
    <row r="2701" spans="10:10" x14ac:dyDescent="0.3">
      <c r="J2701" s="1"/>
    </row>
    <row r="2702" spans="10:10" x14ac:dyDescent="0.3">
      <c r="J2702" s="1"/>
    </row>
    <row r="2703" spans="10:10" x14ac:dyDescent="0.3">
      <c r="J2703" s="1"/>
    </row>
    <row r="2704" spans="10:10" x14ac:dyDescent="0.3">
      <c r="J2704" s="1"/>
    </row>
    <row r="2705" spans="10:10" x14ac:dyDescent="0.3">
      <c r="J2705" s="1"/>
    </row>
    <row r="2706" spans="10:10" x14ac:dyDescent="0.3">
      <c r="J2706" s="1"/>
    </row>
    <row r="2707" spans="10:10" x14ac:dyDescent="0.3">
      <c r="J2707" s="1"/>
    </row>
    <row r="2708" spans="10:10" x14ac:dyDescent="0.3">
      <c r="J2708" s="1"/>
    </row>
    <row r="2709" spans="10:10" x14ac:dyDescent="0.3">
      <c r="J2709" s="1"/>
    </row>
    <row r="2710" spans="10:10" x14ac:dyDescent="0.3">
      <c r="J2710" s="1"/>
    </row>
    <row r="2711" spans="10:10" x14ac:dyDescent="0.3">
      <c r="J2711" s="1"/>
    </row>
    <row r="2712" spans="10:10" x14ac:dyDescent="0.3">
      <c r="J2712" s="1"/>
    </row>
    <row r="2713" spans="10:10" x14ac:dyDescent="0.3">
      <c r="J2713" s="1"/>
    </row>
    <row r="2714" spans="10:10" x14ac:dyDescent="0.3">
      <c r="J2714" s="1"/>
    </row>
    <row r="2715" spans="10:10" x14ac:dyDescent="0.3">
      <c r="J2715" s="1"/>
    </row>
    <row r="2716" spans="10:10" x14ac:dyDescent="0.3">
      <c r="J2716" s="1"/>
    </row>
    <row r="2717" spans="10:10" x14ac:dyDescent="0.3">
      <c r="J2717" s="1"/>
    </row>
    <row r="2718" spans="10:10" x14ac:dyDescent="0.3">
      <c r="J2718" s="1"/>
    </row>
    <row r="2719" spans="10:10" x14ac:dyDescent="0.3">
      <c r="J2719" s="1"/>
    </row>
    <row r="2720" spans="10:10" x14ac:dyDescent="0.3">
      <c r="J2720" s="1"/>
    </row>
    <row r="2721" spans="10:10" x14ac:dyDescent="0.3">
      <c r="J2721" s="1"/>
    </row>
    <row r="2722" spans="10:10" x14ac:dyDescent="0.3">
      <c r="J2722" s="1"/>
    </row>
    <row r="2723" spans="10:10" x14ac:dyDescent="0.3">
      <c r="J2723" s="1"/>
    </row>
    <row r="2724" spans="10:10" x14ac:dyDescent="0.3">
      <c r="J2724" s="1"/>
    </row>
    <row r="2725" spans="10:10" x14ac:dyDescent="0.3">
      <c r="J2725" s="1"/>
    </row>
    <row r="2726" spans="10:10" x14ac:dyDescent="0.3">
      <c r="J2726" s="1"/>
    </row>
    <row r="2727" spans="10:10" x14ac:dyDescent="0.3">
      <c r="J2727" s="1"/>
    </row>
    <row r="2728" spans="10:10" x14ac:dyDescent="0.3">
      <c r="J2728" s="1"/>
    </row>
    <row r="2729" spans="10:10" x14ac:dyDescent="0.3">
      <c r="J2729" s="1"/>
    </row>
    <row r="2730" spans="10:10" x14ac:dyDescent="0.3">
      <c r="J2730" s="1"/>
    </row>
    <row r="2731" spans="10:10" x14ac:dyDescent="0.3">
      <c r="J2731" s="1"/>
    </row>
    <row r="2732" spans="10:10" x14ac:dyDescent="0.3">
      <c r="J2732" s="1"/>
    </row>
    <row r="2733" spans="10:10" x14ac:dyDescent="0.3">
      <c r="J2733" s="1"/>
    </row>
    <row r="2734" spans="10:10" x14ac:dyDescent="0.3">
      <c r="J2734" s="1"/>
    </row>
    <row r="2735" spans="10:10" x14ac:dyDescent="0.3">
      <c r="J2735" s="1"/>
    </row>
    <row r="2736" spans="10:10" x14ac:dyDescent="0.3">
      <c r="J2736" s="1"/>
    </row>
    <row r="2737" spans="10:10" x14ac:dyDescent="0.3">
      <c r="J2737" s="1"/>
    </row>
    <row r="2738" spans="10:10" x14ac:dyDescent="0.3">
      <c r="J2738" s="1"/>
    </row>
    <row r="2739" spans="10:10" x14ac:dyDescent="0.3">
      <c r="J2739" s="1"/>
    </row>
    <row r="2740" spans="10:10" x14ac:dyDescent="0.3">
      <c r="J2740" s="1"/>
    </row>
    <row r="2741" spans="10:10" x14ac:dyDescent="0.3">
      <c r="J2741" s="1"/>
    </row>
    <row r="2742" spans="10:10" x14ac:dyDescent="0.3">
      <c r="J2742" s="1"/>
    </row>
    <row r="2743" spans="10:10" x14ac:dyDescent="0.3">
      <c r="J2743" s="1"/>
    </row>
    <row r="2744" spans="10:10" x14ac:dyDescent="0.3">
      <c r="J2744" s="1"/>
    </row>
    <row r="2745" spans="10:10" x14ac:dyDescent="0.3">
      <c r="J2745" s="1"/>
    </row>
    <row r="2746" spans="10:10" x14ac:dyDescent="0.3">
      <c r="J2746" s="1"/>
    </row>
    <row r="2747" spans="10:10" x14ac:dyDescent="0.3">
      <c r="J2747" s="1"/>
    </row>
    <row r="2748" spans="10:10" x14ac:dyDescent="0.3">
      <c r="J2748" s="1"/>
    </row>
    <row r="2749" spans="10:10" x14ac:dyDescent="0.3">
      <c r="J2749" s="1"/>
    </row>
    <row r="2750" spans="10:10" x14ac:dyDescent="0.3">
      <c r="J2750" s="1"/>
    </row>
    <row r="2751" spans="10:10" x14ac:dyDescent="0.3">
      <c r="J2751" s="1"/>
    </row>
    <row r="2752" spans="10:10" x14ac:dyDescent="0.3">
      <c r="J2752" s="1"/>
    </row>
    <row r="2753" spans="10:10" x14ac:dyDescent="0.3">
      <c r="J2753" s="1"/>
    </row>
    <row r="2754" spans="10:10" x14ac:dyDescent="0.3">
      <c r="J2754" s="1"/>
    </row>
    <row r="2755" spans="10:10" x14ac:dyDescent="0.3">
      <c r="J2755" s="1"/>
    </row>
    <row r="2756" spans="10:10" x14ac:dyDescent="0.3">
      <c r="J2756" s="1"/>
    </row>
    <row r="2757" spans="10:10" x14ac:dyDescent="0.3">
      <c r="J2757" s="1"/>
    </row>
    <row r="2758" spans="10:10" x14ac:dyDescent="0.3">
      <c r="J2758" s="1"/>
    </row>
    <row r="2759" spans="10:10" x14ac:dyDescent="0.3">
      <c r="J2759" s="1"/>
    </row>
    <row r="2760" spans="10:10" x14ac:dyDescent="0.3">
      <c r="J2760" s="1"/>
    </row>
    <row r="2761" spans="10:10" x14ac:dyDescent="0.3">
      <c r="J2761" s="1"/>
    </row>
    <row r="2762" spans="10:10" x14ac:dyDescent="0.3">
      <c r="J2762" s="1"/>
    </row>
    <row r="2763" spans="10:10" x14ac:dyDescent="0.3">
      <c r="J2763" s="1"/>
    </row>
    <row r="2764" spans="10:10" x14ac:dyDescent="0.3">
      <c r="J2764" s="1"/>
    </row>
    <row r="2765" spans="10:10" x14ac:dyDescent="0.3">
      <c r="J2765" s="1"/>
    </row>
    <row r="2766" spans="10:10" x14ac:dyDescent="0.3">
      <c r="J2766" s="1"/>
    </row>
    <row r="2767" spans="10:10" x14ac:dyDescent="0.3">
      <c r="J2767" s="1"/>
    </row>
    <row r="2768" spans="10:10" x14ac:dyDescent="0.3">
      <c r="J2768" s="1"/>
    </row>
    <row r="2769" spans="10:10" x14ac:dyDescent="0.3">
      <c r="J2769" s="1"/>
    </row>
    <row r="2770" spans="10:10" x14ac:dyDescent="0.3">
      <c r="J2770" s="1"/>
    </row>
    <row r="2771" spans="10:10" x14ac:dyDescent="0.3">
      <c r="J2771" s="1"/>
    </row>
    <row r="2772" spans="10:10" x14ac:dyDescent="0.3">
      <c r="J2772" s="1"/>
    </row>
    <row r="2773" spans="10:10" x14ac:dyDescent="0.3">
      <c r="J2773" s="1"/>
    </row>
    <row r="2774" spans="10:10" x14ac:dyDescent="0.3">
      <c r="J2774" s="1"/>
    </row>
    <row r="2775" spans="10:10" x14ac:dyDescent="0.3">
      <c r="J2775" s="1"/>
    </row>
    <row r="2776" spans="10:10" x14ac:dyDescent="0.3">
      <c r="J2776" s="1"/>
    </row>
    <row r="2777" spans="10:10" x14ac:dyDescent="0.3">
      <c r="J2777" s="1"/>
    </row>
    <row r="2778" spans="10:10" x14ac:dyDescent="0.3">
      <c r="J2778" s="1"/>
    </row>
    <row r="2779" spans="10:10" x14ac:dyDescent="0.3">
      <c r="J2779" s="1"/>
    </row>
    <row r="2780" spans="10:10" x14ac:dyDescent="0.3">
      <c r="J2780" s="1"/>
    </row>
    <row r="2781" spans="10:10" x14ac:dyDescent="0.3">
      <c r="J2781" s="1"/>
    </row>
    <row r="2782" spans="10:10" x14ac:dyDescent="0.3">
      <c r="J2782" s="1"/>
    </row>
    <row r="2783" spans="10:10" x14ac:dyDescent="0.3">
      <c r="J2783" s="1"/>
    </row>
    <row r="2784" spans="10:10" x14ac:dyDescent="0.3">
      <c r="J2784" s="1"/>
    </row>
    <row r="2785" spans="10:10" x14ac:dyDescent="0.3">
      <c r="J2785" s="1"/>
    </row>
    <row r="2786" spans="10:10" x14ac:dyDescent="0.3">
      <c r="J2786" s="1"/>
    </row>
    <row r="2787" spans="10:10" x14ac:dyDescent="0.3">
      <c r="J2787" s="1"/>
    </row>
    <row r="2788" spans="10:10" x14ac:dyDescent="0.3">
      <c r="J2788" s="1"/>
    </row>
    <row r="2789" spans="10:10" x14ac:dyDescent="0.3">
      <c r="J2789" s="1"/>
    </row>
    <row r="2790" spans="10:10" x14ac:dyDescent="0.3">
      <c r="J2790" s="1"/>
    </row>
    <row r="2791" spans="10:10" x14ac:dyDescent="0.3">
      <c r="J2791" s="1"/>
    </row>
    <row r="2792" spans="10:10" x14ac:dyDescent="0.3">
      <c r="J2792" s="1"/>
    </row>
    <row r="2793" spans="10:10" x14ac:dyDescent="0.3">
      <c r="J2793" s="1"/>
    </row>
    <row r="2794" spans="10:10" x14ac:dyDescent="0.3">
      <c r="J2794" s="1"/>
    </row>
    <row r="2795" spans="10:10" x14ac:dyDescent="0.3">
      <c r="J2795" s="1"/>
    </row>
    <row r="2796" spans="10:10" x14ac:dyDescent="0.3">
      <c r="J2796" s="1"/>
    </row>
    <row r="2797" spans="10:10" x14ac:dyDescent="0.3">
      <c r="J2797" s="1"/>
    </row>
    <row r="2798" spans="10:10" x14ac:dyDescent="0.3">
      <c r="J2798" s="1"/>
    </row>
    <row r="2799" spans="10:10" x14ac:dyDescent="0.3">
      <c r="J2799" s="1"/>
    </row>
    <row r="2800" spans="10:10" x14ac:dyDescent="0.3">
      <c r="J2800" s="1"/>
    </row>
    <row r="2801" spans="10:10" x14ac:dyDescent="0.3">
      <c r="J2801" s="1"/>
    </row>
    <row r="2802" spans="10:10" x14ac:dyDescent="0.3">
      <c r="J2802" s="1"/>
    </row>
    <row r="2803" spans="10:10" x14ac:dyDescent="0.3">
      <c r="J2803" s="1"/>
    </row>
    <row r="2804" spans="10:10" x14ac:dyDescent="0.3">
      <c r="J2804" s="1"/>
    </row>
    <row r="2805" spans="10:10" x14ac:dyDescent="0.3">
      <c r="J2805" s="1"/>
    </row>
    <row r="2806" spans="10:10" x14ac:dyDescent="0.3">
      <c r="J2806" s="1"/>
    </row>
    <row r="2807" spans="10:10" x14ac:dyDescent="0.3">
      <c r="J2807" s="1"/>
    </row>
    <row r="2808" spans="10:10" x14ac:dyDescent="0.3">
      <c r="J2808" s="1"/>
    </row>
    <row r="2809" spans="10:10" x14ac:dyDescent="0.3">
      <c r="J2809" s="1"/>
    </row>
    <row r="2810" spans="10:10" x14ac:dyDescent="0.3">
      <c r="J2810" s="1"/>
    </row>
    <row r="2811" spans="10:10" x14ac:dyDescent="0.3">
      <c r="J2811" s="1"/>
    </row>
    <row r="2812" spans="10:10" x14ac:dyDescent="0.3">
      <c r="J2812" s="1"/>
    </row>
    <row r="2813" spans="10:10" x14ac:dyDescent="0.3">
      <c r="J2813" s="1"/>
    </row>
    <row r="2814" spans="10:10" x14ac:dyDescent="0.3">
      <c r="J2814" s="1"/>
    </row>
    <row r="2815" spans="10:10" x14ac:dyDescent="0.3">
      <c r="J2815" s="1"/>
    </row>
    <row r="2816" spans="10:10" x14ac:dyDescent="0.3">
      <c r="J2816" s="1"/>
    </row>
    <row r="2817" spans="10:10" x14ac:dyDescent="0.3">
      <c r="J2817" s="1"/>
    </row>
    <row r="2818" spans="10:10" x14ac:dyDescent="0.3">
      <c r="J2818" s="1"/>
    </row>
    <row r="2819" spans="10:10" x14ac:dyDescent="0.3">
      <c r="J2819" s="1"/>
    </row>
    <row r="2820" spans="10:10" x14ac:dyDescent="0.3">
      <c r="J2820" s="1"/>
    </row>
    <row r="2821" spans="10:10" x14ac:dyDescent="0.3">
      <c r="J2821" s="1"/>
    </row>
    <row r="2822" spans="10:10" x14ac:dyDescent="0.3">
      <c r="J2822" s="1"/>
    </row>
    <row r="2823" spans="10:10" x14ac:dyDescent="0.3">
      <c r="J2823" s="1"/>
    </row>
    <row r="2824" spans="10:10" x14ac:dyDescent="0.3">
      <c r="J2824" s="1"/>
    </row>
    <row r="2825" spans="10:10" x14ac:dyDescent="0.3">
      <c r="J2825" s="1"/>
    </row>
    <row r="2826" spans="10:10" x14ac:dyDescent="0.3">
      <c r="J2826" s="1"/>
    </row>
    <row r="2827" spans="10:10" x14ac:dyDescent="0.3">
      <c r="J2827" s="1"/>
    </row>
    <row r="2828" spans="10:10" x14ac:dyDescent="0.3">
      <c r="J2828" s="1"/>
    </row>
    <row r="2829" spans="10:10" x14ac:dyDescent="0.3">
      <c r="J2829" s="1"/>
    </row>
    <row r="2830" spans="10:10" x14ac:dyDescent="0.3">
      <c r="J2830" s="1"/>
    </row>
    <row r="2831" spans="10:10" x14ac:dyDescent="0.3">
      <c r="J2831" s="1"/>
    </row>
    <row r="2832" spans="10:10" x14ac:dyDescent="0.3">
      <c r="J2832" s="1"/>
    </row>
    <row r="2833" spans="10:10" x14ac:dyDescent="0.3">
      <c r="J2833" s="1"/>
    </row>
    <row r="2834" spans="10:10" x14ac:dyDescent="0.3">
      <c r="J2834" s="1"/>
    </row>
    <row r="2835" spans="10:10" x14ac:dyDescent="0.3">
      <c r="J2835" s="1"/>
    </row>
    <row r="2836" spans="10:10" x14ac:dyDescent="0.3">
      <c r="J2836" s="1"/>
    </row>
    <row r="2837" spans="10:10" x14ac:dyDescent="0.3">
      <c r="J2837" s="1"/>
    </row>
    <row r="2838" spans="10:10" x14ac:dyDescent="0.3">
      <c r="J2838" s="1"/>
    </row>
    <row r="2839" spans="10:10" x14ac:dyDescent="0.3">
      <c r="J2839" s="1"/>
    </row>
    <row r="2840" spans="10:10" x14ac:dyDescent="0.3">
      <c r="J2840" s="1"/>
    </row>
    <row r="2841" spans="10:10" x14ac:dyDescent="0.3">
      <c r="J2841" s="1"/>
    </row>
    <row r="2842" spans="10:10" x14ac:dyDescent="0.3">
      <c r="J2842" s="1"/>
    </row>
    <row r="2843" spans="10:10" x14ac:dyDescent="0.3">
      <c r="J2843" s="1"/>
    </row>
    <row r="2844" spans="10:10" x14ac:dyDescent="0.3">
      <c r="J2844" s="1"/>
    </row>
    <row r="2845" spans="10:10" x14ac:dyDescent="0.3">
      <c r="J2845" s="1"/>
    </row>
    <row r="2846" spans="10:10" x14ac:dyDescent="0.3">
      <c r="J2846" s="1"/>
    </row>
    <row r="2847" spans="10:10" x14ac:dyDescent="0.3">
      <c r="J2847" s="1"/>
    </row>
    <row r="2848" spans="10:10" x14ac:dyDescent="0.3">
      <c r="J2848" s="1"/>
    </row>
    <row r="2849" spans="10:10" x14ac:dyDescent="0.3">
      <c r="J2849" s="1"/>
    </row>
    <row r="2850" spans="10:10" x14ac:dyDescent="0.3">
      <c r="J2850" s="1"/>
    </row>
    <row r="2851" spans="10:10" x14ac:dyDescent="0.3">
      <c r="J2851" s="1"/>
    </row>
    <row r="2852" spans="10:10" x14ac:dyDescent="0.3">
      <c r="J2852" s="1"/>
    </row>
    <row r="2853" spans="10:10" x14ac:dyDescent="0.3">
      <c r="J2853" s="1"/>
    </row>
    <row r="2854" spans="10:10" x14ac:dyDescent="0.3">
      <c r="J2854" s="1"/>
    </row>
    <row r="2855" spans="10:10" x14ac:dyDescent="0.3">
      <c r="J2855" s="1"/>
    </row>
    <row r="2856" spans="10:10" x14ac:dyDescent="0.3">
      <c r="J2856" s="1"/>
    </row>
    <row r="2857" spans="10:10" x14ac:dyDescent="0.3">
      <c r="J2857" s="1"/>
    </row>
    <row r="2858" spans="10:10" x14ac:dyDescent="0.3">
      <c r="J2858" s="1"/>
    </row>
    <row r="2859" spans="10:10" x14ac:dyDescent="0.3">
      <c r="J2859" s="1"/>
    </row>
    <row r="2860" spans="10:10" x14ac:dyDescent="0.3">
      <c r="J2860" s="1"/>
    </row>
    <row r="2861" spans="10:10" x14ac:dyDescent="0.3">
      <c r="J2861" s="1"/>
    </row>
    <row r="2862" spans="10:10" x14ac:dyDescent="0.3">
      <c r="J2862" s="1"/>
    </row>
    <row r="2863" spans="10:10" x14ac:dyDescent="0.3">
      <c r="J2863" s="1"/>
    </row>
    <row r="2864" spans="10:10" x14ac:dyDescent="0.3">
      <c r="J2864" s="1"/>
    </row>
    <row r="2865" spans="10:10" x14ac:dyDescent="0.3">
      <c r="J2865" s="1"/>
    </row>
    <row r="2866" spans="10:10" x14ac:dyDescent="0.3">
      <c r="J2866" s="1"/>
    </row>
    <row r="2867" spans="10:10" x14ac:dyDescent="0.3">
      <c r="J2867" s="1"/>
    </row>
    <row r="2868" spans="10:10" x14ac:dyDescent="0.3">
      <c r="J2868" s="1"/>
    </row>
    <row r="2869" spans="10:10" x14ac:dyDescent="0.3">
      <c r="J2869" s="1"/>
    </row>
    <row r="2870" spans="10:10" x14ac:dyDescent="0.3">
      <c r="J2870" s="1"/>
    </row>
    <row r="2871" spans="10:10" x14ac:dyDescent="0.3">
      <c r="J2871" s="1"/>
    </row>
    <row r="2872" spans="10:10" x14ac:dyDescent="0.3">
      <c r="J2872" s="1"/>
    </row>
    <row r="2873" spans="10:10" x14ac:dyDescent="0.3">
      <c r="J2873" s="1"/>
    </row>
    <row r="2874" spans="10:10" x14ac:dyDescent="0.3">
      <c r="J2874" s="1"/>
    </row>
    <row r="2875" spans="10:10" x14ac:dyDescent="0.3">
      <c r="J2875" s="1"/>
    </row>
    <row r="2876" spans="10:10" x14ac:dyDescent="0.3">
      <c r="J2876" s="1"/>
    </row>
    <row r="2877" spans="10:10" x14ac:dyDescent="0.3">
      <c r="J2877" s="1"/>
    </row>
    <row r="2878" spans="10:10" x14ac:dyDescent="0.3">
      <c r="J2878" s="1"/>
    </row>
    <row r="2879" spans="10:10" x14ac:dyDescent="0.3">
      <c r="J2879" s="1"/>
    </row>
    <row r="2880" spans="10:10" x14ac:dyDescent="0.3">
      <c r="J2880" s="1"/>
    </row>
    <row r="2881" spans="10:10" x14ac:dyDescent="0.3">
      <c r="J2881" s="1"/>
    </row>
    <row r="2882" spans="10:10" x14ac:dyDescent="0.3">
      <c r="J2882" s="1"/>
    </row>
    <row r="2883" spans="10:10" x14ac:dyDescent="0.3">
      <c r="J2883" s="1"/>
    </row>
    <row r="2884" spans="10:10" x14ac:dyDescent="0.3">
      <c r="J2884" s="1"/>
    </row>
    <row r="2885" spans="10:10" x14ac:dyDescent="0.3">
      <c r="J2885" s="1"/>
    </row>
    <row r="2886" spans="10:10" x14ac:dyDescent="0.3">
      <c r="J2886" s="1"/>
    </row>
    <row r="2887" spans="10:10" x14ac:dyDescent="0.3">
      <c r="J2887" s="1"/>
    </row>
    <row r="2888" spans="10:10" x14ac:dyDescent="0.3">
      <c r="J2888" s="1"/>
    </row>
    <row r="2889" spans="10:10" x14ac:dyDescent="0.3">
      <c r="J2889" s="1"/>
    </row>
    <row r="2890" spans="10:10" x14ac:dyDescent="0.3">
      <c r="J2890" s="1"/>
    </row>
    <row r="2891" spans="10:10" x14ac:dyDescent="0.3">
      <c r="J2891" s="1"/>
    </row>
    <row r="2892" spans="10:10" x14ac:dyDescent="0.3">
      <c r="J2892" s="1"/>
    </row>
    <row r="2893" spans="10:10" x14ac:dyDescent="0.3">
      <c r="J2893" s="1"/>
    </row>
    <row r="2894" spans="10:10" x14ac:dyDescent="0.3">
      <c r="J2894" s="1"/>
    </row>
    <row r="2895" spans="10:10" x14ac:dyDescent="0.3">
      <c r="J2895" s="1"/>
    </row>
    <row r="2896" spans="10:10" x14ac:dyDescent="0.3">
      <c r="J2896" s="1"/>
    </row>
    <row r="2897" spans="10:10" x14ac:dyDescent="0.3">
      <c r="J2897" s="1"/>
    </row>
    <row r="2898" spans="10:10" x14ac:dyDescent="0.3">
      <c r="J2898" s="1"/>
    </row>
    <row r="2899" spans="10:10" x14ac:dyDescent="0.3">
      <c r="J2899" s="1"/>
    </row>
    <row r="2900" spans="10:10" x14ac:dyDescent="0.3">
      <c r="J2900" s="1"/>
    </row>
    <row r="2901" spans="10:10" x14ac:dyDescent="0.3">
      <c r="J2901" s="1"/>
    </row>
    <row r="2902" spans="10:10" x14ac:dyDescent="0.3">
      <c r="J2902" s="1"/>
    </row>
    <row r="2903" spans="10:10" x14ac:dyDescent="0.3">
      <c r="J2903" s="1"/>
    </row>
    <row r="2904" spans="10:10" x14ac:dyDescent="0.3">
      <c r="J2904" s="1"/>
    </row>
    <row r="2905" spans="10:10" x14ac:dyDescent="0.3">
      <c r="J2905" s="1"/>
    </row>
    <row r="2906" spans="10:10" x14ac:dyDescent="0.3">
      <c r="J2906" s="1"/>
    </row>
    <row r="2907" spans="10:10" x14ac:dyDescent="0.3">
      <c r="J2907" s="1"/>
    </row>
    <row r="2908" spans="10:10" x14ac:dyDescent="0.3">
      <c r="J2908" s="1"/>
    </row>
    <row r="2909" spans="10:10" x14ac:dyDescent="0.3">
      <c r="J2909" s="1"/>
    </row>
    <row r="2910" spans="10:10" x14ac:dyDescent="0.3">
      <c r="J2910" s="1"/>
    </row>
    <row r="2911" spans="10:10" x14ac:dyDescent="0.3">
      <c r="J2911" s="1"/>
    </row>
    <row r="2912" spans="10:10" x14ac:dyDescent="0.3">
      <c r="J2912" s="1"/>
    </row>
    <row r="2913" spans="10:10" x14ac:dyDescent="0.3">
      <c r="J2913" s="1"/>
    </row>
    <row r="2914" spans="10:10" x14ac:dyDescent="0.3">
      <c r="J2914" s="1"/>
    </row>
    <row r="2915" spans="10:10" x14ac:dyDescent="0.3">
      <c r="J2915" s="1"/>
    </row>
    <row r="2916" spans="10:10" x14ac:dyDescent="0.3">
      <c r="J2916" s="1"/>
    </row>
    <row r="2917" spans="10:10" x14ac:dyDescent="0.3">
      <c r="J2917" s="1"/>
    </row>
    <row r="2918" spans="10:10" x14ac:dyDescent="0.3">
      <c r="J2918" s="1"/>
    </row>
    <row r="2919" spans="10:10" x14ac:dyDescent="0.3">
      <c r="J2919" s="1"/>
    </row>
    <row r="2920" spans="10:10" x14ac:dyDescent="0.3">
      <c r="J2920" s="1"/>
    </row>
    <row r="2921" spans="10:10" x14ac:dyDescent="0.3">
      <c r="J2921" s="1"/>
    </row>
    <row r="2922" spans="10:10" x14ac:dyDescent="0.3">
      <c r="J2922" s="1"/>
    </row>
    <row r="2923" spans="10:10" x14ac:dyDescent="0.3">
      <c r="J2923" s="1"/>
    </row>
    <row r="2924" spans="10:10" x14ac:dyDescent="0.3">
      <c r="J2924" s="1"/>
    </row>
    <row r="2925" spans="10:10" x14ac:dyDescent="0.3">
      <c r="J2925" s="1"/>
    </row>
    <row r="2926" spans="10:10" x14ac:dyDescent="0.3">
      <c r="J2926" s="1"/>
    </row>
    <row r="2927" spans="10:10" x14ac:dyDescent="0.3">
      <c r="J2927" s="1"/>
    </row>
    <row r="2928" spans="10:10" x14ac:dyDescent="0.3">
      <c r="J2928" s="1"/>
    </row>
    <row r="2929" spans="10:10" x14ac:dyDescent="0.3">
      <c r="J2929" s="1"/>
    </row>
    <row r="2930" spans="10:10" x14ac:dyDescent="0.3">
      <c r="J2930" s="1"/>
    </row>
    <row r="2931" spans="10:10" x14ac:dyDescent="0.3">
      <c r="J2931" s="1"/>
    </row>
    <row r="2932" spans="10:10" x14ac:dyDescent="0.3">
      <c r="J2932" s="1"/>
    </row>
    <row r="2933" spans="10:10" x14ac:dyDescent="0.3">
      <c r="J2933" s="1"/>
    </row>
    <row r="2934" spans="10:10" x14ac:dyDescent="0.3">
      <c r="J2934" s="1"/>
    </row>
    <row r="2935" spans="10:10" x14ac:dyDescent="0.3">
      <c r="J2935" s="1"/>
    </row>
    <row r="2936" spans="10:10" x14ac:dyDescent="0.3">
      <c r="J2936" s="1"/>
    </row>
    <row r="2937" spans="10:10" x14ac:dyDescent="0.3">
      <c r="J2937" s="1"/>
    </row>
    <row r="2938" spans="10:10" x14ac:dyDescent="0.3">
      <c r="J2938" s="1"/>
    </row>
    <row r="2939" spans="10:10" x14ac:dyDescent="0.3">
      <c r="J2939" s="1"/>
    </row>
    <row r="2940" spans="10:10" x14ac:dyDescent="0.3">
      <c r="J2940" s="1"/>
    </row>
    <row r="2941" spans="10:10" x14ac:dyDescent="0.3">
      <c r="J2941" s="1"/>
    </row>
    <row r="2942" spans="10:10" x14ac:dyDescent="0.3">
      <c r="J2942" s="1"/>
    </row>
    <row r="2943" spans="10:10" x14ac:dyDescent="0.3">
      <c r="J2943" s="1"/>
    </row>
    <row r="2944" spans="10:10" x14ac:dyDescent="0.3">
      <c r="J2944" s="1"/>
    </row>
    <row r="2945" spans="10:10" x14ac:dyDescent="0.3">
      <c r="J2945" s="1"/>
    </row>
    <row r="2946" spans="10:10" x14ac:dyDescent="0.3">
      <c r="J2946" s="1"/>
    </row>
    <row r="2947" spans="10:10" x14ac:dyDescent="0.3">
      <c r="J2947" s="1"/>
    </row>
    <row r="2948" spans="10:10" x14ac:dyDescent="0.3">
      <c r="J2948" s="1"/>
    </row>
    <row r="2949" spans="10:10" x14ac:dyDescent="0.3">
      <c r="J2949" s="1"/>
    </row>
    <row r="2950" spans="10:10" x14ac:dyDescent="0.3">
      <c r="J2950" s="1"/>
    </row>
    <row r="2951" spans="10:10" x14ac:dyDescent="0.3">
      <c r="J2951" s="1"/>
    </row>
    <row r="2952" spans="10:10" x14ac:dyDescent="0.3">
      <c r="J2952" s="1"/>
    </row>
    <row r="2953" spans="10:10" x14ac:dyDescent="0.3">
      <c r="J2953" s="1"/>
    </row>
    <row r="2954" spans="10:10" x14ac:dyDescent="0.3">
      <c r="J2954" s="1"/>
    </row>
    <row r="2955" spans="10:10" x14ac:dyDescent="0.3">
      <c r="J2955" s="1"/>
    </row>
    <row r="2956" spans="10:10" x14ac:dyDescent="0.3">
      <c r="J2956" s="1"/>
    </row>
    <row r="2957" spans="10:10" x14ac:dyDescent="0.3">
      <c r="J2957" s="1"/>
    </row>
    <row r="2958" spans="10:10" x14ac:dyDescent="0.3">
      <c r="J2958" s="1"/>
    </row>
    <row r="2959" spans="10:10" x14ac:dyDescent="0.3">
      <c r="J2959" s="1"/>
    </row>
    <row r="2960" spans="10:10" x14ac:dyDescent="0.3">
      <c r="J2960" s="1"/>
    </row>
    <row r="2961" spans="10:10" x14ac:dyDescent="0.3">
      <c r="J2961" s="1"/>
    </row>
    <row r="2962" spans="10:10" x14ac:dyDescent="0.3">
      <c r="J2962" s="1"/>
    </row>
    <row r="2963" spans="10:10" x14ac:dyDescent="0.3">
      <c r="J2963" s="1"/>
    </row>
    <row r="2964" spans="10:10" x14ac:dyDescent="0.3">
      <c r="J2964" s="1"/>
    </row>
    <row r="2965" spans="10:10" x14ac:dyDescent="0.3">
      <c r="J2965" s="1"/>
    </row>
    <row r="2966" spans="10:10" x14ac:dyDescent="0.3">
      <c r="J2966" s="1"/>
    </row>
    <row r="2967" spans="10:10" x14ac:dyDescent="0.3">
      <c r="J2967" s="1"/>
    </row>
    <row r="2968" spans="10:10" x14ac:dyDescent="0.3">
      <c r="J2968" s="1"/>
    </row>
    <row r="2969" spans="10:10" x14ac:dyDescent="0.3">
      <c r="J2969" s="1"/>
    </row>
    <row r="2970" spans="10:10" x14ac:dyDescent="0.3">
      <c r="J2970" s="1"/>
    </row>
    <row r="2971" spans="10:10" x14ac:dyDescent="0.3">
      <c r="J2971" s="1"/>
    </row>
    <row r="2972" spans="10:10" x14ac:dyDescent="0.3">
      <c r="J2972" s="1"/>
    </row>
    <row r="2973" spans="10:10" x14ac:dyDescent="0.3">
      <c r="J2973" s="1"/>
    </row>
    <row r="2974" spans="10:10" x14ac:dyDescent="0.3">
      <c r="J2974" s="1"/>
    </row>
    <row r="2975" spans="10:10" x14ac:dyDescent="0.3">
      <c r="J2975" s="1"/>
    </row>
    <row r="2976" spans="10:10" x14ac:dyDescent="0.3">
      <c r="J2976" s="1"/>
    </row>
    <row r="2977" spans="10:10" x14ac:dyDescent="0.3">
      <c r="J2977" s="1"/>
    </row>
    <row r="2978" spans="10:10" x14ac:dyDescent="0.3">
      <c r="J2978" s="1"/>
    </row>
    <row r="2979" spans="10:10" x14ac:dyDescent="0.3">
      <c r="J2979" s="1"/>
    </row>
    <row r="2980" spans="10:10" x14ac:dyDescent="0.3">
      <c r="J2980" s="1"/>
    </row>
    <row r="2981" spans="10:10" x14ac:dyDescent="0.3">
      <c r="J2981" s="1"/>
    </row>
    <row r="2982" spans="10:10" x14ac:dyDescent="0.3">
      <c r="J2982" s="1"/>
    </row>
    <row r="2983" spans="10:10" x14ac:dyDescent="0.3">
      <c r="J2983" s="1"/>
    </row>
    <row r="2984" spans="10:10" x14ac:dyDescent="0.3">
      <c r="J2984" s="1"/>
    </row>
    <row r="2985" spans="10:10" x14ac:dyDescent="0.3">
      <c r="J2985" s="1"/>
    </row>
    <row r="2986" spans="10:10" x14ac:dyDescent="0.3">
      <c r="J2986" s="1"/>
    </row>
    <row r="2987" spans="10:10" x14ac:dyDescent="0.3">
      <c r="J2987" s="1"/>
    </row>
    <row r="2988" spans="10:10" x14ac:dyDescent="0.3">
      <c r="J2988" s="1"/>
    </row>
    <row r="2989" spans="10:10" x14ac:dyDescent="0.3">
      <c r="J2989" s="1"/>
    </row>
    <row r="2990" spans="10:10" x14ac:dyDescent="0.3">
      <c r="J2990" s="1"/>
    </row>
    <row r="2991" spans="10:10" x14ac:dyDescent="0.3">
      <c r="J2991" s="1"/>
    </row>
    <row r="2992" spans="10:10" x14ac:dyDescent="0.3">
      <c r="J2992" s="1"/>
    </row>
    <row r="2993" spans="10:10" x14ac:dyDescent="0.3">
      <c r="J2993" s="1"/>
    </row>
    <row r="2994" spans="10:10" x14ac:dyDescent="0.3">
      <c r="J2994" s="1"/>
    </row>
    <row r="2995" spans="10:10" x14ac:dyDescent="0.3">
      <c r="J2995" s="1"/>
    </row>
    <row r="2996" spans="10:10" x14ac:dyDescent="0.3">
      <c r="J2996" s="1"/>
    </row>
    <row r="2997" spans="10:10" x14ac:dyDescent="0.3">
      <c r="J2997" s="1"/>
    </row>
    <row r="2998" spans="10:10" x14ac:dyDescent="0.3">
      <c r="J2998" s="1"/>
    </row>
    <row r="2999" spans="10:10" x14ac:dyDescent="0.3">
      <c r="J2999" s="1"/>
    </row>
    <row r="3000" spans="10:10" x14ac:dyDescent="0.3">
      <c r="J3000" s="1"/>
    </row>
    <row r="3001" spans="10:10" x14ac:dyDescent="0.3">
      <c r="J3001" s="1"/>
    </row>
    <row r="3002" spans="10:10" x14ac:dyDescent="0.3">
      <c r="J3002" s="1"/>
    </row>
    <row r="3003" spans="10:10" x14ac:dyDescent="0.3">
      <c r="J3003" s="1"/>
    </row>
    <row r="3004" spans="10:10" x14ac:dyDescent="0.3">
      <c r="J3004" s="1"/>
    </row>
    <row r="3005" spans="10:10" x14ac:dyDescent="0.3">
      <c r="J3005" s="1"/>
    </row>
    <row r="3006" spans="10:10" x14ac:dyDescent="0.3">
      <c r="J3006" s="1"/>
    </row>
    <row r="3007" spans="10:10" x14ac:dyDescent="0.3">
      <c r="J3007" s="1"/>
    </row>
    <row r="3008" spans="10:10" x14ac:dyDescent="0.3">
      <c r="J3008" s="1"/>
    </row>
    <row r="3009" spans="10:10" x14ac:dyDescent="0.3">
      <c r="J3009" s="1"/>
    </row>
    <row r="3010" spans="10:10" x14ac:dyDescent="0.3">
      <c r="J3010" s="1"/>
    </row>
    <row r="3011" spans="10:10" x14ac:dyDescent="0.3">
      <c r="J3011" s="1"/>
    </row>
    <row r="3012" spans="10:10" x14ac:dyDescent="0.3">
      <c r="J3012" s="1"/>
    </row>
    <row r="3013" spans="10:10" x14ac:dyDescent="0.3">
      <c r="J3013" s="1"/>
    </row>
    <row r="3014" spans="10:10" x14ac:dyDescent="0.3">
      <c r="J3014" s="1"/>
    </row>
    <row r="3015" spans="10:10" x14ac:dyDescent="0.3">
      <c r="J3015" s="1"/>
    </row>
    <row r="3016" spans="10:10" x14ac:dyDescent="0.3">
      <c r="J3016" s="1"/>
    </row>
    <row r="3017" spans="10:10" x14ac:dyDescent="0.3">
      <c r="J3017" s="1"/>
    </row>
    <row r="3018" spans="10:10" x14ac:dyDescent="0.3">
      <c r="J3018" s="1"/>
    </row>
    <row r="3019" spans="10:10" x14ac:dyDescent="0.3">
      <c r="J3019" s="1"/>
    </row>
    <row r="3020" spans="10:10" x14ac:dyDescent="0.3">
      <c r="J3020" s="1"/>
    </row>
    <row r="3021" spans="10:10" x14ac:dyDescent="0.3">
      <c r="J3021" s="1"/>
    </row>
    <row r="3022" spans="10:10" x14ac:dyDescent="0.3">
      <c r="J3022" s="1"/>
    </row>
    <row r="3023" spans="10:10" x14ac:dyDescent="0.3">
      <c r="J3023" s="1"/>
    </row>
    <row r="3024" spans="10:10" x14ac:dyDescent="0.3">
      <c r="J3024" s="1"/>
    </row>
    <row r="3025" spans="10:10" x14ac:dyDescent="0.3">
      <c r="J3025" s="1"/>
    </row>
    <row r="3026" spans="10:10" x14ac:dyDescent="0.3">
      <c r="J3026" s="1"/>
    </row>
    <row r="3027" spans="10:10" x14ac:dyDescent="0.3">
      <c r="J3027" s="1"/>
    </row>
    <row r="3028" spans="10:10" x14ac:dyDescent="0.3">
      <c r="J3028" s="1"/>
    </row>
    <row r="3029" spans="10:10" x14ac:dyDescent="0.3">
      <c r="J3029" s="1"/>
    </row>
    <row r="3030" spans="10:10" x14ac:dyDescent="0.3">
      <c r="J3030" s="1"/>
    </row>
    <row r="3031" spans="10:10" x14ac:dyDescent="0.3">
      <c r="J3031" s="1"/>
    </row>
    <row r="3032" spans="10:10" x14ac:dyDescent="0.3">
      <c r="J3032" s="1"/>
    </row>
    <row r="3033" spans="10:10" x14ac:dyDescent="0.3">
      <c r="J3033" s="1"/>
    </row>
    <row r="3034" spans="10:10" x14ac:dyDescent="0.3">
      <c r="J3034" s="1"/>
    </row>
    <row r="3035" spans="10:10" x14ac:dyDescent="0.3">
      <c r="J3035" s="1"/>
    </row>
    <row r="3036" spans="10:10" x14ac:dyDescent="0.3">
      <c r="J3036" s="1"/>
    </row>
    <row r="3037" spans="10:10" x14ac:dyDescent="0.3">
      <c r="J3037" s="1"/>
    </row>
    <row r="3038" spans="10:10" x14ac:dyDescent="0.3">
      <c r="J3038" s="1"/>
    </row>
    <row r="3039" spans="10:10" x14ac:dyDescent="0.3">
      <c r="J3039" s="1"/>
    </row>
    <row r="3040" spans="10:10" x14ac:dyDescent="0.3">
      <c r="J3040" s="1"/>
    </row>
    <row r="3041" spans="10:10" x14ac:dyDescent="0.3">
      <c r="J3041" s="1"/>
    </row>
    <row r="3042" spans="10:10" x14ac:dyDescent="0.3">
      <c r="J3042" s="1"/>
    </row>
    <row r="3043" spans="10:10" x14ac:dyDescent="0.3">
      <c r="J3043" s="1"/>
    </row>
    <row r="3044" spans="10:10" x14ac:dyDescent="0.3">
      <c r="J3044" s="1"/>
    </row>
    <row r="3045" spans="10:10" x14ac:dyDescent="0.3">
      <c r="J3045" s="1"/>
    </row>
    <row r="3046" spans="10:10" x14ac:dyDescent="0.3">
      <c r="J3046" s="1"/>
    </row>
    <row r="3047" spans="10:10" x14ac:dyDescent="0.3">
      <c r="J3047" s="1"/>
    </row>
    <row r="3048" spans="10:10" x14ac:dyDescent="0.3">
      <c r="J3048" s="1"/>
    </row>
    <row r="3049" spans="10:10" x14ac:dyDescent="0.3">
      <c r="J3049" s="1"/>
    </row>
    <row r="3050" spans="10:10" x14ac:dyDescent="0.3">
      <c r="J3050" s="1"/>
    </row>
    <row r="3051" spans="10:10" x14ac:dyDescent="0.3">
      <c r="J3051" s="1"/>
    </row>
    <row r="3052" spans="10:10" x14ac:dyDescent="0.3">
      <c r="J3052" s="1"/>
    </row>
    <row r="3053" spans="10:10" x14ac:dyDescent="0.3">
      <c r="J3053" s="1"/>
    </row>
    <row r="3054" spans="10:10" x14ac:dyDescent="0.3">
      <c r="J3054" s="1"/>
    </row>
    <row r="3055" spans="10:10" x14ac:dyDescent="0.3">
      <c r="J3055" s="1"/>
    </row>
    <row r="3056" spans="10:10" x14ac:dyDescent="0.3">
      <c r="J3056" s="1"/>
    </row>
    <row r="3057" spans="10:10" x14ac:dyDescent="0.3">
      <c r="J3057" s="1"/>
    </row>
    <row r="3058" spans="10:10" x14ac:dyDescent="0.3">
      <c r="J3058" s="1"/>
    </row>
    <row r="3059" spans="10:10" x14ac:dyDescent="0.3">
      <c r="J3059" s="1"/>
    </row>
    <row r="3060" spans="10:10" x14ac:dyDescent="0.3">
      <c r="J3060" s="1"/>
    </row>
    <row r="3061" spans="10:10" x14ac:dyDescent="0.3">
      <c r="J3061" s="1"/>
    </row>
    <row r="3062" spans="10:10" x14ac:dyDescent="0.3">
      <c r="J3062" s="1"/>
    </row>
    <row r="3063" spans="10:10" x14ac:dyDescent="0.3">
      <c r="J3063" s="1"/>
    </row>
    <row r="3064" spans="10:10" x14ac:dyDescent="0.3">
      <c r="J3064" s="1"/>
    </row>
    <row r="3065" spans="10:10" x14ac:dyDescent="0.3">
      <c r="J3065" s="1"/>
    </row>
    <row r="3066" spans="10:10" x14ac:dyDescent="0.3">
      <c r="J3066" s="1"/>
    </row>
    <row r="3067" spans="10:10" x14ac:dyDescent="0.3">
      <c r="J3067" s="1"/>
    </row>
    <row r="3068" spans="10:10" x14ac:dyDescent="0.3">
      <c r="J3068" s="1"/>
    </row>
    <row r="3069" spans="10:10" x14ac:dyDescent="0.3">
      <c r="J3069" s="1"/>
    </row>
    <row r="3070" spans="10:10" x14ac:dyDescent="0.3">
      <c r="J3070" s="1"/>
    </row>
    <row r="3071" spans="10:10" x14ac:dyDescent="0.3">
      <c r="J3071" s="1"/>
    </row>
    <row r="3072" spans="10:10" x14ac:dyDescent="0.3">
      <c r="J3072" s="1"/>
    </row>
    <row r="3073" spans="10:10" x14ac:dyDescent="0.3">
      <c r="J3073" s="1"/>
    </row>
    <row r="3074" spans="10:10" x14ac:dyDescent="0.3">
      <c r="J3074" s="1"/>
    </row>
    <row r="3075" spans="10:10" x14ac:dyDescent="0.3">
      <c r="J3075" s="1"/>
    </row>
    <row r="3076" spans="10:10" x14ac:dyDescent="0.3">
      <c r="J3076" s="1"/>
    </row>
    <row r="3077" spans="10:10" x14ac:dyDescent="0.3">
      <c r="J3077" s="1"/>
    </row>
    <row r="3078" spans="10:10" x14ac:dyDescent="0.3">
      <c r="J3078" s="1"/>
    </row>
    <row r="3079" spans="10:10" x14ac:dyDescent="0.3">
      <c r="J3079" s="1"/>
    </row>
    <row r="3080" spans="10:10" x14ac:dyDescent="0.3">
      <c r="J3080" s="1"/>
    </row>
    <row r="3081" spans="10:10" x14ac:dyDescent="0.3">
      <c r="J3081" s="1"/>
    </row>
    <row r="3082" spans="10:10" x14ac:dyDescent="0.3">
      <c r="J3082" s="1"/>
    </row>
    <row r="3083" spans="10:10" x14ac:dyDescent="0.3">
      <c r="J3083" s="1"/>
    </row>
    <row r="3084" spans="10:10" x14ac:dyDescent="0.3">
      <c r="J3084" s="1"/>
    </row>
    <row r="3085" spans="10:10" x14ac:dyDescent="0.3">
      <c r="J3085" s="1"/>
    </row>
    <row r="3086" spans="10:10" x14ac:dyDescent="0.3">
      <c r="J3086" s="1"/>
    </row>
    <row r="3087" spans="10:10" x14ac:dyDescent="0.3">
      <c r="J3087" s="1"/>
    </row>
    <row r="3088" spans="10:10" x14ac:dyDescent="0.3">
      <c r="J3088" s="1"/>
    </row>
    <row r="3089" spans="10:10" x14ac:dyDescent="0.3">
      <c r="J3089" s="1"/>
    </row>
    <row r="3090" spans="10:10" x14ac:dyDescent="0.3">
      <c r="J3090" s="1"/>
    </row>
    <row r="3091" spans="10:10" x14ac:dyDescent="0.3">
      <c r="J3091" s="1"/>
    </row>
    <row r="3092" spans="10:10" x14ac:dyDescent="0.3">
      <c r="J3092" s="1"/>
    </row>
    <row r="3093" spans="10:10" x14ac:dyDescent="0.3">
      <c r="J3093" s="1"/>
    </row>
    <row r="3094" spans="10:10" x14ac:dyDescent="0.3">
      <c r="J3094" s="1"/>
    </row>
    <row r="3095" spans="10:10" x14ac:dyDescent="0.3">
      <c r="J3095" s="1"/>
    </row>
    <row r="3096" spans="10:10" x14ac:dyDescent="0.3">
      <c r="J3096" s="1"/>
    </row>
    <row r="3097" spans="10:10" x14ac:dyDescent="0.3">
      <c r="J3097" s="1"/>
    </row>
    <row r="3098" spans="10:10" x14ac:dyDescent="0.3">
      <c r="J3098" s="1"/>
    </row>
    <row r="3099" spans="10:10" x14ac:dyDescent="0.3">
      <c r="J3099" s="1"/>
    </row>
    <row r="3100" spans="10:10" x14ac:dyDescent="0.3">
      <c r="J3100" s="1"/>
    </row>
    <row r="3101" spans="10:10" x14ac:dyDescent="0.3">
      <c r="J3101" s="1"/>
    </row>
    <row r="3102" spans="10:10" x14ac:dyDescent="0.3">
      <c r="J3102" s="1"/>
    </row>
    <row r="3103" spans="10:10" x14ac:dyDescent="0.3">
      <c r="J3103" s="1"/>
    </row>
    <row r="3104" spans="10:10" x14ac:dyDescent="0.3">
      <c r="J3104" s="1"/>
    </row>
    <row r="3105" spans="10:10" x14ac:dyDescent="0.3">
      <c r="J3105" s="1"/>
    </row>
    <row r="3106" spans="10:10" x14ac:dyDescent="0.3">
      <c r="J3106" s="1"/>
    </row>
    <row r="3107" spans="10:10" x14ac:dyDescent="0.3">
      <c r="J3107" s="1"/>
    </row>
    <row r="3108" spans="10:10" x14ac:dyDescent="0.3">
      <c r="J3108" s="1"/>
    </row>
    <row r="3109" spans="10:10" x14ac:dyDescent="0.3">
      <c r="J3109" s="1"/>
    </row>
    <row r="3110" spans="10:10" x14ac:dyDescent="0.3">
      <c r="J3110" s="1"/>
    </row>
    <row r="3111" spans="10:10" x14ac:dyDescent="0.3">
      <c r="J3111" s="1"/>
    </row>
    <row r="3112" spans="10:10" x14ac:dyDescent="0.3">
      <c r="J3112" s="1"/>
    </row>
    <row r="3113" spans="10:10" x14ac:dyDescent="0.3">
      <c r="J3113" s="1"/>
    </row>
    <row r="3114" spans="10:10" x14ac:dyDescent="0.3">
      <c r="J3114" s="1"/>
    </row>
    <row r="3115" spans="10:10" x14ac:dyDescent="0.3">
      <c r="J3115" s="1"/>
    </row>
    <row r="3116" spans="10:10" x14ac:dyDescent="0.3">
      <c r="J3116" s="1"/>
    </row>
    <row r="3117" spans="10:10" x14ac:dyDescent="0.3">
      <c r="J3117" s="1"/>
    </row>
    <row r="3118" spans="10:10" x14ac:dyDescent="0.3">
      <c r="J3118" s="1"/>
    </row>
    <row r="3119" spans="10:10" x14ac:dyDescent="0.3">
      <c r="J3119" s="1"/>
    </row>
    <row r="3120" spans="10:10" x14ac:dyDescent="0.3">
      <c r="J3120" s="1"/>
    </row>
    <row r="3121" spans="10:10" x14ac:dyDescent="0.3">
      <c r="J3121" s="1"/>
    </row>
    <row r="3122" spans="10:10" x14ac:dyDescent="0.3">
      <c r="J3122" s="1"/>
    </row>
    <row r="3123" spans="10:10" x14ac:dyDescent="0.3">
      <c r="J3123" s="1"/>
    </row>
    <row r="3124" spans="10:10" x14ac:dyDescent="0.3">
      <c r="J3124" s="1"/>
    </row>
    <row r="3125" spans="10:10" x14ac:dyDescent="0.3">
      <c r="J3125" s="1"/>
    </row>
    <row r="3126" spans="10:10" x14ac:dyDescent="0.3">
      <c r="J3126" s="1"/>
    </row>
    <row r="3127" spans="10:10" x14ac:dyDescent="0.3">
      <c r="J3127" s="1"/>
    </row>
    <row r="3128" spans="10:10" x14ac:dyDescent="0.3">
      <c r="J3128" s="1"/>
    </row>
    <row r="3129" spans="10:10" x14ac:dyDescent="0.3">
      <c r="J3129" s="1"/>
    </row>
    <row r="3130" spans="10:10" x14ac:dyDescent="0.3">
      <c r="J3130" s="1"/>
    </row>
    <row r="3131" spans="10:10" x14ac:dyDescent="0.3">
      <c r="J3131" s="1"/>
    </row>
    <row r="3132" spans="10:10" x14ac:dyDescent="0.3">
      <c r="J3132" s="1"/>
    </row>
    <row r="3133" spans="10:10" x14ac:dyDescent="0.3">
      <c r="J3133" s="1"/>
    </row>
    <row r="3134" spans="10:10" x14ac:dyDescent="0.3">
      <c r="J3134" s="1"/>
    </row>
    <row r="3135" spans="10:10" x14ac:dyDescent="0.3">
      <c r="J3135" s="1"/>
    </row>
    <row r="3136" spans="10:10" x14ac:dyDescent="0.3">
      <c r="J3136" s="1"/>
    </row>
    <row r="3137" spans="10:10" x14ac:dyDescent="0.3">
      <c r="J3137" s="1"/>
    </row>
    <row r="3138" spans="10:10" x14ac:dyDescent="0.3">
      <c r="J3138" s="1"/>
    </row>
    <row r="3139" spans="10:10" x14ac:dyDescent="0.3">
      <c r="J3139" s="1"/>
    </row>
    <row r="3140" spans="10:10" x14ac:dyDescent="0.3">
      <c r="J3140" s="1"/>
    </row>
    <row r="3141" spans="10:10" x14ac:dyDescent="0.3">
      <c r="J3141" s="1"/>
    </row>
    <row r="3142" spans="10:10" x14ac:dyDescent="0.3">
      <c r="J3142" s="1"/>
    </row>
    <row r="3143" spans="10:10" x14ac:dyDescent="0.3">
      <c r="J3143" s="1"/>
    </row>
    <row r="3144" spans="10:10" x14ac:dyDescent="0.3">
      <c r="J3144" s="1"/>
    </row>
    <row r="3145" spans="10:10" x14ac:dyDescent="0.3">
      <c r="J3145" s="1"/>
    </row>
    <row r="3146" spans="10:10" x14ac:dyDescent="0.3">
      <c r="J3146" s="1"/>
    </row>
    <row r="3147" spans="10:10" x14ac:dyDescent="0.3">
      <c r="J3147" s="1"/>
    </row>
    <row r="3148" spans="10:10" x14ac:dyDescent="0.3">
      <c r="J3148" s="1"/>
    </row>
    <row r="3149" spans="10:10" x14ac:dyDescent="0.3">
      <c r="J3149" s="1"/>
    </row>
    <row r="3150" spans="10:10" x14ac:dyDescent="0.3">
      <c r="J3150" s="1"/>
    </row>
    <row r="3151" spans="10:10" x14ac:dyDescent="0.3">
      <c r="J3151" s="1"/>
    </row>
    <row r="3152" spans="10:10" x14ac:dyDescent="0.3">
      <c r="J3152" s="1"/>
    </row>
    <row r="3153" spans="10:10" x14ac:dyDescent="0.3">
      <c r="J3153" s="1"/>
    </row>
    <row r="3154" spans="10:10" x14ac:dyDescent="0.3">
      <c r="J3154" s="1"/>
    </row>
    <row r="3155" spans="10:10" x14ac:dyDescent="0.3">
      <c r="J3155" s="1"/>
    </row>
    <row r="3156" spans="10:10" x14ac:dyDescent="0.3">
      <c r="J3156" s="1"/>
    </row>
    <row r="3157" spans="10:10" x14ac:dyDescent="0.3">
      <c r="J3157" s="1"/>
    </row>
    <row r="3158" spans="10:10" x14ac:dyDescent="0.3">
      <c r="J3158" s="1"/>
    </row>
    <row r="3159" spans="10:10" x14ac:dyDescent="0.3">
      <c r="J3159" s="1"/>
    </row>
    <row r="3160" spans="10:10" x14ac:dyDescent="0.3">
      <c r="J3160" s="1"/>
    </row>
    <row r="3161" spans="10:10" x14ac:dyDescent="0.3">
      <c r="J3161" s="1"/>
    </row>
    <row r="3162" spans="10:10" x14ac:dyDescent="0.3">
      <c r="J3162" s="1"/>
    </row>
    <row r="3163" spans="10:10" x14ac:dyDescent="0.3">
      <c r="J3163" s="1"/>
    </row>
    <row r="3164" spans="10:10" x14ac:dyDescent="0.3">
      <c r="J3164" s="1"/>
    </row>
    <row r="3165" spans="10:10" x14ac:dyDescent="0.3">
      <c r="J3165" s="1"/>
    </row>
    <row r="3166" spans="10:10" x14ac:dyDescent="0.3">
      <c r="J3166" s="1"/>
    </row>
    <row r="3167" spans="10:10" x14ac:dyDescent="0.3">
      <c r="J3167" s="1"/>
    </row>
    <row r="3168" spans="10:10" x14ac:dyDescent="0.3">
      <c r="J3168" s="1"/>
    </row>
    <row r="3169" spans="10:10" x14ac:dyDescent="0.3">
      <c r="J3169" s="1"/>
    </row>
    <row r="3170" spans="10:10" x14ac:dyDescent="0.3">
      <c r="J3170" s="1"/>
    </row>
    <row r="3171" spans="10:10" x14ac:dyDescent="0.3">
      <c r="J3171" s="1"/>
    </row>
    <row r="3172" spans="10:10" x14ac:dyDescent="0.3">
      <c r="J3172" s="1"/>
    </row>
    <row r="3173" spans="10:10" x14ac:dyDescent="0.3">
      <c r="J3173" s="1"/>
    </row>
    <row r="3174" spans="10:10" x14ac:dyDescent="0.3">
      <c r="J3174" s="1"/>
    </row>
    <row r="3175" spans="10:10" x14ac:dyDescent="0.3">
      <c r="J3175" s="1"/>
    </row>
    <row r="3176" spans="10:10" x14ac:dyDescent="0.3">
      <c r="J3176" s="1"/>
    </row>
    <row r="3177" spans="10:10" x14ac:dyDescent="0.3">
      <c r="J3177" s="1"/>
    </row>
    <row r="3178" spans="10:10" x14ac:dyDescent="0.3">
      <c r="J3178" s="1"/>
    </row>
    <row r="3179" spans="10:10" x14ac:dyDescent="0.3">
      <c r="J3179" s="1"/>
    </row>
    <row r="3180" spans="10:10" x14ac:dyDescent="0.3">
      <c r="J3180" s="1"/>
    </row>
    <row r="3181" spans="10:10" x14ac:dyDescent="0.3">
      <c r="J3181" s="1"/>
    </row>
    <row r="3182" spans="10:10" x14ac:dyDescent="0.3">
      <c r="J3182" s="1"/>
    </row>
    <row r="3183" spans="10:10" x14ac:dyDescent="0.3">
      <c r="J3183" s="1"/>
    </row>
    <row r="3184" spans="10:10" x14ac:dyDescent="0.3">
      <c r="J3184" s="1"/>
    </row>
    <row r="3185" spans="10:10" x14ac:dyDescent="0.3">
      <c r="J3185" s="1"/>
    </row>
    <row r="3186" spans="10:10" x14ac:dyDescent="0.3">
      <c r="J3186" s="1"/>
    </row>
    <row r="3187" spans="10:10" x14ac:dyDescent="0.3">
      <c r="J3187" s="1"/>
    </row>
    <row r="3188" spans="10:10" x14ac:dyDescent="0.3">
      <c r="J3188" s="1"/>
    </row>
    <row r="3189" spans="10:10" x14ac:dyDescent="0.3">
      <c r="J3189" s="1"/>
    </row>
    <row r="3190" spans="10:10" x14ac:dyDescent="0.3">
      <c r="J3190" s="1"/>
    </row>
    <row r="3191" spans="10:10" x14ac:dyDescent="0.3">
      <c r="J3191" s="1"/>
    </row>
    <row r="3192" spans="10:10" x14ac:dyDescent="0.3">
      <c r="J3192" s="1"/>
    </row>
    <row r="3193" spans="10:10" x14ac:dyDescent="0.3">
      <c r="J3193" s="1"/>
    </row>
    <row r="3194" spans="10:10" x14ac:dyDescent="0.3">
      <c r="J3194" s="1"/>
    </row>
    <row r="3195" spans="10:10" x14ac:dyDescent="0.3">
      <c r="J3195" s="1"/>
    </row>
    <row r="3196" spans="10:10" x14ac:dyDescent="0.3">
      <c r="J3196" s="1"/>
    </row>
    <row r="3197" spans="10:10" x14ac:dyDescent="0.3">
      <c r="J3197" s="1"/>
    </row>
    <row r="3198" spans="10:10" x14ac:dyDescent="0.3">
      <c r="J3198" s="1"/>
    </row>
    <row r="3199" spans="10:10" x14ac:dyDescent="0.3">
      <c r="J3199" s="1"/>
    </row>
    <row r="3200" spans="10:10" x14ac:dyDescent="0.3">
      <c r="J3200" s="1"/>
    </row>
    <row r="3201" spans="10:10" x14ac:dyDescent="0.3">
      <c r="J3201" s="1"/>
    </row>
    <row r="3202" spans="10:10" x14ac:dyDescent="0.3">
      <c r="J3202" s="1"/>
    </row>
    <row r="3203" spans="10:10" x14ac:dyDescent="0.3">
      <c r="J3203" s="1"/>
    </row>
    <row r="3204" spans="10:10" x14ac:dyDescent="0.3">
      <c r="J3204" s="1"/>
    </row>
    <row r="3205" spans="10:10" x14ac:dyDescent="0.3">
      <c r="J3205" s="1"/>
    </row>
    <row r="3206" spans="10:10" x14ac:dyDescent="0.3">
      <c r="J3206" s="1"/>
    </row>
    <row r="3207" spans="10:10" x14ac:dyDescent="0.3">
      <c r="J3207" s="1"/>
    </row>
    <row r="3208" spans="10:10" x14ac:dyDescent="0.3">
      <c r="J3208" s="1"/>
    </row>
    <row r="3209" spans="10:10" x14ac:dyDescent="0.3">
      <c r="J3209" s="1"/>
    </row>
    <row r="3210" spans="10:10" x14ac:dyDescent="0.3">
      <c r="J3210" s="1"/>
    </row>
    <row r="3211" spans="10:10" x14ac:dyDescent="0.3">
      <c r="J3211" s="1"/>
    </row>
    <row r="3212" spans="10:10" x14ac:dyDescent="0.3">
      <c r="J3212" s="1"/>
    </row>
    <row r="3213" spans="10:10" x14ac:dyDescent="0.3">
      <c r="J3213" s="1"/>
    </row>
    <row r="3214" spans="10:10" x14ac:dyDescent="0.3">
      <c r="J3214" s="1"/>
    </row>
    <row r="3215" spans="10:10" x14ac:dyDescent="0.3">
      <c r="J3215" s="1"/>
    </row>
    <row r="3216" spans="10:10" x14ac:dyDescent="0.3">
      <c r="J3216" s="1"/>
    </row>
    <row r="3217" spans="10:10" x14ac:dyDescent="0.3">
      <c r="J3217" s="1"/>
    </row>
    <row r="3218" spans="10:10" x14ac:dyDescent="0.3">
      <c r="J3218" s="1"/>
    </row>
    <row r="3219" spans="10:10" x14ac:dyDescent="0.3">
      <c r="J3219" s="1"/>
    </row>
    <row r="3220" spans="10:10" x14ac:dyDescent="0.3">
      <c r="J3220" s="1"/>
    </row>
    <row r="3221" spans="10:10" x14ac:dyDescent="0.3">
      <c r="J3221" s="1"/>
    </row>
    <row r="3222" spans="10:10" x14ac:dyDescent="0.3">
      <c r="J3222" s="1"/>
    </row>
    <row r="3223" spans="10:10" x14ac:dyDescent="0.3">
      <c r="J3223" s="1"/>
    </row>
    <row r="3224" spans="10:10" x14ac:dyDescent="0.3">
      <c r="J3224" s="1"/>
    </row>
    <row r="3225" spans="10:10" x14ac:dyDescent="0.3">
      <c r="J3225" s="1"/>
    </row>
    <row r="3226" spans="10:10" x14ac:dyDescent="0.3">
      <c r="J3226" s="1"/>
    </row>
    <row r="3227" spans="10:10" x14ac:dyDescent="0.3">
      <c r="J3227" s="1"/>
    </row>
    <row r="3228" spans="10:10" x14ac:dyDescent="0.3">
      <c r="J3228" s="1"/>
    </row>
    <row r="3229" spans="10:10" x14ac:dyDescent="0.3">
      <c r="J3229" s="1"/>
    </row>
    <row r="3230" spans="10:10" x14ac:dyDescent="0.3">
      <c r="J3230" s="1"/>
    </row>
    <row r="3231" spans="10:10" x14ac:dyDescent="0.3">
      <c r="J3231" s="1"/>
    </row>
    <row r="3232" spans="10:10" x14ac:dyDescent="0.3">
      <c r="J3232" s="1"/>
    </row>
    <row r="3233" spans="10:10" x14ac:dyDescent="0.3">
      <c r="J3233" s="1"/>
    </row>
    <row r="3234" spans="10:10" x14ac:dyDescent="0.3">
      <c r="J3234" s="1"/>
    </row>
    <row r="3235" spans="10:10" x14ac:dyDescent="0.3">
      <c r="J3235" s="1"/>
    </row>
    <row r="3236" spans="10:10" x14ac:dyDescent="0.3">
      <c r="J3236" s="1"/>
    </row>
    <row r="3237" spans="10:10" x14ac:dyDescent="0.3">
      <c r="J3237" s="1"/>
    </row>
    <row r="3238" spans="10:10" x14ac:dyDescent="0.3">
      <c r="J3238" s="1"/>
    </row>
    <row r="3239" spans="10:10" x14ac:dyDescent="0.3">
      <c r="J3239" s="1"/>
    </row>
    <row r="3240" spans="10:10" x14ac:dyDescent="0.3">
      <c r="J3240" s="1"/>
    </row>
    <row r="3241" spans="10:10" x14ac:dyDescent="0.3">
      <c r="J3241" s="1"/>
    </row>
    <row r="3242" spans="10:10" x14ac:dyDescent="0.3">
      <c r="J3242" s="1"/>
    </row>
    <row r="3243" spans="10:10" x14ac:dyDescent="0.3">
      <c r="J3243" s="1"/>
    </row>
    <row r="3244" spans="10:10" x14ac:dyDescent="0.3">
      <c r="J3244" s="1"/>
    </row>
    <row r="3245" spans="10:10" x14ac:dyDescent="0.3">
      <c r="J3245" s="1"/>
    </row>
    <row r="3246" spans="10:10" x14ac:dyDescent="0.3">
      <c r="J3246" s="1"/>
    </row>
    <row r="3247" spans="10:10" x14ac:dyDescent="0.3">
      <c r="J3247" s="1"/>
    </row>
    <row r="3248" spans="10:10" x14ac:dyDescent="0.3">
      <c r="J3248" s="1"/>
    </row>
    <row r="3249" spans="10:10" x14ac:dyDescent="0.3">
      <c r="J3249" s="1"/>
    </row>
    <row r="3250" spans="10:10" x14ac:dyDescent="0.3">
      <c r="J3250" s="1"/>
    </row>
    <row r="3251" spans="10:10" x14ac:dyDescent="0.3">
      <c r="J3251" s="1"/>
    </row>
    <row r="3252" spans="10:10" x14ac:dyDescent="0.3">
      <c r="J3252" s="1"/>
    </row>
    <row r="3253" spans="10:10" x14ac:dyDescent="0.3">
      <c r="J3253" s="1"/>
    </row>
    <row r="3254" spans="10:10" x14ac:dyDescent="0.3">
      <c r="J3254" s="1"/>
    </row>
    <row r="3255" spans="10:10" x14ac:dyDescent="0.3">
      <c r="J3255" s="1"/>
    </row>
    <row r="3256" spans="10:10" x14ac:dyDescent="0.3">
      <c r="J3256" s="1"/>
    </row>
    <row r="3257" spans="10:10" x14ac:dyDescent="0.3">
      <c r="J3257" s="1"/>
    </row>
    <row r="3258" spans="10:10" x14ac:dyDescent="0.3">
      <c r="J3258" s="1"/>
    </row>
    <row r="3259" spans="10:10" x14ac:dyDescent="0.3">
      <c r="J3259" s="1"/>
    </row>
    <row r="3260" spans="10:10" x14ac:dyDescent="0.3">
      <c r="J3260" s="1"/>
    </row>
    <row r="3261" spans="10:10" x14ac:dyDescent="0.3">
      <c r="J3261" s="1"/>
    </row>
    <row r="3262" spans="10:10" x14ac:dyDescent="0.3">
      <c r="J3262" s="1"/>
    </row>
    <row r="3263" spans="10:10" x14ac:dyDescent="0.3">
      <c r="J3263" s="1"/>
    </row>
    <row r="3264" spans="10:10" x14ac:dyDescent="0.3">
      <c r="J3264" s="1"/>
    </row>
    <row r="3265" spans="10:10" x14ac:dyDescent="0.3">
      <c r="J3265" s="1"/>
    </row>
    <row r="3266" spans="10:10" x14ac:dyDescent="0.3">
      <c r="J3266" s="1"/>
    </row>
    <row r="3267" spans="10:10" x14ac:dyDescent="0.3">
      <c r="J3267" s="1"/>
    </row>
    <row r="3268" spans="10:10" x14ac:dyDescent="0.3">
      <c r="J3268" s="1"/>
    </row>
    <row r="3269" spans="10:10" x14ac:dyDescent="0.3">
      <c r="J3269" s="1"/>
    </row>
    <row r="3270" spans="10:10" x14ac:dyDescent="0.3">
      <c r="J3270" s="1"/>
    </row>
    <row r="3271" spans="10:10" x14ac:dyDescent="0.3">
      <c r="J3271" s="1"/>
    </row>
    <row r="3272" spans="10:10" x14ac:dyDescent="0.3">
      <c r="J3272" s="1"/>
    </row>
    <row r="3273" spans="10:10" x14ac:dyDescent="0.3">
      <c r="J3273" s="1"/>
    </row>
    <row r="3274" spans="10:10" x14ac:dyDescent="0.3">
      <c r="J3274" s="1"/>
    </row>
    <row r="3275" spans="10:10" x14ac:dyDescent="0.3">
      <c r="J3275" s="1"/>
    </row>
    <row r="3276" spans="10:10" x14ac:dyDescent="0.3">
      <c r="J3276" s="1"/>
    </row>
    <row r="3277" spans="10:10" x14ac:dyDescent="0.3">
      <c r="J3277" s="1"/>
    </row>
    <row r="3278" spans="10:10" x14ac:dyDescent="0.3">
      <c r="J3278" s="1"/>
    </row>
    <row r="3279" spans="10:10" x14ac:dyDescent="0.3">
      <c r="J3279" s="1"/>
    </row>
    <row r="3280" spans="10:10" x14ac:dyDescent="0.3">
      <c r="J3280" s="1"/>
    </row>
    <row r="3281" spans="10:10" x14ac:dyDescent="0.3">
      <c r="J3281" s="1"/>
    </row>
    <row r="3282" spans="10:10" x14ac:dyDescent="0.3">
      <c r="J3282" s="1"/>
    </row>
    <row r="3283" spans="10:10" x14ac:dyDescent="0.3">
      <c r="J3283" s="1"/>
    </row>
    <row r="3284" spans="10:10" x14ac:dyDescent="0.3">
      <c r="J3284" s="1"/>
    </row>
    <row r="3285" spans="10:10" x14ac:dyDescent="0.3">
      <c r="J3285" s="1"/>
    </row>
    <row r="3286" spans="10:10" x14ac:dyDescent="0.3">
      <c r="J3286" s="1"/>
    </row>
    <row r="3287" spans="10:10" x14ac:dyDescent="0.3">
      <c r="J3287" s="1"/>
    </row>
    <row r="3288" spans="10:10" x14ac:dyDescent="0.3">
      <c r="J3288" s="1"/>
    </row>
    <row r="3289" spans="10:10" x14ac:dyDescent="0.3">
      <c r="J3289" s="1"/>
    </row>
    <row r="3290" spans="10:10" x14ac:dyDescent="0.3">
      <c r="J3290" s="1"/>
    </row>
    <row r="3291" spans="10:10" x14ac:dyDescent="0.3">
      <c r="J3291" s="1"/>
    </row>
    <row r="3292" spans="10:10" x14ac:dyDescent="0.3">
      <c r="J3292" s="1"/>
    </row>
    <row r="3293" spans="10:10" x14ac:dyDescent="0.3">
      <c r="J3293" s="1"/>
    </row>
    <row r="3294" spans="10:10" x14ac:dyDescent="0.3">
      <c r="J3294" s="1"/>
    </row>
    <row r="3295" spans="10:10" x14ac:dyDescent="0.3">
      <c r="J3295" s="1"/>
    </row>
    <row r="3296" spans="10:10" x14ac:dyDescent="0.3">
      <c r="J3296" s="1"/>
    </row>
    <row r="3297" spans="10:10" x14ac:dyDescent="0.3">
      <c r="J3297" s="1"/>
    </row>
    <row r="3298" spans="10:10" x14ac:dyDescent="0.3">
      <c r="J3298" s="1"/>
    </row>
    <row r="3299" spans="10:10" x14ac:dyDescent="0.3">
      <c r="J3299" s="1"/>
    </row>
    <row r="3300" spans="10:10" x14ac:dyDescent="0.3">
      <c r="J3300" s="1"/>
    </row>
    <row r="3301" spans="10:10" x14ac:dyDescent="0.3">
      <c r="J3301" s="1"/>
    </row>
    <row r="3302" spans="10:10" x14ac:dyDescent="0.3">
      <c r="J3302" s="1"/>
    </row>
    <row r="3303" spans="10:10" x14ac:dyDescent="0.3">
      <c r="J3303" s="1"/>
    </row>
    <row r="3304" spans="10:10" x14ac:dyDescent="0.3">
      <c r="J3304" s="1"/>
    </row>
    <row r="3305" spans="10:10" x14ac:dyDescent="0.3">
      <c r="J3305" s="1"/>
    </row>
    <row r="3306" spans="10:10" x14ac:dyDescent="0.3">
      <c r="J3306" s="1"/>
    </row>
    <row r="3307" spans="10:10" x14ac:dyDescent="0.3">
      <c r="J3307" s="1"/>
    </row>
    <row r="3308" spans="10:10" x14ac:dyDescent="0.3">
      <c r="J3308" s="1"/>
    </row>
    <row r="3309" spans="10:10" x14ac:dyDescent="0.3">
      <c r="J3309" s="1"/>
    </row>
    <row r="3310" spans="10:10" x14ac:dyDescent="0.3">
      <c r="J3310" s="1"/>
    </row>
    <row r="3311" spans="10:10" x14ac:dyDescent="0.3">
      <c r="J3311" s="1"/>
    </row>
    <row r="3312" spans="10:10" x14ac:dyDescent="0.3">
      <c r="J3312" s="1"/>
    </row>
    <row r="3313" spans="10:10" x14ac:dyDescent="0.3">
      <c r="J3313" s="1"/>
    </row>
    <row r="3314" spans="10:10" x14ac:dyDescent="0.3">
      <c r="J3314" s="1"/>
    </row>
    <row r="3315" spans="10:10" x14ac:dyDescent="0.3">
      <c r="J3315" s="1"/>
    </row>
    <row r="3316" spans="10:10" x14ac:dyDescent="0.3">
      <c r="J3316" s="1"/>
    </row>
    <row r="3317" spans="10:10" x14ac:dyDescent="0.3">
      <c r="J3317" s="1"/>
    </row>
    <row r="3318" spans="10:10" x14ac:dyDescent="0.3">
      <c r="J3318" s="1"/>
    </row>
    <row r="3319" spans="10:10" x14ac:dyDescent="0.3">
      <c r="J3319" s="1"/>
    </row>
    <row r="3320" spans="10:10" x14ac:dyDescent="0.3">
      <c r="J3320" s="1"/>
    </row>
    <row r="3321" spans="10:10" x14ac:dyDescent="0.3">
      <c r="J3321" s="1"/>
    </row>
    <row r="3322" spans="10:10" x14ac:dyDescent="0.3">
      <c r="J3322" s="1"/>
    </row>
    <row r="3323" spans="10:10" x14ac:dyDescent="0.3">
      <c r="J3323" s="1"/>
    </row>
    <row r="3324" spans="10:10" x14ac:dyDescent="0.3">
      <c r="J3324" s="1"/>
    </row>
    <row r="3325" spans="10:10" x14ac:dyDescent="0.3">
      <c r="J3325" s="1"/>
    </row>
    <row r="3326" spans="10:10" x14ac:dyDescent="0.3">
      <c r="J3326" s="1"/>
    </row>
    <row r="3327" spans="10:10" x14ac:dyDescent="0.3">
      <c r="J3327" s="1"/>
    </row>
    <row r="3328" spans="10:10" x14ac:dyDescent="0.3">
      <c r="J3328" s="1"/>
    </row>
    <row r="3329" spans="10:10" x14ac:dyDescent="0.3">
      <c r="J3329" s="1"/>
    </row>
    <row r="3330" spans="10:10" x14ac:dyDescent="0.3">
      <c r="J3330" s="1"/>
    </row>
    <row r="3331" spans="10:10" x14ac:dyDescent="0.3">
      <c r="J3331" s="1"/>
    </row>
    <row r="3332" spans="10:10" x14ac:dyDescent="0.3">
      <c r="J3332" s="1"/>
    </row>
    <row r="3333" spans="10:10" x14ac:dyDescent="0.3">
      <c r="J3333" s="1"/>
    </row>
    <row r="3334" spans="10:10" x14ac:dyDescent="0.3">
      <c r="J3334" s="1"/>
    </row>
    <row r="3335" spans="10:10" x14ac:dyDescent="0.3">
      <c r="J3335" s="1"/>
    </row>
    <row r="3336" spans="10:10" x14ac:dyDescent="0.3">
      <c r="J3336" s="1"/>
    </row>
    <row r="3337" spans="10:10" x14ac:dyDescent="0.3">
      <c r="J3337" s="1"/>
    </row>
    <row r="3338" spans="10:10" x14ac:dyDescent="0.3">
      <c r="J3338" s="1"/>
    </row>
    <row r="3339" spans="10:10" x14ac:dyDescent="0.3">
      <c r="J3339" s="1"/>
    </row>
    <row r="3340" spans="10:10" x14ac:dyDescent="0.3">
      <c r="J3340" s="1"/>
    </row>
    <row r="3341" spans="10:10" x14ac:dyDescent="0.3">
      <c r="J3341" s="1"/>
    </row>
    <row r="3342" spans="10:10" x14ac:dyDescent="0.3">
      <c r="J3342" s="1"/>
    </row>
    <row r="3343" spans="10:10" x14ac:dyDescent="0.3">
      <c r="J3343" s="1"/>
    </row>
    <row r="3344" spans="10:10" x14ac:dyDescent="0.3">
      <c r="J3344" s="1"/>
    </row>
    <row r="3345" spans="10:10" x14ac:dyDescent="0.3">
      <c r="J3345" s="1"/>
    </row>
    <row r="3346" spans="10:10" x14ac:dyDescent="0.3">
      <c r="J3346" s="1"/>
    </row>
    <row r="3347" spans="10:10" x14ac:dyDescent="0.3">
      <c r="J3347" s="1"/>
    </row>
    <row r="3348" spans="10:10" x14ac:dyDescent="0.3">
      <c r="J3348" s="1"/>
    </row>
    <row r="3349" spans="10:10" x14ac:dyDescent="0.3">
      <c r="J3349" s="1"/>
    </row>
    <row r="3350" spans="10:10" x14ac:dyDescent="0.3">
      <c r="J3350" s="1"/>
    </row>
    <row r="3351" spans="10:10" x14ac:dyDescent="0.3">
      <c r="J3351" s="1"/>
    </row>
    <row r="3352" spans="10:10" x14ac:dyDescent="0.3">
      <c r="J3352" s="1"/>
    </row>
    <row r="3353" spans="10:10" x14ac:dyDescent="0.3">
      <c r="J3353" s="1"/>
    </row>
    <row r="3354" spans="10:10" x14ac:dyDescent="0.3">
      <c r="J3354" s="1"/>
    </row>
    <row r="3355" spans="10:10" x14ac:dyDescent="0.3">
      <c r="J3355" s="1"/>
    </row>
    <row r="3356" spans="10:10" x14ac:dyDescent="0.3">
      <c r="J3356" s="1"/>
    </row>
    <row r="3357" spans="10:10" x14ac:dyDescent="0.3">
      <c r="J3357" s="1"/>
    </row>
    <row r="3358" spans="10:10" x14ac:dyDescent="0.3">
      <c r="J3358" s="1"/>
    </row>
    <row r="3359" spans="10:10" x14ac:dyDescent="0.3">
      <c r="J3359" s="1"/>
    </row>
    <row r="3360" spans="10:10" x14ac:dyDescent="0.3">
      <c r="J3360" s="1"/>
    </row>
    <row r="3361" spans="10:10" x14ac:dyDescent="0.3">
      <c r="J3361" s="1"/>
    </row>
    <row r="3362" spans="10:10" x14ac:dyDescent="0.3">
      <c r="J3362" s="1"/>
    </row>
    <row r="3363" spans="10:10" x14ac:dyDescent="0.3">
      <c r="J3363" s="1"/>
    </row>
    <row r="3364" spans="10:10" x14ac:dyDescent="0.3">
      <c r="J3364" s="1"/>
    </row>
    <row r="3365" spans="10:10" x14ac:dyDescent="0.3">
      <c r="J3365" s="1"/>
    </row>
    <row r="3366" spans="10:10" x14ac:dyDescent="0.3">
      <c r="J3366" s="1"/>
    </row>
    <row r="3367" spans="10:10" x14ac:dyDescent="0.3">
      <c r="J3367" s="1"/>
    </row>
    <row r="3368" spans="10:10" x14ac:dyDescent="0.3">
      <c r="J3368" s="1"/>
    </row>
    <row r="3369" spans="10:10" x14ac:dyDescent="0.3">
      <c r="J3369" s="1"/>
    </row>
    <row r="3370" spans="10:10" x14ac:dyDescent="0.3">
      <c r="J3370" s="1"/>
    </row>
    <row r="3371" spans="10:10" x14ac:dyDescent="0.3">
      <c r="J3371" s="1"/>
    </row>
    <row r="3372" spans="10:10" x14ac:dyDescent="0.3">
      <c r="J3372" s="1"/>
    </row>
    <row r="3373" spans="10:10" x14ac:dyDescent="0.3">
      <c r="J3373" s="1"/>
    </row>
    <row r="3374" spans="10:10" x14ac:dyDescent="0.3">
      <c r="J3374" s="1"/>
    </row>
    <row r="3375" spans="10:10" x14ac:dyDescent="0.3">
      <c r="J3375" s="1"/>
    </row>
    <row r="3376" spans="10:10" x14ac:dyDescent="0.3">
      <c r="J3376" s="1"/>
    </row>
    <row r="3377" spans="10:10" x14ac:dyDescent="0.3">
      <c r="J3377" s="1"/>
    </row>
    <row r="3378" spans="10:10" x14ac:dyDescent="0.3">
      <c r="J3378" s="1"/>
    </row>
    <row r="3379" spans="10:10" x14ac:dyDescent="0.3">
      <c r="J3379" s="1"/>
    </row>
    <row r="3380" spans="10:10" x14ac:dyDescent="0.3">
      <c r="J3380" s="1"/>
    </row>
    <row r="3381" spans="10:10" x14ac:dyDescent="0.3">
      <c r="J3381" s="1"/>
    </row>
    <row r="3382" spans="10:10" x14ac:dyDescent="0.3">
      <c r="J3382" s="1"/>
    </row>
    <row r="3383" spans="10:10" x14ac:dyDescent="0.3">
      <c r="J3383" s="1"/>
    </row>
    <row r="3384" spans="10:10" x14ac:dyDescent="0.3">
      <c r="J3384" s="1"/>
    </row>
    <row r="3385" spans="10:10" x14ac:dyDescent="0.3">
      <c r="J3385" s="1"/>
    </row>
    <row r="3386" spans="10:10" x14ac:dyDescent="0.3">
      <c r="J3386" s="1"/>
    </row>
    <row r="3387" spans="10:10" x14ac:dyDescent="0.3">
      <c r="J3387" s="1"/>
    </row>
    <row r="3388" spans="10:10" x14ac:dyDescent="0.3">
      <c r="J3388" s="1"/>
    </row>
    <row r="3389" spans="10:10" x14ac:dyDescent="0.3">
      <c r="J3389" s="1"/>
    </row>
    <row r="3390" spans="10:10" x14ac:dyDescent="0.3">
      <c r="J3390" s="1"/>
    </row>
    <row r="3391" spans="10:10" x14ac:dyDescent="0.3">
      <c r="J3391" s="1"/>
    </row>
    <row r="3392" spans="10:10" x14ac:dyDescent="0.3">
      <c r="J3392" s="1"/>
    </row>
    <row r="3393" spans="10:10" x14ac:dyDescent="0.3">
      <c r="J3393" s="1"/>
    </row>
    <row r="3394" spans="10:10" x14ac:dyDescent="0.3">
      <c r="J3394" s="1"/>
    </row>
    <row r="3395" spans="10:10" x14ac:dyDescent="0.3">
      <c r="J3395" s="1"/>
    </row>
    <row r="3396" spans="10:10" x14ac:dyDescent="0.3">
      <c r="J3396" s="1"/>
    </row>
    <row r="3397" spans="10:10" x14ac:dyDescent="0.3">
      <c r="J3397" s="1"/>
    </row>
    <row r="3398" spans="10:10" x14ac:dyDescent="0.3">
      <c r="J3398" s="1"/>
    </row>
    <row r="3399" spans="10:10" x14ac:dyDescent="0.3">
      <c r="J3399" s="1"/>
    </row>
    <row r="3400" spans="10:10" x14ac:dyDescent="0.3">
      <c r="J3400" s="1"/>
    </row>
    <row r="3401" spans="10:10" x14ac:dyDescent="0.3">
      <c r="J3401" s="1"/>
    </row>
    <row r="3402" spans="10:10" x14ac:dyDescent="0.3">
      <c r="J3402" s="1"/>
    </row>
    <row r="3403" spans="10:10" x14ac:dyDescent="0.3">
      <c r="J3403" s="1"/>
    </row>
    <row r="3404" spans="10:10" x14ac:dyDescent="0.3">
      <c r="J3404" s="1"/>
    </row>
    <row r="3405" spans="10:10" x14ac:dyDescent="0.3">
      <c r="J3405" s="1"/>
    </row>
    <row r="3406" spans="10:10" x14ac:dyDescent="0.3">
      <c r="J3406" s="1"/>
    </row>
    <row r="3407" spans="10:10" x14ac:dyDescent="0.3">
      <c r="J3407" s="1"/>
    </row>
    <row r="3408" spans="10:10" x14ac:dyDescent="0.3">
      <c r="J3408" s="1"/>
    </row>
    <row r="3409" spans="10:10" x14ac:dyDescent="0.3">
      <c r="J3409" s="1"/>
    </row>
    <row r="3410" spans="10:10" x14ac:dyDescent="0.3">
      <c r="J3410" s="1"/>
    </row>
    <row r="3411" spans="10:10" x14ac:dyDescent="0.3">
      <c r="J3411" s="1"/>
    </row>
    <row r="3412" spans="10:10" x14ac:dyDescent="0.3">
      <c r="J3412" s="1"/>
    </row>
    <row r="3413" spans="10:10" x14ac:dyDescent="0.3">
      <c r="J3413" s="1"/>
    </row>
    <row r="3414" spans="10:10" x14ac:dyDescent="0.3">
      <c r="J3414" s="1"/>
    </row>
    <row r="3415" spans="10:10" x14ac:dyDescent="0.3">
      <c r="J3415" s="1"/>
    </row>
    <row r="3416" spans="10:10" x14ac:dyDescent="0.3">
      <c r="J3416" s="1"/>
    </row>
    <row r="3417" spans="10:10" x14ac:dyDescent="0.3">
      <c r="J3417" s="1"/>
    </row>
    <row r="3418" spans="10:10" x14ac:dyDescent="0.3">
      <c r="J3418" s="1"/>
    </row>
    <row r="3419" spans="10:10" x14ac:dyDescent="0.3">
      <c r="J3419" s="1"/>
    </row>
    <row r="3420" spans="10:10" x14ac:dyDescent="0.3">
      <c r="J3420" s="1"/>
    </row>
    <row r="3421" spans="10:10" x14ac:dyDescent="0.3">
      <c r="J3421" s="1"/>
    </row>
    <row r="3422" spans="10:10" x14ac:dyDescent="0.3">
      <c r="J3422" s="1"/>
    </row>
    <row r="3423" spans="10:10" x14ac:dyDescent="0.3">
      <c r="J3423" s="1"/>
    </row>
    <row r="3424" spans="10:10" x14ac:dyDescent="0.3">
      <c r="J3424" s="1"/>
    </row>
    <row r="3425" spans="10:10" x14ac:dyDescent="0.3">
      <c r="J3425" s="1"/>
    </row>
    <row r="3426" spans="10:10" x14ac:dyDescent="0.3">
      <c r="J3426" s="1"/>
    </row>
    <row r="3427" spans="10:10" x14ac:dyDescent="0.3">
      <c r="J3427" s="1"/>
    </row>
    <row r="3428" spans="10:10" x14ac:dyDescent="0.3">
      <c r="J3428" s="1"/>
    </row>
    <row r="3429" spans="10:10" x14ac:dyDescent="0.3">
      <c r="J3429" s="1"/>
    </row>
    <row r="3430" spans="10:10" x14ac:dyDescent="0.3">
      <c r="J3430" s="1"/>
    </row>
    <row r="3431" spans="10:10" x14ac:dyDescent="0.3">
      <c r="J3431" s="1"/>
    </row>
    <row r="3432" spans="10:10" x14ac:dyDescent="0.3">
      <c r="J3432" s="1"/>
    </row>
    <row r="3433" spans="10:10" x14ac:dyDescent="0.3">
      <c r="J3433" s="1"/>
    </row>
    <row r="3434" spans="10:10" x14ac:dyDescent="0.3">
      <c r="J3434" s="1"/>
    </row>
    <row r="3435" spans="10:10" x14ac:dyDescent="0.3">
      <c r="J3435" s="1"/>
    </row>
    <row r="3436" spans="10:10" x14ac:dyDescent="0.3">
      <c r="J3436" s="1"/>
    </row>
    <row r="3437" spans="10:10" x14ac:dyDescent="0.3">
      <c r="J3437" s="1"/>
    </row>
    <row r="3438" spans="10:10" x14ac:dyDescent="0.3">
      <c r="J3438" s="1"/>
    </row>
    <row r="3439" spans="10:10" x14ac:dyDescent="0.3">
      <c r="J3439" s="1"/>
    </row>
    <row r="3440" spans="10:10" x14ac:dyDescent="0.3">
      <c r="J3440" s="1"/>
    </row>
    <row r="3441" spans="10:10" x14ac:dyDescent="0.3">
      <c r="J3441" s="1"/>
    </row>
    <row r="3442" spans="10:10" x14ac:dyDescent="0.3">
      <c r="J3442" s="1"/>
    </row>
    <row r="3443" spans="10:10" x14ac:dyDescent="0.3">
      <c r="J3443" s="1"/>
    </row>
    <row r="3444" spans="10:10" x14ac:dyDescent="0.3">
      <c r="J3444" s="1"/>
    </row>
    <row r="3445" spans="10:10" x14ac:dyDescent="0.3">
      <c r="J3445" s="1"/>
    </row>
    <row r="3446" spans="10:10" x14ac:dyDescent="0.3">
      <c r="J3446" s="1"/>
    </row>
    <row r="3447" spans="10:10" x14ac:dyDescent="0.3">
      <c r="J3447" s="1"/>
    </row>
    <row r="3448" spans="10:10" x14ac:dyDescent="0.3">
      <c r="J3448" s="1"/>
    </row>
    <row r="3449" spans="10:10" x14ac:dyDescent="0.3">
      <c r="J3449" s="1"/>
    </row>
    <row r="3450" spans="10:10" x14ac:dyDescent="0.3">
      <c r="J3450" s="1"/>
    </row>
    <row r="3451" spans="10:10" x14ac:dyDescent="0.3">
      <c r="J3451" s="1"/>
    </row>
    <row r="3452" spans="10:10" x14ac:dyDescent="0.3">
      <c r="J3452" s="1"/>
    </row>
    <row r="3453" spans="10:10" x14ac:dyDescent="0.3">
      <c r="J3453" s="1"/>
    </row>
    <row r="3454" spans="10:10" x14ac:dyDescent="0.3">
      <c r="J3454" s="1"/>
    </row>
    <row r="3455" spans="10:10" x14ac:dyDescent="0.3">
      <c r="J3455" s="1"/>
    </row>
    <row r="3456" spans="10:10" x14ac:dyDescent="0.3">
      <c r="J3456" s="1"/>
    </row>
    <row r="3457" spans="10:10" x14ac:dyDescent="0.3">
      <c r="J3457" s="1"/>
    </row>
    <row r="3458" spans="10:10" x14ac:dyDescent="0.3">
      <c r="J3458" s="1"/>
    </row>
    <row r="3459" spans="10:10" x14ac:dyDescent="0.3">
      <c r="J3459" s="1"/>
    </row>
    <row r="3460" spans="10:10" x14ac:dyDescent="0.3">
      <c r="J3460" s="1"/>
    </row>
    <row r="3461" spans="10:10" x14ac:dyDescent="0.3">
      <c r="J3461" s="1"/>
    </row>
    <row r="3462" spans="10:10" x14ac:dyDescent="0.3">
      <c r="J3462" s="1"/>
    </row>
    <row r="3463" spans="10:10" x14ac:dyDescent="0.3">
      <c r="J3463" s="1"/>
    </row>
    <row r="3464" spans="10:10" x14ac:dyDescent="0.3">
      <c r="J3464" s="1"/>
    </row>
    <row r="3465" spans="10:10" x14ac:dyDescent="0.3">
      <c r="J3465" s="1"/>
    </row>
    <row r="3466" spans="10:10" x14ac:dyDescent="0.3">
      <c r="J3466" s="1"/>
    </row>
    <row r="3467" spans="10:10" x14ac:dyDescent="0.3">
      <c r="J3467" s="1"/>
    </row>
    <row r="3468" spans="10:10" x14ac:dyDescent="0.3">
      <c r="J3468" s="1"/>
    </row>
    <row r="3469" spans="10:10" x14ac:dyDescent="0.3">
      <c r="J3469" s="1"/>
    </row>
    <row r="3470" spans="10:10" x14ac:dyDescent="0.3">
      <c r="J3470" s="1"/>
    </row>
    <row r="3471" spans="10:10" x14ac:dyDescent="0.3">
      <c r="J3471" s="1"/>
    </row>
    <row r="3472" spans="10:10" x14ac:dyDescent="0.3">
      <c r="J3472" s="1"/>
    </row>
    <row r="3473" spans="10:10" x14ac:dyDescent="0.3">
      <c r="J3473" s="1"/>
    </row>
    <row r="3474" spans="10:10" x14ac:dyDescent="0.3">
      <c r="J3474" s="1"/>
    </row>
    <row r="3475" spans="10:10" x14ac:dyDescent="0.3">
      <c r="J3475" s="1"/>
    </row>
    <row r="3476" spans="10:10" x14ac:dyDescent="0.3">
      <c r="J3476" s="1"/>
    </row>
    <row r="3477" spans="10:10" x14ac:dyDescent="0.3">
      <c r="J3477" s="1"/>
    </row>
    <row r="3478" spans="10:10" x14ac:dyDescent="0.3">
      <c r="J3478" s="1"/>
    </row>
    <row r="3479" spans="10:10" x14ac:dyDescent="0.3">
      <c r="J3479" s="1"/>
    </row>
    <row r="3480" spans="10:10" x14ac:dyDescent="0.3">
      <c r="J3480" s="1"/>
    </row>
    <row r="3481" spans="10:10" x14ac:dyDescent="0.3">
      <c r="J3481" s="1"/>
    </row>
    <row r="3482" spans="10:10" x14ac:dyDescent="0.3">
      <c r="J3482" s="1"/>
    </row>
    <row r="3483" spans="10:10" x14ac:dyDescent="0.3">
      <c r="J3483" s="1"/>
    </row>
    <row r="3484" spans="10:10" x14ac:dyDescent="0.3">
      <c r="J3484" s="1"/>
    </row>
    <row r="3485" spans="10:10" x14ac:dyDescent="0.3">
      <c r="J3485" s="1"/>
    </row>
    <row r="3486" spans="10:10" x14ac:dyDescent="0.3">
      <c r="J3486" s="1"/>
    </row>
    <row r="3487" spans="10:10" x14ac:dyDescent="0.3">
      <c r="J3487" s="1"/>
    </row>
    <row r="3488" spans="10:10" x14ac:dyDescent="0.3">
      <c r="J3488" s="1"/>
    </row>
    <row r="3489" spans="10:10" x14ac:dyDescent="0.3">
      <c r="J3489" s="1"/>
    </row>
    <row r="3490" spans="10:10" x14ac:dyDescent="0.3">
      <c r="J3490" s="1"/>
    </row>
    <row r="3491" spans="10:10" x14ac:dyDescent="0.3">
      <c r="J3491" s="1"/>
    </row>
    <row r="3492" spans="10:10" x14ac:dyDescent="0.3">
      <c r="J3492" s="1"/>
    </row>
    <row r="3493" spans="10:10" x14ac:dyDescent="0.3">
      <c r="J3493" s="1"/>
    </row>
    <row r="3494" spans="10:10" x14ac:dyDescent="0.3">
      <c r="J3494" s="1"/>
    </row>
    <row r="3495" spans="10:10" x14ac:dyDescent="0.3">
      <c r="J3495" s="1"/>
    </row>
    <row r="3496" spans="10:10" x14ac:dyDescent="0.3">
      <c r="J3496" s="1"/>
    </row>
    <row r="3497" spans="10:10" x14ac:dyDescent="0.3">
      <c r="J3497" s="1"/>
    </row>
    <row r="3498" spans="10:10" x14ac:dyDescent="0.3">
      <c r="J3498" s="1"/>
    </row>
    <row r="3499" spans="10:10" x14ac:dyDescent="0.3">
      <c r="J3499" s="1"/>
    </row>
    <row r="3500" spans="10:10" x14ac:dyDescent="0.3">
      <c r="J3500" s="1"/>
    </row>
    <row r="3501" spans="10:10" x14ac:dyDescent="0.3">
      <c r="J3501" s="1"/>
    </row>
    <row r="3502" spans="10:10" x14ac:dyDescent="0.3">
      <c r="J3502" s="1"/>
    </row>
    <row r="3503" spans="10:10" x14ac:dyDescent="0.3">
      <c r="J3503" s="1"/>
    </row>
    <row r="3504" spans="10:10" x14ac:dyDescent="0.3">
      <c r="J3504" s="1"/>
    </row>
    <row r="3505" spans="10:10" x14ac:dyDescent="0.3">
      <c r="J3505" s="1"/>
    </row>
    <row r="3506" spans="10:10" x14ac:dyDescent="0.3">
      <c r="J3506" s="1"/>
    </row>
    <row r="3507" spans="10:10" x14ac:dyDescent="0.3">
      <c r="J3507" s="1"/>
    </row>
    <row r="3508" spans="10:10" x14ac:dyDescent="0.3">
      <c r="J3508" s="1"/>
    </row>
    <row r="3509" spans="10:10" x14ac:dyDescent="0.3">
      <c r="J3509" s="1"/>
    </row>
    <row r="3510" spans="10:10" x14ac:dyDescent="0.3">
      <c r="J3510" s="1"/>
    </row>
    <row r="3511" spans="10:10" x14ac:dyDescent="0.3">
      <c r="J3511" s="1"/>
    </row>
    <row r="3512" spans="10:10" x14ac:dyDescent="0.3">
      <c r="J3512" s="1"/>
    </row>
    <row r="3513" spans="10:10" x14ac:dyDescent="0.3">
      <c r="J3513" s="1"/>
    </row>
    <row r="3514" spans="10:10" x14ac:dyDescent="0.3">
      <c r="J3514" s="1"/>
    </row>
    <row r="3515" spans="10:10" x14ac:dyDescent="0.3">
      <c r="J3515" s="1"/>
    </row>
    <row r="3516" spans="10:10" x14ac:dyDescent="0.3">
      <c r="J3516" s="1"/>
    </row>
    <row r="3517" spans="10:10" x14ac:dyDescent="0.3">
      <c r="J3517" s="1"/>
    </row>
    <row r="3518" spans="10:10" x14ac:dyDescent="0.3">
      <c r="J3518" s="1"/>
    </row>
    <row r="3519" spans="10:10" x14ac:dyDescent="0.3">
      <c r="J3519" s="1"/>
    </row>
    <row r="3520" spans="10:10" x14ac:dyDescent="0.3">
      <c r="J3520" s="1"/>
    </row>
    <row r="3521" spans="10:10" x14ac:dyDescent="0.3">
      <c r="J3521" s="1"/>
    </row>
    <row r="3522" spans="10:10" x14ac:dyDescent="0.3">
      <c r="J3522" s="1"/>
    </row>
    <row r="3523" spans="10:10" x14ac:dyDescent="0.3">
      <c r="J3523" s="1"/>
    </row>
    <row r="3524" spans="10:10" x14ac:dyDescent="0.3">
      <c r="J3524" s="1"/>
    </row>
    <row r="3525" spans="10:10" x14ac:dyDescent="0.3">
      <c r="J3525" s="1"/>
    </row>
    <row r="3526" spans="10:10" x14ac:dyDescent="0.3">
      <c r="J3526" s="1"/>
    </row>
    <row r="3527" spans="10:10" x14ac:dyDescent="0.3">
      <c r="J3527" s="1"/>
    </row>
    <row r="3528" spans="10:10" x14ac:dyDescent="0.3">
      <c r="J3528" s="1"/>
    </row>
    <row r="3529" spans="10:10" x14ac:dyDescent="0.3">
      <c r="J3529" s="1"/>
    </row>
    <row r="3530" spans="10:10" x14ac:dyDescent="0.3">
      <c r="J3530" s="1"/>
    </row>
    <row r="3531" spans="10:10" x14ac:dyDescent="0.3">
      <c r="J3531" s="1"/>
    </row>
    <row r="3532" spans="10:10" x14ac:dyDescent="0.3">
      <c r="J3532" s="1"/>
    </row>
    <row r="3533" spans="10:10" x14ac:dyDescent="0.3">
      <c r="J3533" s="1"/>
    </row>
    <row r="3534" spans="10:10" x14ac:dyDescent="0.3">
      <c r="J3534" s="1"/>
    </row>
    <row r="3535" spans="10:10" x14ac:dyDescent="0.3">
      <c r="J3535" s="1"/>
    </row>
    <row r="3536" spans="10:10" x14ac:dyDescent="0.3">
      <c r="J3536" s="1"/>
    </row>
    <row r="3537" spans="10:10" x14ac:dyDescent="0.3">
      <c r="J3537" s="1"/>
    </row>
    <row r="3538" spans="10:10" x14ac:dyDescent="0.3">
      <c r="J3538" s="1"/>
    </row>
    <row r="3539" spans="10:10" x14ac:dyDescent="0.3">
      <c r="J3539" s="1"/>
    </row>
    <row r="3540" spans="10:10" x14ac:dyDescent="0.3">
      <c r="J3540" s="1"/>
    </row>
    <row r="3541" spans="10:10" x14ac:dyDescent="0.3">
      <c r="J3541" s="1"/>
    </row>
    <row r="3542" spans="10:10" x14ac:dyDescent="0.3">
      <c r="J3542" s="1"/>
    </row>
    <row r="3543" spans="10:10" x14ac:dyDescent="0.3">
      <c r="J3543" s="1"/>
    </row>
    <row r="3544" spans="10:10" x14ac:dyDescent="0.3">
      <c r="J3544" s="1"/>
    </row>
    <row r="3545" spans="10:10" x14ac:dyDescent="0.3">
      <c r="J3545" s="1"/>
    </row>
    <row r="3546" spans="10:10" x14ac:dyDescent="0.3">
      <c r="J3546" s="1"/>
    </row>
    <row r="3547" spans="10:10" x14ac:dyDescent="0.3">
      <c r="J3547" s="1"/>
    </row>
    <row r="3548" spans="10:10" x14ac:dyDescent="0.3">
      <c r="J3548" s="1"/>
    </row>
    <row r="3549" spans="10:10" x14ac:dyDescent="0.3">
      <c r="J3549" s="1"/>
    </row>
    <row r="3550" spans="10:10" x14ac:dyDescent="0.3">
      <c r="J3550" s="1"/>
    </row>
    <row r="3551" spans="10:10" x14ac:dyDescent="0.3">
      <c r="J3551" s="1"/>
    </row>
    <row r="3552" spans="10:10" x14ac:dyDescent="0.3">
      <c r="J3552" s="1"/>
    </row>
    <row r="3553" spans="10:10" x14ac:dyDescent="0.3">
      <c r="J3553" s="1"/>
    </row>
    <row r="3554" spans="10:10" x14ac:dyDescent="0.3">
      <c r="J3554" s="1"/>
    </row>
    <row r="3555" spans="10:10" x14ac:dyDescent="0.3">
      <c r="J3555" s="1"/>
    </row>
    <row r="3556" spans="10:10" x14ac:dyDescent="0.3">
      <c r="J3556" s="1"/>
    </row>
    <row r="3557" spans="10:10" x14ac:dyDescent="0.3">
      <c r="J3557" s="1"/>
    </row>
    <row r="3558" spans="10:10" x14ac:dyDescent="0.3">
      <c r="J3558" s="1"/>
    </row>
    <row r="3559" spans="10:10" x14ac:dyDescent="0.3">
      <c r="J3559" s="1"/>
    </row>
    <row r="3560" spans="10:10" x14ac:dyDescent="0.3">
      <c r="J3560" s="1"/>
    </row>
    <row r="3561" spans="10:10" x14ac:dyDescent="0.3">
      <c r="J3561" s="1"/>
    </row>
    <row r="3562" spans="10:10" x14ac:dyDescent="0.3">
      <c r="J3562" s="1"/>
    </row>
    <row r="3563" spans="10:10" x14ac:dyDescent="0.3">
      <c r="J3563" s="1"/>
    </row>
    <row r="3564" spans="10:10" x14ac:dyDescent="0.3">
      <c r="J3564" s="1"/>
    </row>
    <row r="3565" spans="10:10" x14ac:dyDescent="0.3">
      <c r="J3565" s="1"/>
    </row>
    <row r="3566" spans="10:10" x14ac:dyDescent="0.3">
      <c r="J3566" s="1"/>
    </row>
    <row r="3567" spans="10:10" x14ac:dyDescent="0.3">
      <c r="J3567" s="1"/>
    </row>
    <row r="3568" spans="10:10" x14ac:dyDescent="0.3">
      <c r="J3568" s="1"/>
    </row>
    <row r="3569" spans="10:10" x14ac:dyDescent="0.3">
      <c r="J3569" s="1"/>
    </row>
    <row r="3570" spans="10:10" x14ac:dyDescent="0.3">
      <c r="J3570" s="1"/>
    </row>
    <row r="3571" spans="10:10" x14ac:dyDescent="0.3">
      <c r="J3571" s="1"/>
    </row>
    <row r="3572" spans="10:10" x14ac:dyDescent="0.3">
      <c r="J3572" s="1"/>
    </row>
    <row r="3573" spans="10:10" x14ac:dyDescent="0.3">
      <c r="J3573" s="1"/>
    </row>
    <row r="3574" spans="10:10" x14ac:dyDescent="0.3">
      <c r="J3574" s="1"/>
    </row>
    <row r="3575" spans="10:10" x14ac:dyDescent="0.3">
      <c r="J3575" s="1"/>
    </row>
    <row r="3576" spans="10:10" x14ac:dyDescent="0.3">
      <c r="J3576" s="1"/>
    </row>
    <row r="3577" spans="10:10" x14ac:dyDescent="0.3">
      <c r="J3577" s="1"/>
    </row>
    <row r="3578" spans="10:10" x14ac:dyDescent="0.3">
      <c r="J3578" s="1"/>
    </row>
    <row r="3579" spans="10:10" x14ac:dyDescent="0.3">
      <c r="J3579" s="1"/>
    </row>
    <row r="3580" spans="10:10" x14ac:dyDescent="0.3">
      <c r="J3580" s="1"/>
    </row>
    <row r="3581" spans="10:10" x14ac:dyDescent="0.3">
      <c r="J3581" s="1"/>
    </row>
    <row r="3582" spans="10:10" x14ac:dyDescent="0.3">
      <c r="J3582" s="1"/>
    </row>
    <row r="3583" spans="10:10" x14ac:dyDescent="0.3">
      <c r="J3583" s="1"/>
    </row>
    <row r="3584" spans="10:10" x14ac:dyDescent="0.3">
      <c r="J3584" s="1"/>
    </row>
    <row r="3585" spans="10:10" x14ac:dyDescent="0.3">
      <c r="J3585" s="1"/>
    </row>
    <row r="3586" spans="10:10" x14ac:dyDescent="0.3">
      <c r="J3586" s="1"/>
    </row>
    <row r="3587" spans="10:10" x14ac:dyDescent="0.3">
      <c r="J3587" s="1"/>
    </row>
    <row r="3588" spans="10:10" x14ac:dyDescent="0.3">
      <c r="J3588" s="1"/>
    </row>
    <row r="3589" spans="10:10" x14ac:dyDescent="0.3">
      <c r="J3589" s="1"/>
    </row>
    <row r="3590" spans="10:10" x14ac:dyDescent="0.3">
      <c r="J3590" s="1"/>
    </row>
    <row r="3591" spans="10:10" x14ac:dyDescent="0.3">
      <c r="J3591" s="1"/>
    </row>
    <row r="3592" spans="10:10" x14ac:dyDescent="0.3">
      <c r="J3592" s="1"/>
    </row>
    <row r="3593" spans="10:10" x14ac:dyDescent="0.3">
      <c r="J3593" s="1"/>
    </row>
    <row r="3594" spans="10:10" x14ac:dyDescent="0.3">
      <c r="J3594" s="1"/>
    </row>
    <row r="3595" spans="10:10" x14ac:dyDescent="0.3">
      <c r="J3595" s="1"/>
    </row>
    <row r="3596" spans="10:10" x14ac:dyDescent="0.3">
      <c r="J3596" s="1"/>
    </row>
    <row r="3597" spans="10:10" x14ac:dyDescent="0.3">
      <c r="J3597" s="1"/>
    </row>
    <row r="3598" spans="10:10" x14ac:dyDescent="0.3">
      <c r="J3598" s="1"/>
    </row>
    <row r="3599" spans="10:10" x14ac:dyDescent="0.3">
      <c r="J3599" s="1"/>
    </row>
    <row r="3600" spans="10:10" x14ac:dyDescent="0.3">
      <c r="J3600" s="1"/>
    </row>
    <row r="3601" spans="10:10" x14ac:dyDescent="0.3">
      <c r="J3601" s="1"/>
    </row>
    <row r="3602" spans="10:10" x14ac:dyDescent="0.3">
      <c r="J3602" s="1"/>
    </row>
    <row r="3603" spans="10:10" x14ac:dyDescent="0.3">
      <c r="J3603" s="1"/>
    </row>
    <row r="3604" spans="10:10" x14ac:dyDescent="0.3">
      <c r="J3604" s="1"/>
    </row>
    <row r="3605" spans="10:10" x14ac:dyDescent="0.3">
      <c r="J3605" s="1"/>
    </row>
    <row r="3606" spans="10:10" x14ac:dyDescent="0.3">
      <c r="J3606" s="1"/>
    </row>
    <row r="3607" spans="10:10" x14ac:dyDescent="0.3">
      <c r="J3607" s="1"/>
    </row>
    <row r="3608" spans="10:10" x14ac:dyDescent="0.3">
      <c r="J3608" s="1"/>
    </row>
    <row r="3609" spans="10:10" x14ac:dyDescent="0.3">
      <c r="J3609" s="1"/>
    </row>
    <row r="3610" spans="10:10" x14ac:dyDescent="0.3">
      <c r="J3610" s="1"/>
    </row>
    <row r="3611" spans="10:10" x14ac:dyDescent="0.3">
      <c r="J3611" s="1"/>
    </row>
    <row r="3612" spans="10:10" x14ac:dyDescent="0.3">
      <c r="J3612" s="1"/>
    </row>
    <row r="3613" spans="10:10" x14ac:dyDescent="0.3">
      <c r="J3613" s="1"/>
    </row>
    <row r="3614" spans="10:10" x14ac:dyDescent="0.3">
      <c r="J3614" s="1"/>
    </row>
    <row r="3615" spans="10:10" x14ac:dyDescent="0.3">
      <c r="J3615" s="1"/>
    </row>
    <row r="3616" spans="10:10" x14ac:dyDescent="0.3">
      <c r="J3616" s="1"/>
    </row>
    <row r="3617" spans="10:10" x14ac:dyDescent="0.3">
      <c r="J3617" s="1"/>
    </row>
    <row r="3618" spans="10:10" x14ac:dyDescent="0.3">
      <c r="J3618" s="1"/>
    </row>
    <row r="3619" spans="10:10" x14ac:dyDescent="0.3">
      <c r="J3619" s="1"/>
    </row>
    <row r="3620" spans="10:10" x14ac:dyDescent="0.3">
      <c r="J3620" s="1"/>
    </row>
    <row r="3621" spans="10:10" x14ac:dyDescent="0.3">
      <c r="J3621" s="1"/>
    </row>
    <row r="3622" spans="10:10" x14ac:dyDescent="0.3">
      <c r="J3622" s="1"/>
    </row>
    <row r="3623" spans="10:10" x14ac:dyDescent="0.3">
      <c r="J3623" s="1"/>
    </row>
    <row r="3624" spans="10:10" x14ac:dyDescent="0.3">
      <c r="J3624" s="1"/>
    </row>
    <row r="3625" spans="10:10" x14ac:dyDescent="0.3">
      <c r="J3625" s="1"/>
    </row>
    <row r="3626" spans="10:10" x14ac:dyDescent="0.3">
      <c r="J3626" s="1"/>
    </row>
    <row r="3627" spans="10:10" x14ac:dyDescent="0.3">
      <c r="J3627" s="1"/>
    </row>
    <row r="3628" spans="10:10" x14ac:dyDescent="0.3">
      <c r="J3628" s="1"/>
    </row>
    <row r="3629" spans="10:10" x14ac:dyDescent="0.3">
      <c r="J3629" s="1"/>
    </row>
    <row r="3630" spans="10:10" x14ac:dyDescent="0.3">
      <c r="J3630" s="1"/>
    </row>
    <row r="3631" spans="10:10" x14ac:dyDescent="0.3">
      <c r="J3631" s="1"/>
    </row>
    <row r="3632" spans="10:10" x14ac:dyDescent="0.3">
      <c r="J3632" s="1"/>
    </row>
    <row r="3633" spans="10:10" x14ac:dyDescent="0.3">
      <c r="J3633" s="1"/>
    </row>
    <row r="3634" spans="10:10" x14ac:dyDescent="0.3">
      <c r="J3634" s="1"/>
    </row>
    <row r="3635" spans="10:10" x14ac:dyDescent="0.3">
      <c r="J3635" s="1"/>
    </row>
    <row r="3636" spans="10:10" x14ac:dyDescent="0.3">
      <c r="J3636" s="1"/>
    </row>
    <row r="3637" spans="10:10" x14ac:dyDescent="0.3">
      <c r="J3637" s="1"/>
    </row>
    <row r="3638" spans="10:10" x14ac:dyDescent="0.3">
      <c r="J3638" s="1"/>
    </row>
    <row r="3639" spans="10:10" x14ac:dyDescent="0.3">
      <c r="J3639" s="1"/>
    </row>
    <row r="3640" spans="10:10" x14ac:dyDescent="0.3">
      <c r="J3640" s="1"/>
    </row>
    <row r="3641" spans="10:10" x14ac:dyDescent="0.3">
      <c r="J3641" s="1"/>
    </row>
    <row r="3642" spans="10:10" x14ac:dyDescent="0.3">
      <c r="J3642" s="1"/>
    </row>
    <row r="3643" spans="10:10" x14ac:dyDescent="0.3">
      <c r="J3643" s="1"/>
    </row>
    <row r="3644" spans="10:10" x14ac:dyDescent="0.3">
      <c r="J3644" s="1"/>
    </row>
    <row r="3645" spans="10:10" x14ac:dyDescent="0.3">
      <c r="J3645" s="1"/>
    </row>
    <row r="3646" spans="10:10" x14ac:dyDescent="0.3">
      <c r="J3646" s="1"/>
    </row>
    <row r="3647" spans="10:10" x14ac:dyDescent="0.3">
      <c r="J3647" s="1"/>
    </row>
    <row r="3648" spans="10:10" x14ac:dyDescent="0.3">
      <c r="J3648" s="1"/>
    </row>
    <row r="3649" spans="10:10" x14ac:dyDescent="0.3">
      <c r="J3649" s="1"/>
    </row>
    <row r="3650" spans="10:10" x14ac:dyDescent="0.3">
      <c r="J3650" s="1"/>
    </row>
    <row r="3651" spans="10:10" x14ac:dyDescent="0.3">
      <c r="J3651" s="1"/>
    </row>
    <row r="3652" spans="10:10" x14ac:dyDescent="0.3">
      <c r="J3652" s="1"/>
    </row>
    <row r="3653" spans="10:10" x14ac:dyDescent="0.3">
      <c r="J3653" s="1"/>
    </row>
    <row r="3654" spans="10:10" x14ac:dyDescent="0.3">
      <c r="J3654" s="1"/>
    </row>
    <row r="3655" spans="10:10" x14ac:dyDescent="0.3">
      <c r="J3655" s="1"/>
    </row>
    <row r="3656" spans="10:10" x14ac:dyDescent="0.3">
      <c r="J3656" s="1"/>
    </row>
    <row r="3657" spans="10:10" x14ac:dyDescent="0.3">
      <c r="J3657" s="1"/>
    </row>
    <row r="3658" spans="10:10" x14ac:dyDescent="0.3">
      <c r="J3658" s="1"/>
    </row>
    <row r="3659" spans="10:10" x14ac:dyDescent="0.3">
      <c r="J3659" s="1"/>
    </row>
    <row r="3660" spans="10:10" x14ac:dyDescent="0.3">
      <c r="J3660" s="1"/>
    </row>
    <row r="3661" spans="10:10" x14ac:dyDescent="0.3">
      <c r="J3661" s="1"/>
    </row>
    <row r="3662" spans="10:10" x14ac:dyDescent="0.3">
      <c r="J3662" s="1"/>
    </row>
    <row r="3663" spans="10:10" x14ac:dyDescent="0.3">
      <c r="J3663" s="1"/>
    </row>
    <row r="3664" spans="10:10" x14ac:dyDescent="0.3">
      <c r="J3664" s="1"/>
    </row>
    <row r="3665" spans="10:10" x14ac:dyDescent="0.3">
      <c r="J3665" s="1"/>
    </row>
    <row r="3666" spans="10:10" x14ac:dyDescent="0.3">
      <c r="J3666" s="1"/>
    </row>
    <row r="3667" spans="10:10" x14ac:dyDescent="0.3">
      <c r="J3667" s="1"/>
    </row>
    <row r="3668" spans="10:10" x14ac:dyDescent="0.3">
      <c r="J3668" s="1"/>
    </row>
    <row r="3669" spans="10:10" x14ac:dyDescent="0.3">
      <c r="J3669" s="1"/>
    </row>
    <row r="3670" spans="10:10" x14ac:dyDescent="0.3">
      <c r="J3670" s="1"/>
    </row>
    <row r="3671" spans="10:10" x14ac:dyDescent="0.3">
      <c r="J3671" s="1"/>
    </row>
    <row r="3672" spans="10:10" x14ac:dyDescent="0.3">
      <c r="J3672" s="1"/>
    </row>
    <row r="3673" spans="10:10" x14ac:dyDescent="0.3">
      <c r="J3673" s="1"/>
    </row>
    <row r="3674" spans="10:10" x14ac:dyDescent="0.3">
      <c r="J3674" s="1"/>
    </row>
    <row r="3675" spans="10:10" x14ac:dyDescent="0.3">
      <c r="J3675" s="1"/>
    </row>
    <row r="3676" spans="10:10" x14ac:dyDescent="0.3">
      <c r="J3676" s="1"/>
    </row>
    <row r="3677" spans="10:10" x14ac:dyDescent="0.3">
      <c r="J3677" s="1"/>
    </row>
    <row r="3678" spans="10:10" x14ac:dyDescent="0.3">
      <c r="J3678" s="1"/>
    </row>
    <row r="3679" spans="10:10" x14ac:dyDescent="0.3">
      <c r="J3679" s="1"/>
    </row>
    <row r="3680" spans="10:10" x14ac:dyDescent="0.3">
      <c r="J3680" s="1"/>
    </row>
    <row r="3681" spans="10:10" x14ac:dyDescent="0.3">
      <c r="J3681" s="1"/>
    </row>
    <row r="3682" spans="10:10" x14ac:dyDescent="0.3">
      <c r="J3682" s="1"/>
    </row>
    <row r="3683" spans="10:10" x14ac:dyDescent="0.3">
      <c r="J3683" s="1"/>
    </row>
    <row r="3684" spans="10:10" x14ac:dyDescent="0.3">
      <c r="J3684" s="1"/>
    </row>
    <row r="3685" spans="10:10" x14ac:dyDescent="0.3">
      <c r="J3685" s="1"/>
    </row>
    <row r="3686" spans="10:10" x14ac:dyDescent="0.3">
      <c r="J3686" s="1"/>
    </row>
    <row r="3687" spans="10:10" x14ac:dyDescent="0.3">
      <c r="J3687" s="1"/>
    </row>
    <row r="3688" spans="10:10" x14ac:dyDescent="0.3">
      <c r="J3688" s="1"/>
    </row>
    <row r="3689" spans="10:10" x14ac:dyDescent="0.3">
      <c r="J3689" s="1"/>
    </row>
    <row r="3690" spans="10:10" x14ac:dyDescent="0.3">
      <c r="J3690" s="1"/>
    </row>
    <row r="3691" spans="10:10" x14ac:dyDescent="0.3">
      <c r="J3691" s="1"/>
    </row>
    <row r="3692" spans="10:10" x14ac:dyDescent="0.3">
      <c r="J3692" s="1"/>
    </row>
    <row r="3693" spans="10:10" x14ac:dyDescent="0.3">
      <c r="J3693" s="1"/>
    </row>
    <row r="3694" spans="10:10" x14ac:dyDescent="0.3">
      <c r="J3694" s="1"/>
    </row>
    <row r="3695" spans="10:10" x14ac:dyDescent="0.3">
      <c r="J3695" s="1"/>
    </row>
    <row r="3696" spans="10:10" x14ac:dyDescent="0.3">
      <c r="J3696" s="1"/>
    </row>
    <row r="3697" spans="10:10" x14ac:dyDescent="0.3">
      <c r="J3697" s="1"/>
    </row>
    <row r="3698" spans="10:10" x14ac:dyDescent="0.3">
      <c r="J3698" s="1"/>
    </row>
    <row r="3699" spans="10:10" x14ac:dyDescent="0.3">
      <c r="J3699" s="1"/>
    </row>
    <row r="3700" spans="10:10" x14ac:dyDescent="0.3">
      <c r="J3700" s="1"/>
    </row>
    <row r="3701" spans="10:10" x14ac:dyDescent="0.3">
      <c r="J3701" s="1"/>
    </row>
    <row r="3702" spans="10:10" x14ac:dyDescent="0.3">
      <c r="J3702" s="1"/>
    </row>
    <row r="3703" spans="10:10" x14ac:dyDescent="0.3">
      <c r="J3703" s="1"/>
    </row>
    <row r="3704" spans="10:10" x14ac:dyDescent="0.3">
      <c r="J3704" s="1"/>
    </row>
    <row r="3705" spans="10:10" x14ac:dyDescent="0.3">
      <c r="J3705" s="1"/>
    </row>
    <row r="3706" spans="10:10" x14ac:dyDescent="0.3">
      <c r="J3706" s="1"/>
    </row>
    <row r="3707" spans="10:10" x14ac:dyDescent="0.3">
      <c r="J3707" s="1"/>
    </row>
    <row r="3708" spans="10:10" x14ac:dyDescent="0.3">
      <c r="J3708" s="1"/>
    </row>
    <row r="3709" spans="10:10" x14ac:dyDescent="0.3">
      <c r="J3709" s="1"/>
    </row>
    <row r="3710" spans="10:10" x14ac:dyDescent="0.3">
      <c r="J3710" s="1"/>
    </row>
    <row r="3711" spans="10:10" x14ac:dyDescent="0.3">
      <c r="J3711" s="1"/>
    </row>
    <row r="3712" spans="10:10" x14ac:dyDescent="0.3">
      <c r="J3712" s="1"/>
    </row>
    <row r="3713" spans="10:10" x14ac:dyDescent="0.3">
      <c r="J3713" s="1"/>
    </row>
    <row r="3714" spans="10:10" x14ac:dyDescent="0.3">
      <c r="J3714" s="1"/>
    </row>
    <row r="3715" spans="10:10" x14ac:dyDescent="0.3">
      <c r="J3715" s="1"/>
    </row>
    <row r="3716" spans="10:10" x14ac:dyDescent="0.3">
      <c r="J3716" s="1"/>
    </row>
    <row r="3717" spans="10:10" x14ac:dyDescent="0.3">
      <c r="J3717" s="1"/>
    </row>
    <row r="3718" spans="10:10" x14ac:dyDescent="0.3">
      <c r="J3718" s="1"/>
    </row>
    <row r="3719" spans="10:10" x14ac:dyDescent="0.3">
      <c r="J3719" s="1"/>
    </row>
    <row r="3720" spans="10:10" x14ac:dyDescent="0.3">
      <c r="J3720" s="1"/>
    </row>
    <row r="3721" spans="10:10" x14ac:dyDescent="0.3">
      <c r="J3721" s="1"/>
    </row>
    <row r="3722" spans="10:10" x14ac:dyDescent="0.3">
      <c r="J3722" s="1"/>
    </row>
    <row r="3723" spans="10:10" x14ac:dyDescent="0.3">
      <c r="J3723" s="1"/>
    </row>
    <row r="3724" spans="10:10" x14ac:dyDescent="0.3">
      <c r="J3724" s="1"/>
    </row>
    <row r="3725" spans="10:10" x14ac:dyDescent="0.3">
      <c r="J3725" s="1"/>
    </row>
    <row r="3726" spans="10:10" x14ac:dyDescent="0.3">
      <c r="J3726" s="1"/>
    </row>
    <row r="3727" spans="10:10" x14ac:dyDescent="0.3">
      <c r="J3727" s="1"/>
    </row>
    <row r="3728" spans="10:10" x14ac:dyDescent="0.3">
      <c r="J3728" s="1"/>
    </row>
    <row r="3729" spans="10:10" x14ac:dyDescent="0.3">
      <c r="J3729" s="1"/>
    </row>
    <row r="3730" spans="10:10" x14ac:dyDescent="0.3">
      <c r="J3730" s="1"/>
    </row>
    <row r="3731" spans="10:10" x14ac:dyDescent="0.3">
      <c r="J3731" s="1"/>
    </row>
    <row r="3732" spans="10:10" x14ac:dyDescent="0.3">
      <c r="J3732" s="1"/>
    </row>
    <row r="3733" spans="10:10" x14ac:dyDescent="0.3">
      <c r="J3733" s="1"/>
    </row>
    <row r="3734" spans="10:10" x14ac:dyDescent="0.3">
      <c r="J3734" s="1"/>
    </row>
    <row r="3735" spans="10:10" x14ac:dyDescent="0.3">
      <c r="J3735" s="1"/>
    </row>
    <row r="3736" spans="10:10" x14ac:dyDescent="0.3">
      <c r="J3736" s="1"/>
    </row>
    <row r="3737" spans="10:10" x14ac:dyDescent="0.3">
      <c r="J3737" s="1"/>
    </row>
    <row r="3738" spans="10:10" x14ac:dyDescent="0.3">
      <c r="J3738" s="1"/>
    </row>
    <row r="3739" spans="10:10" x14ac:dyDescent="0.3">
      <c r="J3739" s="1"/>
    </row>
    <row r="3740" spans="10:10" x14ac:dyDescent="0.3">
      <c r="J3740" s="1"/>
    </row>
    <row r="3741" spans="10:10" x14ac:dyDescent="0.3">
      <c r="J3741" s="1"/>
    </row>
    <row r="3742" spans="10:10" x14ac:dyDescent="0.3">
      <c r="J3742" s="1"/>
    </row>
    <row r="3743" spans="10:10" x14ac:dyDescent="0.3">
      <c r="J3743" s="1"/>
    </row>
    <row r="3744" spans="10:10" x14ac:dyDescent="0.3">
      <c r="J3744" s="1"/>
    </row>
    <row r="3745" spans="10:10" x14ac:dyDescent="0.3">
      <c r="J3745" s="1"/>
    </row>
    <row r="3746" spans="10:10" x14ac:dyDescent="0.3">
      <c r="J3746" s="1"/>
    </row>
    <row r="3747" spans="10:10" x14ac:dyDescent="0.3">
      <c r="J3747" s="1"/>
    </row>
    <row r="3748" spans="10:10" x14ac:dyDescent="0.3">
      <c r="J3748" s="1"/>
    </row>
    <row r="3749" spans="10:10" x14ac:dyDescent="0.3">
      <c r="J3749" s="1"/>
    </row>
    <row r="3750" spans="10:10" x14ac:dyDescent="0.3">
      <c r="J3750" s="1"/>
    </row>
    <row r="3751" spans="10:10" x14ac:dyDescent="0.3">
      <c r="J3751" s="1"/>
    </row>
    <row r="3752" spans="10:10" x14ac:dyDescent="0.3">
      <c r="J3752" s="1"/>
    </row>
    <row r="3753" spans="10:10" x14ac:dyDescent="0.3">
      <c r="J3753" s="1"/>
    </row>
    <row r="3754" spans="10:10" x14ac:dyDescent="0.3">
      <c r="J3754" s="1"/>
    </row>
    <row r="3755" spans="10:10" x14ac:dyDescent="0.3">
      <c r="J3755" s="1"/>
    </row>
    <row r="3756" spans="10:10" x14ac:dyDescent="0.3">
      <c r="J3756" s="1"/>
    </row>
    <row r="3757" spans="10:10" x14ac:dyDescent="0.3">
      <c r="J3757" s="1"/>
    </row>
    <row r="3758" spans="10:10" x14ac:dyDescent="0.3">
      <c r="J3758" s="1"/>
    </row>
    <row r="3759" spans="10:10" x14ac:dyDescent="0.3">
      <c r="J3759" s="1"/>
    </row>
    <row r="3760" spans="10:10" x14ac:dyDescent="0.3">
      <c r="J3760" s="1"/>
    </row>
    <row r="3761" spans="10:10" x14ac:dyDescent="0.3">
      <c r="J3761" s="1"/>
    </row>
    <row r="3762" spans="10:10" x14ac:dyDescent="0.3">
      <c r="J3762" s="1"/>
    </row>
    <row r="3763" spans="10:10" x14ac:dyDescent="0.3">
      <c r="J3763" s="1"/>
    </row>
    <row r="3764" spans="10:10" x14ac:dyDescent="0.3">
      <c r="J3764" s="1"/>
    </row>
    <row r="3765" spans="10:10" x14ac:dyDescent="0.3">
      <c r="J3765" s="1"/>
    </row>
    <row r="3766" spans="10:10" x14ac:dyDescent="0.3">
      <c r="J3766" s="1"/>
    </row>
    <row r="3767" spans="10:10" x14ac:dyDescent="0.3">
      <c r="J3767" s="1"/>
    </row>
    <row r="3768" spans="10:10" x14ac:dyDescent="0.3">
      <c r="J3768" s="1"/>
    </row>
    <row r="3769" spans="10:10" x14ac:dyDescent="0.3">
      <c r="J3769" s="1"/>
    </row>
    <row r="3770" spans="10:10" x14ac:dyDescent="0.3">
      <c r="J3770" s="1"/>
    </row>
    <row r="3771" spans="10:10" x14ac:dyDescent="0.3">
      <c r="J3771" s="1"/>
    </row>
    <row r="3772" spans="10:10" x14ac:dyDescent="0.3">
      <c r="J3772" s="1"/>
    </row>
    <row r="3773" spans="10:10" x14ac:dyDescent="0.3">
      <c r="J3773" s="1"/>
    </row>
    <row r="3774" spans="10:10" x14ac:dyDescent="0.3">
      <c r="J3774" s="1"/>
    </row>
    <row r="3775" spans="10:10" x14ac:dyDescent="0.3">
      <c r="J3775" s="1"/>
    </row>
    <row r="3776" spans="10:10" x14ac:dyDescent="0.3">
      <c r="J3776" s="1"/>
    </row>
    <row r="3777" spans="10:10" x14ac:dyDescent="0.3">
      <c r="J3777" s="1"/>
    </row>
    <row r="3778" spans="10:10" x14ac:dyDescent="0.3">
      <c r="J3778" s="1"/>
    </row>
    <row r="3779" spans="10:10" x14ac:dyDescent="0.3">
      <c r="J3779" s="1"/>
    </row>
    <row r="3780" spans="10:10" x14ac:dyDescent="0.3">
      <c r="J3780" s="1"/>
    </row>
    <row r="3781" spans="10:10" x14ac:dyDescent="0.3">
      <c r="J3781" s="1"/>
    </row>
    <row r="3782" spans="10:10" x14ac:dyDescent="0.3">
      <c r="J3782" s="1"/>
    </row>
    <row r="3783" spans="10:10" x14ac:dyDescent="0.3">
      <c r="J3783" s="1"/>
    </row>
    <row r="3784" spans="10:10" x14ac:dyDescent="0.3">
      <c r="J3784" s="1"/>
    </row>
    <row r="3785" spans="10:10" x14ac:dyDescent="0.3">
      <c r="J3785" s="1"/>
    </row>
    <row r="3786" spans="10:10" x14ac:dyDescent="0.3">
      <c r="J3786" s="1"/>
    </row>
    <row r="3787" spans="10:10" x14ac:dyDescent="0.3">
      <c r="J3787" s="1"/>
    </row>
    <row r="3788" spans="10:10" x14ac:dyDescent="0.3">
      <c r="J3788" s="1"/>
    </row>
    <row r="3789" spans="10:10" x14ac:dyDescent="0.3">
      <c r="J3789" s="1"/>
    </row>
    <row r="3790" spans="10:10" x14ac:dyDescent="0.3">
      <c r="J3790" s="1"/>
    </row>
    <row r="3791" spans="10:10" x14ac:dyDescent="0.3">
      <c r="J3791" s="1"/>
    </row>
    <row r="3792" spans="10:10" x14ac:dyDescent="0.3">
      <c r="J3792" s="1"/>
    </row>
    <row r="3793" spans="10:10" x14ac:dyDescent="0.3">
      <c r="J3793" s="1"/>
    </row>
    <row r="3794" spans="10:10" x14ac:dyDescent="0.3">
      <c r="J3794" s="1"/>
    </row>
    <row r="3795" spans="10:10" x14ac:dyDescent="0.3">
      <c r="J3795" s="1"/>
    </row>
    <row r="3796" spans="10:10" x14ac:dyDescent="0.3">
      <c r="J3796" s="1"/>
    </row>
    <row r="3797" spans="10:10" x14ac:dyDescent="0.3">
      <c r="J3797" s="1"/>
    </row>
    <row r="3798" spans="10:10" x14ac:dyDescent="0.3">
      <c r="J3798" s="1"/>
    </row>
    <row r="3799" spans="10:10" x14ac:dyDescent="0.3">
      <c r="J3799" s="1"/>
    </row>
    <row r="3800" spans="10:10" x14ac:dyDescent="0.3">
      <c r="J3800" s="1"/>
    </row>
    <row r="3801" spans="10:10" x14ac:dyDescent="0.3">
      <c r="J3801" s="1"/>
    </row>
    <row r="3802" spans="10:10" x14ac:dyDescent="0.3">
      <c r="J3802" s="1"/>
    </row>
    <row r="3803" spans="10:10" x14ac:dyDescent="0.3">
      <c r="J3803" s="1"/>
    </row>
    <row r="3804" spans="10:10" x14ac:dyDescent="0.3">
      <c r="J3804" s="1"/>
    </row>
    <row r="3805" spans="10:10" x14ac:dyDescent="0.3">
      <c r="J3805" s="1"/>
    </row>
    <row r="3806" spans="10:10" x14ac:dyDescent="0.3">
      <c r="J3806" s="1"/>
    </row>
    <row r="3807" spans="10:10" x14ac:dyDescent="0.3">
      <c r="J3807" s="1"/>
    </row>
    <row r="3808" spans="10:10" x14ac:dyDescent="0.3">
      <c r="J3808" s="1"/>
    </row>
    <row r="3809" spans="10:10" x14ac:dyDescent="0.3">
      <c r="J3809" s="1"/>
    </row>
    <row r="3810" spans="10:10" x14ac:dyDescent="0.3">
      <c r="J3810" s="1"/>
    </row>
    <row r="3811" spans="10:10" x14ac:dyDescent="0.3">
      <c r="J3811" s="1"/>
    </row>
    <row r="3812" spans="10:10" x14ac:dyDescent="0.3">
      <c r="J3812" s="1"/>
    </row>
    <row r="3813" spans="10:10" x14ac:dyDescent="0.3">
      <c r="J3813" s="1"/>
    </row>
    <row r="3814" spans="10:10" x14ac:dyDescent="0.3">
      <c r="J3814" s="1"/>
    </row>
    <row r="3815" spans="10:10" x14ac:dyDescent="0.3">
      <c r="J3815" s="1"/>
    </row>
    <row r="3816" spans="10:10" x14ac:dyDescent="0.3">
      <c r="J3816" s="1"/>
    </row>
    <row r="3817" spans="10:10" x14ac:dyDescent="0.3">
      <c r="J3817" s="1"/>
    </row>
    <row r="3818" spans="10:10" x14ac:dyDescent="0.3">
      <c r="J3818" s="1"/>
    </row>
    <row r="3819" spans="10:10" x14ac:dyDescent="0.3">
      <c r="J3819" s="1"/>
    </row>
    <row r="3820" spans="10:10" x14ac:dyDescent="0.3">
      <c r="J3820" s="1"/>
    </row>
    <row r="3821" spans="10:10" x14ac:dyDescent="0.3">
      <c r="J3821" s="1"/>
    </row>
    <row r="3822" spans="10:10" x14ac:dyDescent="0.3">
      <c r="J3822" s="1"/>
    </row>
    <row r="3823" spans="10:10" x14ac:dyDescent="0.3">
      <c r="J3823" s="1"/>
    </row>
    <row r="3824" spans="10:10" x14ac:dyDescent="0.3">
      <c r="J3824" s="1"/>
    </row>
    <row r="3825" spans="10:10" x14ac:dyDescent="0.3">
      <c r="J3825" s="1"/>
    </row>
    <row r="3826" spans="10:10" x14ac:dyDescent="0.3">
      <c r="J3826" s="1"/>
    </row>
    <row r="3827" spans="10:10" x14ac:dyDescent="0.3">
      <c r="J3827" s="1"/>
    </row>
    <row r="3828" spans="10:10" x14ac:dyDescent="0.3">
      <c r="J3828" s="1"/>
    </row>
    <row r="3829" spans="10:10" x14ac:dyDescent="0.3">
      <c r="J3829" s="1"/>
    </row>
    <row r="3830" spans="10:10" x14ac:dyDescent="0.3">
      <c r="J3830" s="1"/>
    </row>
    <row r="3831" spans="10:10" x14ac:dyDescent="0.3">
      <c r="J3831" s="1"/>
    </row>
    <row r="3832" spans="10:10" x14ac:dyDescent="0.3">
      <c r="J3832" s="1"/>
    </row>
    <row r="3833" spans="10:10" x14ac:dyDescent="0.3">
      <c r="J3833" s="1"/>
    </row>
    <row r="3834" spans="10:10" x14ac:dyDescent="0.3">
      <c r="J3834" s="1"/>
    </row>
    <row r="3835" spans="10:10" x14ac:dyDescent="0.3">
      <c r="J3835" s="1"/>
    </row>
    <row r="3836" spans="10:10" x14ac:dyDescent="0.3">
      <c r="J3836" s="1"/>
    </row>
    <row r="3837" spans="10:10" x14ac:dyDescent="0.3">
      <c r="J3837" s="1"/>
    </row>
    <row r="3838" spans="10:10" x14ac:dyDescent="0.3">
      <c r="J3838" s="1"/>
    </row>
    <row r="3839" spans="10:10" x14ac:dyDescent="0.3">
      <c r="J3839" s="1"/>
    </row>
    <row r="3840" spans="10:10" x14ac:dyDescent="0.3">
      <c r="J3840" s="1"/>
    </row>
    <row r="3841" spans="10:10" x14ac:dyDescent="0.3">
      <c r="J3841" s="1"/>
    </row>
    <row r="3842" spans="10:10" x14ac:dyDescent="0.3">
      <c r="J3842" s="1"/>
    </row>
    <row r="3843" spans="10:10" x14ac:dyDescent="0.3">
      <c r="J3843" s="1"/>
    </row>
    <row r="3844" spans="10:10" x14ac:dyDescent="0.3">
      <c r="J3844" s="1"/>
    </row>
    <row r="3845" spans="10:10" x14ac:dyDescent="0.3">
      <c r="J3845" s="1"/>
    </row>
    <row r="3846" spans="10:10" x14ac:dyDescent="0.3">
      <c r="J3846" s="1"/>
    </row>
    <row r="3847" spans="10:10" x14ac:dyDescent="0.3">
      <c r="J3847" s="1"/>
    </row>
    <row r="3848" spans="10:10" x14ac:dyDescent="0.3">
      <c r="J3848" s="1"/>
    </row>
    <row r="3849" spans="10:10" x14ac:dyDescent="0.3">
      <c r="J3849" s="1"/>
    </row>
    <row r="3850" spans="10:10" x14ac:dyDescent="0.3">
      <c r="J3850" s="1"/>
    </row>
    <row r="3851" spans="10:10" x14ac:dyDescent="0.3">
      <c r="J3851" s="1"/>
    </row>
    <row r="3852" spans="10:10" x14ac:dyDescent="0.3">
      <c r="J3852" s="1"/>
    </row>
    <row r="3853" spans="10:10" x14ac:dyDescent="0.3">
      <c r="J3853" s="1"/>
    </row>
    <row r="3854" spans="10:10" x14ac:dyDescent="0.3">
      <c r="J3854" s="1"/>
    </row>
    <row r="3855" spans="10:10" x14ac:dyDescent="0.3">
      <c r="J3855" s="1"/>
    </row>
    <row r="3856" spans="10:10" x14ac:dyDescent="0.3">
      <c r="J3856" s="1"/>
    </row>
    <row r="3857" spans="10:10" x14ac:dyDescent="0.3">
      <c r="J3857" s="1"/>
    </row>
    <row r="3858" spans="10:10" x14ac:dyDescent="0.3">
      <c r="J3858" s="1"/>
    </row>
    <row r="3859" spans="10:10" x14ac:dyDescent="0.3">
      <c r="J3859" s="1"/>
    </row>
    <row r="3860" spans="10:10" x14ac:dyDescent="0.3">
      <c r="J3860" s="1"/>
    </row>
    <row r="3861" spans="10:10" x14ac:dyDescent="0.3">
      <c r="J3861" s="1"/>
    </row>
    <row r="3862" spans="10:10" x14ac:dyDescent="0.3">
      <c r="J3862" s="1"/>
    </row>
    <row r="3863" spans="10:10" x14ac:dyDescent="0.3">
      <c r="J3863" s="1"/>
    </row>
    <row r="3864" spans="10:10" x14ac:dyDescent="0.3">
      <c r="J3864" s="1"/>
    </row>
    <row r="3865" spans="10:10" x14ac:dyDescent="0.3">
      <c r="J3865" s="1"/>
    </row>
    <row r="3866" spans="10:10" x14ac:dyDescent="0.3">
      <c r="J3866" s="1"/>
    </row>
    <row r="3867" spans="10:10" x14ac:dyDescent="0.3">
      <c r="J3867" s="1"/>
    </row>
    <row r="3868" spans="10:10" x14ac:dyDescent="0.3">
      <c r="J3868" s="1"/>
    </row>
    <row r="3869" spans="10:10" x14ac:dyDescent="0.3">
      <c r="J3869" s="1"/>
    </row>
    <row r="3870" spans="10:10" x14ac:dyDescent="0.3">
      <c r="J3870" s="1"/>
    </row>
    <row r="3871" spans="10:10" x14ac:dyDescent="0.3">
      <c r="J3871" s="1"/>
    </row>
    <row r="3872" spans="10:10" x14ac:dyDescent="0.3">
      <c r="J3872" s="1"/>
    </row>
    <row r="3873" spans="10:10" x14ac:dyDescent="0.3">
      <c r="J3873" s="1"/>
    </row>
    <row r="3874" spans="10:10" x14ac:dyDescent="0.3">
      <c r="J3874" s="1"/>
    </row>
    <row r="3875" spans="10:10" x14ac:dyDescent="0.3">
      <c r="J3875" s="1"/>
    </row>
    <row r="3876" spans="10:10" x14ac:dyDescent="0.3">
      <c r="J3876" s="1"/>
    </row>
    <row r="3877" spans="10:10" x14ac:dyDescent="0.3">
      <c r="J3877" s="1"/>
    </row>
    <row r="3878" spans="10:10" x14ac:dyDescent="0.3">
      <c r="J3878" s="1"/>
    </row>
    <row r="3879" spans="10:10" x14ac:dyDescent="0.3">
      <c r="J3879" s="1"/>
    </row>
    <row r="3880" spans="10:10" x14ac:dyDescent="0.3">
      <c r="J3880" s="1"/>
    </row>
    <row r="3881" spans="10:10" x14ac:dyDescent="0.3">
      <c r="J3881" s="1"/>
    </row>
    <row r="3882" spans="10:10" x14ac:dyDescent="0.3">
      <c r="J3882" s="1"/>
    </row>
    <row r="3883" spans="10:10" x14ac:dyDescent="0.3">
      <c r="J3883" s="1"/>
    </row>
    <row r="3884" spans="10:10" x14ac:dyDescent="0.3">
      <c r="J3884" s="1"/>
    </row>
    <row r="3885" spans="10:10" x14ac:dyDescent="0.3">
      <c r="J3885" s="1"/>
    </row>
    <row r="3886" spans="10:10" x14ac:dyDescent="0.3">
      <c r="J3886" s="1"/>
    </row>
    <row r="3887" spans="10:10" x14ac:dyDescent="0.3">
      <c r="J3887" s="1"/>
    </row>
    <row r="3888" spans="10:10" x14ac:dyDescent="0.3">
      <c r="J3888" s="1"/>
    </row>
    <row r="3889" spans="10:10" x14ac:dyDescent="0.3">
      <c r="J3889" s="1"/>
    </row>
    <row r="3890" spans="10:10" x14ac:dyDescent="0.3">
      <c r="J3890" s="1"/>
    </row>
    <row r="3891" spans="10:10" x14ac:dyDescent="0.3">
      <c r="J3891" s="1"/>
    </row>
    <row r="3892" spans="10:10" x14ac:dyDescent="0.3">
      <c r="J3892" s="1"/>
    </row>
    <row r="3893" spans="10:10" x14ac:dyDescent="0.3">
      <c r="J3893" s="1"/>
    </row>
    <row r="3894" spans="10:10" x14ac:dyDescent="0.3">
      <c r="J3894" s="1"/>
    </row>
    <row r="3895" spans="10:10" x14ac:dyDescent="0.3">
      <c r="J3895" s="1"/>
    </row>
    <row r="3896" spans="10:10" x14ac:dyDescent="0.3">
      <c r="J3896" s="1"/>
    </row>
    <row r="3897" spans="10:10" x14ac:dyDescent="0.3">
      <c r="J3897" s="1"/>
    </row>
    <row r="3898" spans="10:10" x14ac:dyDescent="0.3">
      <c r="J3898" s="1"/>
    </row>
    <row r="3899" spans="10:10" x14ac:dyDescent="0.3">
      <c r="J3899" s="1"/>
    </row>
    <row r="3900" spans="10:10" x14ac:dyDescent="0.3">
      <c r="J3900" s="1"/>
    </row>
    <row r="3901" spans="10:10" x14ac:dyDescent="0.3">
      <c r="J3901" s="1"/>
    </row>
    <row r="3902" spans="10:10" x14ac:dyDescent="0.3">
      <c r="J3902" s="1"/>
    </row>
    <row r="3903" spans="10:10" x14ac:dyDescent="0.3">
      <c r="J3903" s="1"/>
    </row>
    <row r="3904" spans="10:10" x14ac:dyDescent="0.3">
      <c r="J3904" s="1"/>
    </row>
    <row r="3905" spans="10:10" x14ac:dyDescent="0.3">
      <c r="J3905" s="1"/>
    </row>
    <row r="3906" spans="10:10" x14ac:dyDescent="0.3">
      <c r="J3906" s="1"/>
    </row>
    <row r="3907" spans="10:10" x14ac:dyDescent="0.3">
      <c r="J3907" s="1"/>
    </row>
    <row r="3908" spans="10:10" x14ac:dyDescent="0.3">
      <c r="J3908" s="1"/>
    </row>
    <row r="3909" spans="10:10" x14ac:dyDescent="0.3">
      <c r="J3909" s="1"/>
    </row>
    <row r="3910" spans="10:10" x14ac:dyDescent="0.3">
      <c r="J3910" s="1"/>
    </row>
    <row r="3911" spans="10:10" x14ac:dyDescent="0.3">
      <c r="J3911" s="1"/>
    </row>
    <row r="3912" spans="10:10" x14ac:dyDescent="0.3">
      <c r="J3912" s="1"/>
    </row>
    <row r="3913" spans="10:10" x14ac:dyDescent="0.3">
      <c r="J3913" s="1"/>
    </row>
    <row r="3914" spans="10:10" x14ac:dyDescent="0.3">
      <c r="J3914" s="1"/>
    </row>
    <row r="3915" spans="10:10" x14ac:dyDescent="0.3">
      <c r="J3915" s="1"/>
    </row>
    <row r="3916" spans="10:10" x14ac:dyDescent="0.3">
      <c r="J3916" s="1"/>
    </row>
    <row r="3917" spans="10:10" x14ac:dyDescent="0.3">
      <c r="J3917" s="1"/>
    </row>
    <row r="3918" spans="10:10" x14ac:dyDescent="0.3">
      <c r="J3918" s="1"/>
    </row>
    <row r="3919" spans="10:10" x14ac:dyDescent="0.3">
      <c r="J3919" s="1"/>
    </row>
    <row r="3920" spans="10:10" x14ac:dyDescent="0.3">
      <c r="J3920" s="1"/>
    </row>
    <row r="3921" spans="10:10" x14ac:dyDescent="0.3">
      <c r="J3921" s="1"/>
    </row>
    <row r="3922" spans="10:10" x14ac:dyDescent="0.3">
      <c r="J3922" s="1"/>
    </row>
    <row r="3923" spans="10:10" x14ac:dyDescent="0.3">
      <c r="J3923" s="1"/>
    </row>
    <row r="3924" spans="10:10" x14ac:dyDescent="0.3">
      <c r="J3924" s="1"/>
    </row>
    <row r="3925" spans="10:10" x14ac:dyDescent="0.3">
      <c r="J3925" s="1"/>
    </row>
    <row r="3926" spans="10:10" x14ac:dyDescent="0.3">
      <c r="J3926" s="1"/>
    </row>
    <row r="3927" spans="10:10" x14ac:dyDescent="0.3">
      <c r="J3927" s="1"/>
    </row>
    <row r="3928" spans="10:10" x14ac:dyDescent="0.3">
      <c r="J3928" s="1"/>
    </row>
    <row r="3929" spans="10:10" x14ac:dyDescent="0.3">
      <c r="J3929" s="1"/>
    </row>
    <row r="3930" spans="10:10" x14ac:dyDescent="0.3">
      <c r="J3930" s="1"/>
    </row>
    <row r="3931" spans="10:10" x14ac:dyDescent="0.3">
      <c r="J3931" s="1"/>
    </row>
    <row r="3932" spans="10:10" x14ac:dyDescent="0.3">
      <c r="J3932" s="1"/>
    </row>
    <row r="3933" spans="10:10" x14ac:dyDescent="0.3">
      <c r="J3933" s="1"/>
    </row>
    <row r="3934" spans="10:10" x14ac:dyDescent="0.3">
      <c r="J3934" s="1"/>
    </row>
    <row r="3935" spans="10:10" x14ac:dyDescent="0.3">
      <c r="J3935" s="1"/>
    </row>
    <row r="3936" spans="10:10" x14ac:dyDescent="0.3">
      <c r="J3936" s="1"/>
    </row>
    <row r="3937" spans="10:10" x14ac:dyDescent="0.3">
      <c r="J3937" s="1"/>
    </row>
    <row r="3938" spans="10:10" x14ac:dyDescent="0.3">
      <c r="J3938" s="1"/>
    </row>
    <row r="3939" spans="10:10" x14ac:dyDescent="0.3">
      <c r="J3939" s="1"/>
    </row>
    <row r="3940" spans="10:10" x14ac:dyDescent="0.3">
      <c r="J3940" s="1"/>
    </row>
    <row r="3941" spans="10:10" x14ac:dyDescent="0.3">
      <c r="J3941" s="1"/>
    </row>
    <row r="3942" spans="10:10" x14ac:dyDescent="0.3">
      <c r="J3942" s="1"/>
    </row>
    <row r="3943" spans="10:10" x14ac:dyDescent="0.3">
      <c r="J3943" s="1"/>
    </row>
    <row r="3944" spans="10:10" x14ac:dyDescent="0.3">
      <c r="J3944" s="1"/>
    </row>
    <row r="3945" spans="10:10" x14ac:dyDescent="0.3">
      <c r="J3945" s="1"/>
    </row>
    <row r="3946" spans="10:10" x14ac:dyDescent="0.3">
      <c r="J3946" s="1"/>
    </row>
    <row r="3947" spans="10:10" x14ac:dyDescent="0.3">
      <c r="J3947" s="1"/>
    </row>
    <row r="3948" spans="10:10" x14ac:dyDescent="0.3">
      <c r="J3948" s="1"/>
    </row>
    <row r="3949" spans="10:10" x14ac:dyDescent="0.3">
      <c r="J3949" s="1"/>
    </row>
    <row r="3950" spans="10:10" x14ac:dyDescent="0.3">
      <c r="J3950" s="1"/>
    </row>
    <row r="3951" spans="10:10" x14ac:dyDescent="0.3">
      <c r="J3951" s="1"/>
    </row>
    <row r="3952" spans="10:10" x14ac:dyDescent="0.3">
      <c r="J3952" s="1"/>
    </row>
    <row r="3953" spans="10:10" x14ac:dyDescent="0.3">
      <c r="J3953" s="1"/>
    </row>
    <row r="3954" spans="10:10" x14ac:dyDescent="0.3">
      <c r="J3954" s="1"/>
    </row>
    <row r="3955" spans="10:10" x14ac:dyDescent="0.3">
      <c r="J3955" s="1"/>
    </row>
    <row r="3956" spans="10:10" x14ac:dyDescent="0.3">
      <c r="J3956" s="1"/>
    </row>
    <row r="3957" spans="10:10" x14ac:dyDescent="0.3">
      <c r="J3957" s="1"/>
    </row>
    <row r="3958" spans="10:10" x14ac:dyDescent="0.3">
      <c r="J3958" s="1"/>
    </row>
    <row r="3959" spans="10:10" x14ac:dyDescent="0.3">
      <c r="J3959" s="1"/>
    </row>
    <row r="3960" spans="10:10" x14ac:dyDescent="0.3">
      <c r="J3960" s="1"/>
    </row>
    <row r="3961" spans="10:10" x14ac:dyDescent="0.3">
      <c r="J3961" s="1"/>
    </row>
    <row r="3962" spans="10:10" x14ac:dyDescent="0.3">
      <c r="J3962" s="1"/>
    </row>
    <row r="3963" spans="10:10" x14ac:dyDescent="0.3">
      <c r="J3963" s="1"/>
    </row>
    <row r="3964" spans="10:10" x14ac:dyDescent="0.3">
      <c r="J3964" s="1"/>
    </row>
    <row r="3965" spans="10:10" x14ac:dyDescent="0.3">
      <c r="J3965" s="1"/>
    </row>
    <row r="3966" spans="10:10" x14ac:dyDescent="0.3">
      <c r="J3966" s="1"/>
    </row>
    <row r="3967" spans="10:10" x14ac:dyDescent="0.3">
      <c r="J3967" s="1"/>
    </row>
    <row r="3968" spans="10:10" x14ac:dyDescent="0.3">
      <c r="J3968" s="1"/>
    </row>
    <row r="3969" spans="10:10" x14ac:dyDescent="0.3">
      <c r="J3969" s="1"/>
    </row>
    <row r="3970" spans="10:10" x14ac:dyDescent="0.3">
      <c r="J3970" s="1"/>
    </row>
    <row r="3971" spans="10:10" x14ac:dyDescent="0.3">
      <c r="J3971" s="1"/>
    </row>
    <row r="3972" spans="10:10" x14ac:dyDescent="0.3">
      <c r="J3972" s="1"/>
    </row>
    <row r="3973" spans="10:10" x14ac:dyDescent="0.3">
      <c r="J3973" s="1"/>
    </row>
    <row r="3974" spans="10:10" x14ac:dyDescent="0.3">
      <c r="J3974" s="1"/>
    </row>
    <row r="3975" spans="10:10" x14ac:dyDescent="0.3">
      <c r="J3975" s="1"/>
    </row>
    <row r="3976" spans="10:10" x14ac:dyDescent="0.3">
      <c r="J3976" s="1"/>
    </row>
    <row r="3977" spans="10:10" x14ac:dyDescent="0.3">
      <c r="J3977" s="1"/>
    </row>
    <row r="3978" spans="10:10" x14ac:dyDescent="0.3">
      <c r="J3978" s="1"/>
    </row>
    <row r="3979" spans="10:10" x14ac:dyDescent="0.3">
      <c r="J3979" s="1"/>
    </row>
    <row r="3980" spans="10:10" x14ac:dyDescent="0.3">
      <c r="J3980" s="1"/>
    </row>
    <row r="3981" spans="10:10" x14ac:dyDescent="0.3">
      <c r="J3981" s="1"/>
    </row>
    <row r="3982" spans="10:10" x14ac:dyDescent="0.3">
      <c r="J3982" s="1"/>
    </row>
    <row r="3983" spans="10:10" x14ac:dyDescent="0.3">
      <c r="J3983" s="1"/>
    </row>
    <row r="3984" spans="10:10" x14ac:dyDescent="0.3">
      <c r="J3984" s="1"/>
    </row>
    <row r="3985" spans="10:10" x14ac:dyDescent="0.3">
      <c r="J3985" s="1"/>
    </row>
    <row r="3986" spans="10:10" x14ac:dyDescent="0.3">
      <c r="J3986" s="1"/>
    </row>
    <row r="3987" spans="10:10" x14ac:dyDescent="0.3">
      <c r="J3987" s="1"/>
    </row>
    <row r="3988" spans="10:10" x14ac:dyDescent="0.3">
      <c r="J3988" s="1"/>
    </row>
    <row r="3989" spans="10:10" x14ac:dyDescent="0.3">
      <c r="J3989" s="1"/>
    </row>
    <row r="3990" spans="10:10" x14ac:dyDescent="0.3">
      <c r="J3990" s="1"/>
    </row>
    <row r="3991" spans="10:10" x14ac:dyDescent="0.3">
      <c r="J3991" s="1"/>
    </row>
    <row r="3992" spans="10:10" x14ac:dyDescent="0.3">
      <c r="J3992" s="1"/>
    </row>
    <row r="3993" spans="10:10" x14ac:dyDescent="0.3">
      <c r="J3993" s="1"/>
    </row>
    <row r="3994" spans="10:10" x14ac:dyDescent="0.3">
      <c r="J3994" s="1"/>
    </row>
    <row r="3995" spans="10:10" x14ac:dyDescent="0.3">
      <c r="J3995" s="1"/>
    </row>
    <row r="3996" spans="10:10" x14ac:dyDescent="0.3">
      <c r="J3996" s="1"/>
    </row>
    <row r="3997" spans="10:10" x14ac:dyDescent="0.3">
      <c r="J3997" s="1"/>
    </row>
    <row r="3998" spans="10:10" x14ac:dyDescent="0.3">
      <c r="J3998" s="1"/>
    </row>
    <row r="3999" spans="10:10" x14ac:dyDescent="0.3">
      <c r="J3999" s="1"/>
    </row>
    <row r="4000" spans="10:10" x14ac:dyDescent="0.3">
      <c r="J4000" s="1"/>
    </row>
    <row r="4001" spans="10:10" x14ac:dyDescent="0.3">
      <c r="J4001" s="1"/>
    </row>
    <row r="4002" spans="10:10" x14ac:dyDescent="0.3">
      <c r="J4002" s="1"/>
    </row>
    <row r="4003" spans="10:10" x14ac:dyDescent="0.3">
      <c r="J4003" s="1"/>
    </row>
    <row r="4004" spans="10:10" x14ac:dyDescent="0.3">
      <c r="J4004" s="1"/>
    </row>
    <row r="4005" spans="10:10" x14ac:dyDescent="0.3">
      <c r="J4005" s="1"/>
    </row>
    <row r="4006" spans="10:10" x14ac:dyDescent="0.3">
      <c r="J4006" s="1"/>
    </row>
    <row r="4007" spans="10:10" x14ac:dyDescent="0.3">
      <c r="J4007" s="1"/>
    </row>
    <row r="4008" spans="10:10" x14ac:dyDescent="0.3">
      <c r="J4008" s="1"/>
    </row>
    <row r="4009" spans="10:10" x14ac:dyDescent="0.3">
      <c r="J4009" s="1"/>
    </row>
    <row r="4010" spans="10:10" x14ac:dyDescent="0.3">
      <c r="J4010" s="1"/>
    </row>
    <row r="4011" spans="10:10" x14ac:dyDescent="0.3">
      <c r="J4011" s="1"/>
    </row>
    <row r="4012" spans="10:10" x14ac:dyDescent="0.3">
      <c r="J4012" s="1"/>
    </row>
    <row r="4013" spans="10:10" x14ac:dyDescent="0.3">
      <c r="J4013" s="1"/>
    </row>
    <row r="4014" spans="10:10" x14ac:dyDescent="0.3">
      <c r="J4014" s="1"/>
    </row>
    <row r="4015" spans="10:10" x14ac:dyDescent="0.3">
      <c r="J4015" s="1"/>
    </row>
    <row r="4016" spans="10:10" x14ac:dyDescent="0.3">
      <c r="J4016" s="1"/>
    </row>
    <row r="4017" spans="10:10" x14ac:dyDescent="0.3">
      <c r="J4017" s="1"/>
    </row>
    <row r="4018" spans="10:10" x14ac:dyDescent="0.3">
      <c r="J4018" s="1"/>
    </row>
    <row r="4019" spans="10:10" x14ac:dyDescent="0.3">
      <c r="J4019" s="1"/>
    </row>
    <row r="4020" spans="10:10" x14ac:dyDescent="0.3">
      <c r="J4020" s="1"/>
    </row>
    <row r="4021" spans="10:10" x14ac:dyDescent="0.3">
      <c r="J4021" s="1"/>
    </row>
    <row r="4022" spans="10:10" x14ac:dyDescent="0.3">
      <c r="J4022" s="1"/>
    </row>
    <row r="4023" spans="10:10" x14ac:dyDescent="0.3">
      <c r="J4023" s="1"/>
    </row>
    <row r="4024" spans="10:10" x14ac:dyDescent="0.3">
      <c r="J4024" s="1"/>
    </row>
    <row r="4025" spans="10:10" x14ac:dyDescent="0.3">
      <c r="J4025" s="1"/>
    </row>
    <row r="4026" spans="10:10" x14ac:dyDescent="0.3">
      <c r="J4026" s="1"/>
    </row>
    <row r="4027" spans="10:10" x14ac:dyDescent="0.3">
      <c r="J4027" s="1"/>
    </row>
    <row r="4028" spans="10:10" x14ac:dyDescent="0.3">
      <c r="J4028" s="1"/>
    </row>
    <row r="4029" spans="10:10" x14ac:dyDescent="0.3">
      <c r="J4029" s="1"/>
    </row>
    <row r="4030" spans="10:10" x14ac:dyDescent="0.3">
      <c r="J4030" s="1"/>
    </row>
    <row r="4031" spans="10:10" x14ac:dyDescent="0.3">
      <c r="J4031" s="1"/>
    </row>
    <row r="4032" spans="10:10" x14ac:dyDescent="0.3">
      <c r="J4032" s="1"/>
    </row>
    <row r="4033" spans="10:10" x14ac:dyDescent="0.3">
      <c r="J4033" s="1"/>
    </row>
    <row r="4034" spans="10:10" x14ac:dyDescent="0.3">
      <c r="J4034" s="1"/>
    </row>
    <row r="4035" spans="10:10" x14ac:dyDescent="0.3">
      <c r="J4035" s="1"/>
    </row>
    <row r="4036" spans="10:10" x14ac:dyDescent="0.3">
      <c r="J4036" s="1"/>
    </row>
    <row r="4037" spans="10:10" x14ac:dyDescent="0.3">
      <c r="J4037" s="1"/>
    </row>
    <row r="4038" spans="10:10" x14ac:dyDescent="0.3">
      <c r="J4038" s="1"/>
    </row>
    <row r="4039" spans="10:10" x14ac:dyDescent="0.3">
      <c r="J4039" s="1"/>
    </row>
    <row r="4040" spans="10:10" x14ac:dyDescent="0.3">
      <c r="J4040" s="1"/>
    </row>
    <row r="4041" spans="10:10" x14ac:dyDescent="0.3">
      <c r="J4041" s="1"/>
    </row>
    <row r="4042" spans="10:10" x14ac:dyDescent="0.3">
      <c r="J4042" s="1"/>
    </row>
    <row r="4043" spans="10:10" x14ac:dyDescent="0.3">
      <c r="J4043" s="1"/>
    </row>
    <row r="4044" spans="10:10" x14ac:dyDescent="0.3">
      <c r="J4044" s="1"/>
    </row>
    <row r="4045" spans="10:10" x14ac:dyDescent="0.3">
      <c r="J4045" s="1"/>
    </row>
    <row r="4046" spans="10:10" x14ac:dyDescent="0.3">
      <c r="J4046" s="1"/>
    </row>
    <row r="4047" spans="10:10" x14ac:dyDescent="0.3">
      <c r="J4047" s="1"/>
    </row>
    <row r="4048" spans="10:10" x14ac:dyDescent="0.3">
      <c r="J4048" s="1"/>
    </row>
    <row r="4049" spans="10:10" x14ac:dyDescent="0.3">
      <c r="J4049" s="1"/>
    </row>
    <row r="4050" spans="10:10" x14ac:dyDescent="0.3">
      <c r="J4050" s="1"/>
    </row>
    <row r="4051" spans="10:10" x14ac:dyDescent="0.3">
      <c r="J4051" s="1"/>
    </row>
    <row r="4052" spans="10:10" x14ac:dyDescent="0.3">
      <c r="J4052" s="1"/>
    </row>
    <row r="4053" spans="10:10" x14ac:dyDescent="0.3">
      <c r="J4053" s="1"/>
    </row>
    <row r="4054" spans="10:10" x14ac:dyDescent="0.3">
      <c r="J4054" s="1"/>
    </row>
    <row r="4055" spans="10:10" x14ac:dyDescent="0.3">
      <c r="J4055" s="1"/>
    </row>
    <row r="4056" spans="10:10" x14ac:dyDescent="0.3">
      <c r="J4056" s="1"/>
    </row>
    <row r="4057" spans="10:10" x14ac:dyDescent="0.3">
      <c r="J4057" s="1"/>
    </row>
    <row r="4058" spans="10:10" x14ac:dyDescent="0.3">
      <c r="J4058" s="1"/>
    </row>
    <row r="4059" spans="10:10" x14ac:dyDescent="0.3">
      <c r="J4059" s="1"/>
    </row>
    <row r="4060" spans="10:10" x14ac:dyDescent="0.3">
      <c r="J4060" s="1"/>
    </row>
    <row r="4061" spans="10:10" x14ac:dyDescent="0.3">
      <c r="J4061" s="1"/>
    </row>
    <row r="4062" spans="10:10" x14ac:dyDescent="0.3">
      <c r="J4062" s="1"/>
    </row>
    <row r="4063" spans="10:10" x14ac:dyDescent="0.3">
      <c r="J4063" s="1"/>
    </row>
    <row r="4064" spans="10:10" x14ac:dyDescent="0.3">
      <c r="J4064" s="1"/>
    </row>
    <row r="4065" spans="10:10" x14ac:dyDescent="0.3">
      <c r="J4065" s="1"/>
    </row>
    <row r="4066" spans="10:10" x14ac:dyDescent="0.3">
      <c r="J4066" s="1"/>
    </row>
    <row r="4067" spans="10:10" x14ac:dyDescent="0.3">
      <c r="J4067" s="1"/>
    </row>
    <row r="4068" spans="10:10" x14ac:dyDescent="0.3">
      <c r="J4068" s="1"/>
    </row>
    <row r="4069" spans="10:10" x14ac:dyDescent="0.3">
      <c r="J4069" s="1"/>
    </row>
    <row r="4070" spans="10:10" x14ac:dyDescent="0.3">
      <c r="J4070" s="1"/>
    </row>
    <row r="4071" spans="10:10" x14ac:dyDescent="0.3">
      <c r="J4071" s="1"/>
    </row>
    <row r="4072" spans="10:10" x14ac:dyDescent="0.3">
      <c r="J4072" s="1"/>
    </row>
    <row r="4073" spans="10:10" x14ac:dyDescent="0.3">
      <c r="J4073" s="1"/>
    </row>
    <row r="4074" spans="10:10" x14ac:dyDescent="0.3">
      <c r="J4074" s="1"/>
    </row>
    <row r="4075" spans="10:10" x14ac:dyDescent="0.3">
      <c r="J4075" s="1"/>
    </row>
    <row r="4076" spans="10:10" x14ac:dyDescent="0.3">
      <c r="J4076" s="1"/>
    </row>
    <row r="4077" spans="10:10" x14ac:dyDescent="0.3">
      <c r="J4077" s="1"/>
    </row>
    <row r="4078" spans="10:10" x14ac:dyDescent="0.3">
      <c r="J4078" s="1"/>
    </row>
    <row r="4079" spans="10:10" x14ac:dyDescent="0.3">
      <c r="J4079" s="1"/>
    </row>
    <row r="4080" spans="10:10" x14ac:dyDescent="0.3">
      <c r="J4080" s="1"/>
    </row>
    <row r="4081" spans="10:10" x14ac:dyDescent="0.3">
      <c r="J4081" s="1"/>
    </row>
    <row r="4082" spans="10:10" x14ac:dyDescent="0.3">
      <c r="J4082" s="1"/>
    </row>
    <row r="4083" spans="10:10" x14ac:dyDescent="0.3">
      <c r="J4083" s="1"/>
    </row>
    <row r="4084" spans="10:10" x14ac:dyDescent="0.3">
      <c r="J4084" s="1"/>
    </row>
    <row r="4085" spans="10:10" x14ac:dyDescent="0.3">
      <c r="J4085" s="1"/>
    </row>
    <row r="4086" spans="10:10" x14ac:dyDescent="0.3">
      <c r="J4086" s="1"/>
    </row>
    <row r="4087" spans="10:10" x14ac:dyDescent="0.3">
      <c r="J4087" s="1"/>
    </row>
    <row r="4088" spans="10:10" x14ac:dyDescent="0.3">
      <c r="J4088" s="1"/>
    </row>
    <row r="4089" spans="10:10" x14ac:dyDescent="0.3">
      <c r="J4089" s="1"/>
    </row>
    <row r="4090" spans="10:10" x14ac:dyDescent="0.3">
      <c r="J4090" s="1"/>
    </row>
    <row r="4091" spans="10:10" x14ac:dyDescent="0.3">
      <c r="J4091" s="1"/>
    </row>
    <row r="4092" spans="10:10" x14ac:dyDescent="0.3">
      <c r="J4092" s="1"/>
    </row>
    <row r="4093" spans="10:10" x14ac:dyDescent="0.3">
      <c r="J4093" s="1"/>
    </row>
    <row r="4094" spans="10:10" x14ac:dyDescent="0.3">
      <c r="J4094" s="1"/>
    </row>
    <row r="4095" spans="10:10" x14ac:dyDescent="0.3">
      <c r="J4095" s="1"/>
    </row>
    <row r="4096" spans="10:10" x14ac:dyDescent="0.3">
      <c r="J4096" s="1"/>
    </row>
    <row r="4097" spans="10:10" x14ac:dyDescent="0.3">
      <c r="J4097" s="1"/>
    </row>
    <row r="4098" spans="10:10" x14ac:dyDescent="0.3">
      <c r="J4098" s="1"/>
    </row>
    <row r="4099" spans="10:10" x14ac:dyDescent="0.3">
      <c r="J4099" s="1"/>
    </row>
    <row r="4100" spans="10:10" x14ac:dyDescent="0.3">
      <c r="J4100" s="1"/>
    </row>
    <row r="4101" spans="10:10" x14ac:dyDescent="0.3">
      <c r="J4101" s="1"/>
    </row>
    <row r="4102" spans="10:10" x14ac:dyDescent="0.3">
      <c r="J4102" s="1"/>
    </row>
    <row r="4103" spans="10:10" x14ac:dyDescent="0.3">
      <c r="J4103" s="1"/>
    </row>
    <row r="4104" spans="10:10" x14ac:dyDescent="0.3">
      <c r="J4104" s="1"/>
    </row>
    <row r="4105" spans="10:10" x14ac:dyDescent="0.3">
      <c r="J4105" s="1"/>
    </row>
    <row r="4106" spans="10:10" x14ac:dyDescent="0.3">
      <c r="J4106" s="1"/>
    </row>
    <row r="4107" spans="10:10" x14ac:dyDescent="0.3">
      <c r="J4107" s="1"/>
    </row>
    <row r="4108" spans="10:10" x14ac:dyDescent="0.3">
      <c r="J4108" s="1"/>
    </row>
    <row r="4109" spans="10:10" x14ac:dyDescent="0.3">
      <c r="J4109" s="1"/>
    </row>
    <row r="4110" spans="10:10" x14ac:dyDescent="0.3">
      <c r="J4110" s="1"/>
    </row>
    <row r="4111" spans="10:10" x14ac:dyDescent="0.3">
      <c r="J4111" s="1"/>
    </row>
    <row r="4112" spans="10:10" x14ac:dyDescent="0.3">
      <c r="J4112" s="1"/>
    </row>
    <row r="4113" spans="10:10" x14ac:dyDescent="0.3">
      <c r="J4113" s="1"/>
    </row>
    <row r="4114" spans="10:10" x14ac:dyDescent="0.3">
      <c r="J4114" s="1"/>
    </row>
    <row r="4115" spans="10:10" x14ac:dyDescent="0.3">
      <c r="J4115" s="1"/>
    </row>
    <row r="4116" spans="10:10" x14ac:dyDescent="0.3">
      <c r="J4116" s="1"/>
    </row>
    <row r="4117" spans="10:10" x14ac:dyDescent="0.3">
      <c r="J4117" s="1"/>
    </row>
    <row r="4118" spans="10:10" x14ac:dyDescent="0.3">
      <c r="J4118" s="1"/>
    </row>
    <row r="4119" spans="10:10" x14ac:dyDescent="0.3">
      <c r="J4119" s="1"/>
    </row>
    <row r="4120" spans="10:10" x14ac:dyDescent="0.3">
      <c r="J4120" s="1"/>
    </row>
    <row r="4121" spans="10:10" x14ac:dyDescent="0.3">
      <c r="J4121" s="1"/>
    </row>
    <row r="4122" spans="10:10" x14ac:dyDescent="0.3">
      <c r="J4122" s="1"/>
    </row>
    <row r="4123" spans="10:10" x14ac:dyDescent="0.3">
      <c r="J4123" s="1"/>
    </row>
    <row r="4124" spans="10:10" x14ac:dyDescent="0.3">
      <c r="J4124" s="1"/>
    </row>
    <row r="4125" spans="10:10" x14ac:dyDescent="0.3">
      <c r="J4125" s="1"/>
    </row>
    <row r="4126" spans="10:10" x14ac:dyDescent="0.3">
      <c r="J4126" s="1"/>
    </row>
    <row r="4127" spans="10:10" x14ac:dyDescent="0.3">
      <c r="J4127" s="1"/>
    </row>
    <row r="4128" spans="10:10" x14ac:dyDescent="0.3">
      <c r="J4128" s="1"/>
    </row>
    <row r="4129" spans="10:10" x14ac:dyDescent="0.3">
      <c r="J4129" s="1"/>
    </row>
    <row r="4130" spans="10:10" x14ac:dyDescent="0.3">
      <c r="J4130" s="1"/>
    </row>
    <row r="4131" spans="10:10" x14ac:dyDescent="0.3">
      <c r="J4131" s="1"/>
    </row>
    <row r="4132" spans="10:10" x14ac:dyDescent="0.3">
      <c r="J4132" s="1"/>
    </row>
    <row r="4133" spans="10:10" x14ac:dyDescent="0.3">
      <c r="J4133" s="1"/>
    </row>
    <row r="4134" spans="10:10" x14ac:dyDescent="0.3">
      <c r="J4134" s="1"/>
    </row>
    <row r="4135" spans="10:10" x14ac:dyDescent="0.3">
      <c r="J4135" s="1"/>
    </row>
    <row r="4136" spans="10:10" x14ac:dyDescent="0.3">
      <c r="J4136" s="1"/>
    </row>
    <row r="4137" spans="10:10" x14ac:dyDescent="0.3">
      <c r="J4137" s="1"/>
    </row>
    <row r="4138" spans="10:10" x14ac:dyDescent="0.3">
      <c r="J4138" s="1"/>
    </row>
    <row r="4139" spans="10:10" x14ac:dyDescent="0.3">
      <c r="J4139" s="1"/>
    </row>
    <row r="4140" spans="10:10" x14ac:dyDescent="0.3">
      <c r="J4140" s="1"/>
    </row>
    <row r="4141" spans="10:10" x14ac:dyDescent="0.3">
      <c r="J4141" s="1"/>
    </row>
    <row r="4142" spans="10:10" x14ac:dyDescent="0.3">
      <c r="J4142" s="1"/>
    </row>
    <row r="4143" spans="10:10" x14ac:dyDescent="0.3">
      <c r="J4143" s="1"/>
    </row>
    <row r="4144" spans="10:10" x14ac:dyDescent="0.3">
      <c r="J4144" s="1"/>
    </row>
    <row r="4145" spans="10:10" x14ac:dyDescent="0.3">
      <c r="J4145" s="1"/>
    </row>
    <row r="4146" spans="10:10" x14ac:dyDescent="0.3">
      <c r="J4146" s="1"/>
    </row>
    <row r="4147" spans="10:10" x14ac:dyDescent="0.3">
      <c r="J4147" s="1"/>
    </row>
    <row r="4148" spans="10:10" x14ac:dyDescent="0.3">
      <c r="J4148" s="1"/>
    </row>
    <row r="4149" spans="10:10" x14ac:dyDescent="0.3">
      <c r="J4149" s="1"/>
    </row>
    <row r="4150" spans="10:10" x14ac:dyDescent="0.3">
      <c r="J4150" s="1"/>
    </row>
    <row r="4151" spans="10:10" x14ac:dyDescent="0.3">
      <c r="J4151" s="1"/>
    </row>
    <row r="4152" spans="10:10" x14ac:dyDescent="0.3">
      <c r="J4152" s="1"/>
    </row>
    <row r="4153" spans="10:10" x14ac:dyDescent="0.3">
      <c r="J4153" s="1"/>
    </row>
    <row r="4154" spans="10:10" x14ac:dyDescent="0.3">
      <c r="J4154" s="1"/>
    </row>
    <row r="4155" spans="10:10" x14ac:dyDescent="0.3">
      <c r="J4155" s="1"/>
    </row>
    <row r="4156" spans="10:10" x14ac:dyDescent="0.3">
      <c r="J4156" s="1"/>
    </row>
    <row r="4157" spans="10:10" x14ac:dyDescent="0.3">
      <c r="J4157" s="1"/>
    </row>
    <row r="4158" spans="10:10" x14ac:dyDescent="0.3">
      <c r="J4158" s="1"/>
    </row>
    <row r="4159" spans="10:10" x14ac:dyDescent="0.3">
      <c r="J4159" s="1"/>
    </row>
    <row r="4160" spans="10:10" x14ac:dyDescent="0.3">
      <c r="J4160" s="1"/>
    </row>
    <row r="4161" spans="10:10" x14ac:dyDescent="0.3">
      <c r="J4161" s="1"/>
    </row>
    <row r="4162" spans="10:10" x14ac:dyDescent="0.3">
      <c r="J4162" s="1"/>
    </row>
    <row r="4163" spans="10:10" x14ac:dyDescent="0.3">
      <c r="J4163" s="1"/>
    </row>
    <row r="4164" spans="10:10" x14ac:dyDescent="0.3">
      <c r="J4164" s="1"/>
    </row>
    <row r="4165" spans="10:10" x14ac:dyDescent="0.3">
      <c r="J4165" s="1"/>
    </row>
    <row r="4166" spans="10:10" x14ac:dyDescent="0.3">
      <c r="J4166" s="1"/>
    </row>
    <row r="4167" spans="10:10" x14ac:dyDescent="0.3">
      <c r="J4167" s="1"/>
    </row>
    <row r="4168" spans="10:10" x14ac:dyDescent="0.3">
      <c r="J4168" s="1"/>
    </row>
    <row r="4169" spans="10:10" x14ac:dyDescent="0.3">
      <c r="J4169" s="1"/>
    </row>
    <row r="4170" spans="10:10" x14ac:dyDescent="0.3">
      <c r="J4170" s="1"/>
    </row>
    <row r="4171" spans="10:10" x14ac:dyDescent="0.3">
      <c r="J4171" s="1"/>
    </row>
    <row r="4172" spans="10:10" x14ac:dyDescent="0.3">
      <c r="J4172" s="1"/>
    </row>
    <row r="4173" spans="10:10" x14ac:dyDescent="0.3">
      <c r="J4173" s="1"/>
    </row>
    <row r="4174" spans="10:10" x14ac:dyDescent="0.3">
      <c r="J4174" s="1"/>
    </row>
    <row r="4175" spans="10:10" x14ac:dyDescent="0.3">
      <c r="J4175" s="1"/>
    </row>
    <row r="4176" spans="10:10" x14ac:dyDescent="0.3">
      <c r="J4176" s="1"/>
    </row>
    <row r="4177" spans="10:10" x14ac:dyDescent="0.3">
      <c r="J4177" s="1"/>
    </row>
    <row r="4178" spans="10:10" x14ac:dyDescent="0.3">
      <c r="J4178" s="1"/>
    </row>
    <row r="4179" spans="10:10" x14ac:dyDescent="0.3">
      <c r="J4179" s="1"/>
    </row>
    <row r="4180" spans="10:10" x14ac:dyDescent="0.3">
      <c r="J4180" s="1"/>
    </row>
    <row r="4181" spans="10:10" x14ac:dyDescent="0.3">
      <c r="J4181" s="1"/>
    </row>
    <row r="4182" spans="10:10" x14ac:dyDescent="0.3">
      <c r="J4182" s="1"/>
    </row>
    <row r="4183" spans="10:10" x14ac:dyDescent="0.3">
      <c r="J4183" s="1"/>
    </row>
    <row r="4184" spans="10:10" x14ac:dyDescent="0.3">
      <c r="J4184" s="1"/>
    </row>
    <row r="4185" spans="10:10" x14ac:dyDescent="0.3">
      <c r="J4185" s="1"/>
    </row>
    <row r="4186" spans="10:10" x14ac:dyDescent="0.3">
      <c r="J4186" s="1"/>
    </row>
    <row r="4187" spans="10:10" x14ac:dyDescent="0.3">
      <c r="J4187" s="1"/>
    </row>
    <row r="4188" spans="10:10" x14ac:dyDescent="0.3">
      <c r="J4188" s="1"/>
    </row>
    <row r="4189" spans="10:10" x14ac:dyDescent="0.3">
      <c r="J4189" s="1"/>
    </row>
    <row r="4190" spans="10:10" x14ac:dyDescent="0.3">
      <c r="J4190" s="1"/>
    </row>
    <row r="4191" spans="10:10" x14ac:dyDescent="0.3">
      <c r="J4191" s="1"/>
    </row>
    <row r="4192" spans="10:10" x14ac:dyDescent="0.3">
      <c r="J4192" s="1"/>
    </row>
    <row r="4193" spans="10:10" x14ac:dyDescent="0.3">
      <c r="J4193" s="1"/>
    </row>
    <row r="4194" spans="10:10" x14ac:dyDescent="0.3">
      <c r="J4194" s="1"/>
    </row>
    <row r="4195" spans="10:10" x14ac:dyDescent="0.3">
      <c r="J4195" s="1"/>
    </row>
    <row r="4196" spans="10:10" x14ac:dyDescent="0.3">
      <c r="J4196" s="1"/>
    </row>
    <row r="4197" spans="10:10" x14ac:dyDescent="0.3">
      <c r="J4197" s="1"/>
    </row>
    <row r="4198" spans="10:10" x14ac:dyDescent="0.3">
      <c r="J4198" s="1"/>
    </row>
    <row r="4199" spans="10:10" x14ac:dyDescent="0.3">
      <c r="J4199" s="1"/>
    </row>
    <row r="4200" spans="10:10" x14ac:dyDescent="0.3">
      <c r="J4200" s="1"/>
    </row>
    <row r="4201" spans="10:10" x14ac:dyDescent="0.3">
      <c r="J4201" s="1"/>
    </row>
    <row r="4202" spans="10:10" x14ac:dyDescent="0.3">
      <c r="J4202" s="1"/>
    </row>
    <row r="4203" spans="10:10" x14ac:dyDescent="0.3">
      <c r="J4203" s="1"/>
    </row>
    <row r="4204" spans="10:10" x14ac:dyDescent="0.3">
      <c r="J4204" s="1"/>
    </row>
    <row r="4205" spans="10:10" x14ac:dyDescent="0.3">
      <c r="J4205" s="1"/>
    </row>
    <row r="4206" spans="10:10" x14ac:dyDescent="0.3">
      <c r="J4206" s="1"/>
    </row>
    <row r="4207" spans="10:10" x14ac:dyDescent="0.3">
      <c r="J4207" s="1"/>
    </row>
    <row r="4208" spans="10:10" x14ac:dyDescent="0.3">
      <c r="J4208" s="1"/>
    </row>
    <row r="4209" spans="10:10" x14ac:dyDescent="0.3">
      <c r="J4209" s="1"/>
    </row>
    <row r="4210" spans="10:10" x14ac:dyDescent="0.3">
      <c r="J4210" s="1"/>
    </row>
    <row r="4211" spans="10:10" x14ac:dyDescent="0.3">
      <c r="J4211" s="1"/>
    </row>
    <row r="4212" spans="10:10" x14ac:dyDescent="0.3">
      <c r="J4212" s="1"/>
    </row>
    <row r="4213" spans="10:10" x14ac:dyDescent="0.3">
      <c r="J4213" s="1"/>
    </row>
    <row r="4214" spans="10:10" x14ac:dyDescent="0.3">
      <c r="J4214" s="1"/>
    </row>
    <row r="4215" spans="10:10" x14ac:dyDescent="0.3">
      <c r="J4215" s="1"/>
    </row>
    <row r="4216" spans="10:10" x14ac:dyDescent="0.3">
      <c r="J4216" s="1"/>
    </row>
    <row r="4217" spans="10:10" x14ac:dyDescent="0.3">
      <c r="J4217" s="1"/>
    </row>
    <row r="4218" spans="10:10" x14ac:dyDescent="0.3">
      <c r="J4218" s="1"/>
    </row>
    <row r="4219" spans="10:10" x14ac:dyDescent="0.3">
      <c r="J4219" s="1"/>
    </row>
    <row r="4220" spans="10:10" x14ac:dyDescent="0.3">
      <c r="J4220" s="1"/>
    </row>
    <row r="4221" spans="10:10" x14ac:dyDescent="0.3">
      <c r="J4221" s="1"/>
    </row>
    <row r="4222" spans="10:10" x14ac:dyDescent="0.3">
      <c r="J4222" s="1"/>
    </row>
    <row r="4223" spans="10:10" x14ac:dyDescent="0.3">
      <c r="J4223" s="1"/>
    </row>
    <row r="4224" spans="10:10" x14ac:dyDescent="0.3">
      <c r="J4224" s="1"/>
    </row>
    <row r="4225" spans="10:10" x14ac:dyDescent="0.3">
      <c r="J4225" s="1"/>
    </row>
    <row r="4226" spans="10:10" x14ac:dyDescent="0.3">
      <c r="J4226" s="1"/>
    </row>
    <row r="4227" spans="10:10" x14ac:dyDescent="0.3">
      <c r="J4227" s="1"/>
    </row>
    <row r="4228" spans="10:10" x14ac:dyDescent="0.3">
      <c r="J4228" s="1"/>
    </row>
    <row r="4229" spans="10:10" x14ac:dyDescent="0.3">
      <c r="J4229" s="1"/>
    </row>
    <row r="4230" spans="10:10" x14ac:dyDescent="0.3">
      <c r="J4230" s="1"/>
    </row>
    <row r="4231" spans="10:10" x14ac:dyDescent="0.3">
      <c r="J4231" s="1"/>
    </row>
    <row r="4232" spans="10:10" x14ac:dyDescent="0.3">
      <c r="J4232" s="1"/>
    </row>
    <row r="4233" spans="10:10" x14ac:dyDescent="0.3">
      <c r="J4233" s="1"/>
    </row>
    <row r="4234" spans="10:10" x14ac:dyDescent="0.3">
      <c r="J4234" s="1"/>
    </row>
    <row r="4235" spans="10:10" x14ac:dyDescent="0.3">
      <c r="J4235" s="1"/>
    </row>
    <row r="4236" spans="10:10" x14ac:dyDescent="0.3">
      <c r="J4236" s="1"/>
    </row>
    <row r="4237" spans="10:10" x14ac:dyDescent="0.3">
      <c r="J4237" s="1"/>
    </row>
    <row r="4238" spans="10:10" x14ac:dyDescent="0.3">
      <c r="J4238" s="1"/>
    </row>
    <row r="4239" spans="10:10" x14ac:dyDescent="0.3">
      <c r="J4239" s="1"/>
    </row>
    <row r="4240" spans="10:10" x14ac:dyDescent="0.3">
      <c r="J4240" s="1"/>
    </row>
    <row r="4241" spans="10:10" x14ac:dyDescent="0.3">
      <c r="J4241" s="1"/>
    </row>
    <row r="4242" spans="10:10" x14ac:dyDescent="0.3">
      <c r="J4242" s="1"/>
    </row>
    <row r="4243" spans="10:10" x14ac:dyDescent="0.3">
      <c r="J4243" s="1"/>
    </row>
    <row r="4244" spans="10:10" x14ac:dyDescent="0.3">
      <c r="J4244" s="1"/>
    </row>
    <row r="4245" spans="10:10" x14ac:dyDescent="0.3">
      <c r="J4245" s="1"/>
    </row>
    <row r="4246" spans="10:10" x14ac:dyDescent="0.3">
      <c r="J4246" s="1"/>
    </row>
    <row r="4247" spans="10:10" x14ac:dyDescent="0.3">
      <c r="J4247" s="1"/>
    </row>
    <row r="4248" spans="10:10" x14ac:dyDescent="0.3">
      <c r="J4248" s="1"/>
    </row>
    <row r="4249" spans="10:10" x14ac:dyDescent="0.3">
      <c r="J4249" s="1"/>
    </row>
    <row r="4250" spans="10:10" x14ac:dyDescent="0.3">
      <c r="J4250" s="1"/>
    </row>
    <row r="4251" spans="10:10" x14ac:dyDescent="0.3">
      <c r="J4251" s="1"/>
    </row>
    <row r="4252" spans="10:10" x14ac:dyDescent="0.3">
      <c r="J4252" s="1"/>
    </row>
    <row r="4253" spans="10:10" x14ac:dyDescent="0.3">
      <c r="J4253" s="1"/>
    </row>
    <row r="4254" spans="10:10" x14ac:dyDescent="0.3">
      <c r="J4254" s="1"/>
    </row>
    <row r="4255" spans="10:10" x14ac:dyDescent="0.3">
      <c r="J4255" s="1"/>
    </row>
    <row r="4256" spans="10:10" x14ac:dyDescent="0.3">
      <c r="J4256" s="1"/>
    </row>
    <row r="4257" spans="10:10" x14ac:dyDescent="0.3">
      <c r="J4257" s="1"/>
    </row>
    <row r="4258" spans="10:10" x14ac:dyDescent="0.3">
      <c r="J4258" s="1"/>
    </row>
    <row r="4259" spans="10:10" x14ac:dyDescent="0.3">
      <c r="J4259" s="1"/>
    </row>
    <row r="4260" spans="10:10" x14ac:dyDescent="0.3">
      <c r="J4260" s="1"/>
    </row>
    <row r="4261" spans="10:10" x14ac:dyDescent="0.3">
      <c r="J4261" s="1"/>
    </row>
    <row r="4262" spans="10:10" x14ac:dyDescent="0.3">
      <c r="J4262" s="1"/>
    </row>
    <row r="4263" spans="10:10" x14ac:dyDescent="0.3">
      <c r="J4263" s="1"/>
    </row>
    <row r="4264" spans="10:10" x14ac:dyDescent="0.3">
      <c r="J4264" s="1"/>
    </row>
    <row r="4265" spans="10:10" x14ac:dyDescent="0.3">
      <c r="J4265" s="1"/>
    </row>
    <row r="4266" spans="10:10" x14ac:dyDescent="0.3">
      <c r="J4266" s="1"/>
    </row>
    <row r="4267" spans="10:10" x14ac:dyDescent="0.3">
      <c r="J4267" s="1"/>
    </row>
    <row r="4268" spans="10:10" x14ac:dyDescent="0.3">
      <c r="J4268" s="1"/>
    </row>
    <row r="4269" spans="10:10" x14ac:dyDescent="0.3">
      <c r="J4269" s="1"/>
    </row>
    <row r="4270" spans="10:10" x14ac:dyDescent="0.3">
      <c r="J4270" s="1"/>
    </row>
    <row r="4271" spans="10:10" x14ac:dyDescent="0.3">
      <c r="J4271" s="1"/>
    </row>
    <row r="4272" spans="10:10" x14ac:dyDescent="0.3">
      <c r="J4272" s="1"/>
    </row>
    <row r="4273" spans="10:10" x14ac:dyDescent="0.3">
      <c r="J4273" s="1"/>
    </row>
    <row r="4274" spans="10:10" x14ac:dyDescent="0.3">
      <c r="J4274" s="1"/>
    </row>
    <row r="4275" spans="10:10" x14ac:dyDescent="0.3">
      <c r="J4275" s="1"/>
    </row>
    <row r="4276" spans="10:10" x14ac:dyDescent="0.3">
      <c r="J4276" s="1"/>
    </row>
    <row r="4277" spans="10:10" x14ac:dyDescent="0.3">
      <c r="J4277" s="1"/>
    </row>
    <row r="4278" spans="10:10" x14ac:dyDescent="0.3">
      <c r="J4278" s="1"/>
    </row>
    <row r="4279" spans="10:10" x14ac:dyDescent="0.3">
      <c r="J4279" s="1"/>
    </row>
    <row r="4280" spans="10:10" x14ac:dyDescent="0.3">
      <c r="J4280" s="1"/>
    </row>
    <row r="4281" spans="10:10" x14ac:dyDescent="0.3">
      <c r="J4281" s="1"/>
    </row>
    <row r="4282" spans="10:10" x14ac:dyDescent="0.3">
      <c r="J4282" s="1"/>
    </row>
    <row r="4283" spans="10:10" x14ac:dyDescent="0.3">
      <c r="J4283" s="1"/>
    </row>
    <row r="4284" spans="10:10" x14ac:dyDescent="0.3">
      <c r="J4284" s="1"/>
    </row>
    <row r="4285" spans="10:10" x14ac:dyDescent="0.3">
      <c r="J4285" s="1"/>
    </row>
    <row r="4286" spans="10:10" x14ac:dyDescent="0.3">
      <c r="J4286" s="1"/>
    </row>
    <row r="4287" spans="10:10" x14ac:dyDescent="0.3">
      <c r="J4287" s="1"/>
    </row>
    <row r="4288" spans="10:10" x14ac:dyDescent="0.3">
      <c r="J4288" s="1"/>
    </row>
    <row r="4289" spans="10:10" x14ac:dyDescent="0.3">
      <c r="J4289" s="1"/>
    </row>
    <row r="4290" spans="10:10" x14ac:dyDescent="0.3">
      <c r="J4290" s="1"/>
    </row>
    <row r="4291" spans="10:10" x14ac:dyDescent="0.3">
      <c r="J4291" s="1"/>
    </row>
    <row r="4292" spans="10:10" x14ac:dyDescent="0.3">
      <c r="J4292" s="1"/>
    </row>
    <row r="4293" spans="10:10" x14ac:dyDescent="0.3">
      <c r="J4293" s="1"/>
    </row>
    <row r="4294" spans="10:10" x14ac:dyDescent="0.3">
      <c r="J4294" s="1"/>
    </row>
    <row r="4295" spans="10:10" x14ac:dyDescent="0.3">
      <c r="J4295" s="1"/>
    </row>
    <row r="4296" spans="10:10" x14ac:dyDescent="0.3">
      <c r="J4296" s="1"/>
    </row>
    <row r="4297" spans="10:10" x14ac:dyDescent="0.3">
      <c r="J4297" s="1"/>
    </row>
    <row r="4298" spans="10:10" x14ac:dyDescent="0.3">
      <c r="J4298" s="1"/>
    </row>
    <row r="4299" spans="10:10" x14ac:dyDescent="0.3">
      <c r="J4299" s="1"/>
    </row>
    <row r="4300" spans="10:10" x14ac:dyDescent="0.3">
      <c r="J4300" s="1"/>
    </row>
    <row r="4301" spans="10:10" x14ac:dyDescent="0.3">
      <c r="J4301" s="1"/>
    </row>
    <row r="4302" spans="10:10" x14ac:dyDescent="0.3">
      <c r="J4302" s="1"/>
    </row>
    <row r="4303" spans="10:10" x14ac:dyDescent="0.3">
      <c r="J4303" s="1"/>
    </row>
    <row r="4304" spans="10:10" x14ac:dyDescent="0.3">
      <c r="J4304" s="1"/>
    </row>
    <row r="4305" spans="10:10" x14ac:dyDescent="0.3">
      <c r="J4305" s="1"/>
    </row>
    <row r="4306" spans="10:10" x14ac:dyDescent="0.3">
      <c r="J4306" s="1"/>
    </row>
    <row r="4307" spans="10:10" x14ac:dyDescent="0.3">
      <c r="J4307" s="1"/>
    </row>
    <row r="4308" spans="10:10" x14ac:dyDescent="0.3">
      <c r="J4308" s="1"/>
    </row>
    <row r="4309" spans="10:10" x14ac:dyDescent="0.3">
      <c r="J4309" s="1"/>
    </row>
    <row r="4310" spans="10:10" x14ac:dyDescent="0.3">
      <c r="J4310" s="1"/>
    </row>
    <row r="4311" spans="10:10" x14ac:dyDescent="0.3">
      <c r="J4311" s="1"/>
    </row>
    <row r="4312" spans="10:10" x14ac:dyDescent="0.3">
      <c r="J4312" s="1"/>
    </row>
    <row r="4313" spans="10:10" x14ac:dyDescent="0.3">
      <c r="J4313" s="1"/>
    </row>
    <row r="4314" spans="10:10" x14ac:dyDescent="0.3">
      <c r="J4314" s="1"/>
    </row>
    <row r="4315" spans="10:10" x14ac:dyDescent="0.3">
      <c r="J4315" s="1"/>
    </row>
    <row r="4316" spans="10:10" x14ac:dyDescent="0.3">
      <c r="J4316" s="1"/>
    </row>
    <row r="4317" spans="10:10" x14ac:dyDescent="0.3">
      <c r="J4317" s="1"/>
    </row>
    <row r="4318" spans="10:10" x14ac:dyDescent="0.3">
      <c r="J4318" s="1"/>
    </row>
    <row r="4319" spans="10:10" x14ac:dyDescent="0.3">
      <c r="J4319" s="1"/>
    </row>
    <row r="4320" spans="10:10" x14ac:dyDescent="0.3">
      <c r="J4320" s="1"/>
    </row>
    <row r="4321" spans="10:10" x14ac:dyDescent="0.3">
      <c r="J4321" s="1"/>
    </row>
    <row r="4322" spans="10:10" x14ac:dyDescent="0.3">
      <c r="J4322" s="1"/>
    </row>
    <row r="4323" spans="10:10" x14ac:dyDescent="0.3">
      <c r="J4323" s="1"/>
    </row>
    <row r="4324" spans="10:10" x14ac:dyDescent="0.3">
      <c r="J4324" s="1"/>
    </row>
    <row r="4325" spans="10:10" x14ac:dyDescent="0.3">
      <c r="J4325" s="1"/>
    </row>
    <row r="4326" spans="10:10" x14ac:dyDescent="0.3">
      <c r="J4326" s="1"/>
    </row>
    <row r="4327" spans="10:10" x14ac:dyDescent="0.3">
      <c r="J4327" s="1"/>
    </row>
    <row r="4328" spans="10:10" x14ac:dyDescent="0.3">
      <c r="J4328" s="1"/>
    </row>
    <row r="4329" spans="10:10" x14ac:dyDescent="0.3">
      <c r="J4329" s="1"/>
    </row>
    <row r="4330" spans="10:10" x14ac:dyDescent="0.3">
      <c r="J4330" s="1"/>
    </row>
    <row r="4331" spans="10:10" x14ac:dyDescent="0.3">
      <c r="J4331" s="1"/>
    </row>
    <row r="4332" spans="10:10" x14ac:dyDescent="0.3">
      <c r="J4332" s="1"/>
    </row>
    <row r="4333" spans="10:10" x14ac:dyDescent="0.3">
      <c r="J4333" s="1"/>
    </row>
    <row r="4334" spans="10:10" x14ac:dyDescent="0.3">
      <c r="J4334" s="1"/>
    </row>
    <row r="4335" spans="10:10" x14ac:dyDescent="0.3">
      <c r="J4335" s="1"/>
    </row>
    <row r="4336" spans="10:10" x14ac:dyDescent="0.3">
      <c r="J4336" s="1"/>
    </row>
    <row r="4337" spans="10:10" x14ac:dyDescent="0.3">
      <c r="J4337" s="1"/>
    </row>
    <row r="4338" spans="10:10" x14ac:dyDescent="0.3">
      <c r="J4338" s="1"/>
    </row>
    <row r="4339" spans="10:10" x14ac:dyDescent="0.3">
      <c r="J4339" s="1"/>
    </row>
    <row r="4340" spans="10:10" x14ac:dyDescent="0.3">
      <c r="J4340" s="1"/>
    </row>
    <row r="4341" spans="10:10" x14ac:dyDescent="0.3">
      <c r="J4341" s="1"/>
    </row>
    <row r="4342" spans="10:10" x14ac:dyDescent="0.3">
      <c r="J4342" s="1"/>
    </row>
    <row r="4343" spans="10:10" x14ac:dyDescent="0.3">
      <c r="J4343" s="1"/>
    </row>
    <row r="4344" spans="10:10" x14ac:dyDescent="0.3">
      <c r="J4344" s="1"/>
    </row>
    <row r="4345" spans="10:10" x14ac:dyDescent="0.3">
      <c r="J4345" s="1"/>
    </row>
    <row r="4346" spans="10:10" x14ac:dyDescent="0.3">
      <c r="J4346" s="1"/>
    </row>
    <row r="4347" spans="10:10" x14ac:dyDescent="0.3">
      <c r="J4347" s="1"/>
    </row>
    <row r="4348" spans="10:10" x14ac:dyDescent="0.3">
      <c r="J4348" s="1"/>
    </row>
    <row r="4349" spans="10:10" x14ac:dyDescent="0.3">
      <c r="J4349" s="1"/>
    </row>
    <row r="4350" spans="10:10" x14ac:dyDescent="0.3">
      <c r="J4350" s="1"/>
    </row>
    <row r="4351" spans="10:10" x14ac:dyDescent="0.3">
      <c r="J4351" s="1"/>
    </row>
    <row r="4352" spans="10:10" x14ac:dyDescent="0.3">
      <c r="J4352" s="1"/>
    </row>
    <row r="4353" spans="10:10" x14ac:dyDescent="0.3">
      <c r="J4353" s="1"/>
    </row>
    <row r="4354" spans="10:10" x14ac:dyDescent="0.3">
      <c r="J4354" s="1"/>
    </row>
    <row r="4355" spans="10:10" x14ac:dyDescent="0.3">
      <c r="J4355" s="1"/>
    </row>
    <row r="4356" spans="10:10" x14ac:dyDescent="0.3">
      <c r="J4356" s="1"/>
    </row>
    <row r="4357" spans="10:10" x14ac:dyDescent="0.3">
      <c r="J4357" s="1"/>
    </row>
    <row r="4358" spans="10:10" x14ac:dyDescent="0.3">
      <c r="J4358" s="1"/>
    </row>
    <row r="4359" spans="10:10" x14ac:dyDescent="0.3">
      <c r="J4359" s="1"/>
    </row>
    <row r="4360" spans="10:10" x14ac:dyDescent="0.3">
      <c r="J4360" s="1"/>
    </row>
    <row r="4361" spans="10:10" x14ac:dyDescent="0.3">
      <c r="J4361" s="1"/>
    </row>
    <row r="4362" spans="10:10" x14ac:dyDescent="0.3">
      <c r="J4362" s="1"/>
    </row>
    <row r="4363" spans="10:10" x14ac:dyDescent="0.3">
      <c r="J4363" s="1"/>
    </row>
    <row r="4364" spans="10:10" x14ac:dyDescent="0.3">
      <c r="J4364" s="1"/>
    </row>
    <row r="4365" spans="10:10" x14ac:dyDescent="0.3">
      <c r="J4365" s="1"/>
    </row>
    <row r="4366" spans="10:10" x14ac:dyDescent="0.3">
      <c r="J4366" s="1"/>
    </row>
    <row r="4367" spans="10:10" x14ac:dyDescent="0.3">
      <c r="J4367" s="1"/>
    </row>
    <row r="4368" spans="10:10" x14ac:dyDescent="0.3">
      <c r="J4368" s="1"/>
    </row>
    <row r="4369" spans="10:10" x14ac:dyDescent="0.3">
      <c r="J4369" s="1"/>
    </row>
    <row r="4370" spans="10:10" x14ac:dyDescent="0.3">
      <c r="J4370" s="1"/>
    </row>
    <row r="4371" spans="10:10" x14ac:dyDescent="0.3">
      <c r="J4371" s="1"/>
    </row>
    <row r="4372" spans="10:10" x14ac:dyDescent="0.3">
      <c r="J4372" s="1"/>
    </row>
    <row r="4373" spans="10:10" x14ac:dyDescent="0.3">
      <c r="J4373" s="1"/>
    </row>
    <row r="4374" spans="10:10" x14ac:dyDescent="0.3">
      <c r="J4374" s="1"/>
    </row>
    <row r="4375" spans="10:10" x14ac:dyDescent="0.3">
      <c r="J4375" s="1"/>
    </row>
    <row r="4376" spans="10:10" x14ac:dyDescent="0.3">
      <c r="J4376" s="1"/>
    </row>
    <row r="4377" spans="10:10" x14ac:dyDescent="0.3">
      <c r="J4377" s="1"/>
    </row>
    <row r="4378" spans="10:10" x14ac:dyDescent="0.3">
      <c r="J4378" s="1"/>
    </row>
    <row r="4379" spans="10:10" x14ac:dyDescent="0.3">
      <c r="J4379" s="1"/>
    </row>
    <row r="4380" spans="10:10" x14ac:dyDescent="0.3">
      <c r="J4380" s="1"/>
    </row>
    <row r="4381" spans="10:10" x14ac:dyDescent="0.3">
      <c r="J4381" s="1"/>
    </row>
    <row r="4382" spans="10:10" x14ac:dyDescent="0.3">
      <c r="J4382" s="1"/>
    </row>
    <row r="4383" spans="10:10" x14ac:dyDescent="0.3">
      <c r="J4383" s="1"/>
    </row>
    <row r="4384" spans="10:10" x14ac:dyDescent="0.3">
      <c r="J4384" s="1"/>
    </row>
    <row r="4385" spans="10:10" x14ac:dyDescent="0.3">
      <c r="J4385" s="1"/>
    </row>
    <row r="4386" spans="10:10" x14ac:dyDescent="0.3">
      <c r="J4386" s="1"/>
    </row>
    <row r="4387" spans="10:10" x14ac:dyDescent="0.3">
      <c r="J4387" s="1"/>
    </row>
    <row r="4388" spans="10:10" x14ac:dyDescent="0.3">
      <c r="J4388" s="1"/>
    </row>
    <row r="4389" spans="10:10" x14ac:dyDescent="0.3">
      <c r="J4389" s="1"/>
    </row>
    <row r="4390" spans="10:10" x14ac:dyDescent="0.3">
      <c r="J4390" s="1"/>
    </row>
    <row r="4391" spans="10:10" x14ac:dyDescent="0.3">
      <c r="J4391" s="1"/>
    </row>
    <row r="4392" spans="10:10" x14ac:dyDescent="0.3">
      <c r="J4392" s="1"/>
    </row>
    <row r="4393" spans="10:10" x14ac:dyDescent="0.3">
      <c r="J4393" s="1"/>
    </row>
    <row r="4394" spans="10:10" x14ac:dyDescent="0.3">
      <c r="J4394" s="1"/>
    </row>
    <row r="4395" spans="10:10" x14ac:dyDescent="0.3">
      <c r="J4395" s="1"/>
    </row>
    <row r="4396" spans="10:10" x14ac:dyDescent="0.3">
      <c r="J4396" s="1"/>
    </row>
    <row r="4397" spans="10:10" x14ac:dyDescent="0.3">
      <c r="J4397" s="1"/>
    </row>
    <row r="4398" spans="10:10" x14ac:dyDescent="0.3">
      <c r="J4398" s="1"/>
    </row>
    <row r="4399" spans="10:10" x14ac:dyDescent="0.3">
      <c r="J4399" s="1"/>
    </row>
    <row r="4400" spans="10:10" x14ac:dyDescent="0.3">
      <c r="J4400" s="1"/>
    </row>
    <row r="4401" spans="10:10" x14ac:dyDescent="0.3">
      <c r="J4401" s="1"/>
    </row>
    <row r="4402" spans="10:10" x14ac:dyDescent="0.3">
      <c r="J4402" s="1"/>
    </row>
    <row r="4403" spans="10:10" x14ac:dyDescent="0.3">
      <c r="J4403" s="1"/>
    </row>
    <row r="4404" spans="10:10" x14ac:dyDescent="0.3">
      <c r="J4404" s="1"/>
    </row>
    <row r="4405" spans="10:10" x14ac:dyDescent="0.3">
      <c r="J4405" s="1"/>
    </row>
    <row r="4406" spans="10:10" x14ac:dyDescent="0.3">
      <c r="J4406" s="1"/>
    </row>
    <row r="4407" spans="10:10" x14ac:dyDescent="0.3">
      <c r="J4407" s="1"/>
    </row>
    <row r="4408" spans="10:10" x14ac:dyDescent="0.3">
      <c r="J4408" s="1"/>
    </row>
    <row r="4409" spans="10:10" x14ac:dyDescent="0.3">
      <c r="J4409" s="1"/>
    </row>
    <row r="4410" spans="10:10" x14ac:dyDescent="0.3">
      <c r="J4410" s="1"/>
    </row>
    <row r="4411" spans="10:10" x14ac:dyDescent="0.3">
      <c r="J4411" s="1"/>
    </row>
    <row r="4412" spans="10:10" x14ac:dyDescent="0.3">
      <c r="J4412" s="1"/>
    </row>
    <row r="4413" spans="10:10" x14ac:dyDescent="0.3">
      <c r="J4413" s="1"/>
    </row>
    <row r="4414" spans="10:10" x14ac:dyDescent="0.3">
      <c r="J4414" s="1"/>
    </row>
    <row r="4415" spans="10:10" x14ac:dyDescent="0.3">
      <c r="J4415" s="1"/>
    </row>
    <row r="4416" spans="10:10" x14ac:dyDescent="0.3">
      <c r="J4416" s="1"/>
    </row>
    <row r="4417" spans="10:10" x14ac:dyDescent="0.3">
      <c r="J4417" s="1"/>
    </row>
    <row r="4418" spans="10:10" x14ac:dyDescent="0.3">
      <c r="J4418" s="1"/>
    </row>
    <row r="4419" spans="10:10" x14ac:dyDescent="0.3">
      <c r="J4419" s="1"/>
    </row>
    <row r="4420" spans="10:10" x14ac:dyDescent="0.3">
      <c r="J4420" s="1"/>
    </row>
    <row r="4421" spans="10:10" x14ac:dyDescent="0.3">
      <c r="J4421" s="1"/>
    </row>
    <row r="4422" spans="10:10" x14ac:dyDescent="0.3">
      <c r="J4422" s="1"/>
    </row>
    <row r="4423" spans="10:10" x14ac:dyDescent="0.3">
      <c r="J4423" s="1"/>
    </row>
    <row r="4424" spans="10:10" x14ac:dyDescent="0.3">
      <c r="J4424" s="1"/>
    </row>
    <row r="4425" spans="10:10" x14ac:dyDescent="0.3">
      <c r="J4425" s="1"/>
    </row>
    <row r="4426" spans="10:10" x14ac:dyDescent="0.3">
      <c r="J4426" s="1"/>
    </row>
    <row r="4427" spans="10:10" x14ac:dyDescent="0.3">
      <c r="J4427" s="1"/>
    </row>
    <row r="4428" spans="10:10" x14ac:dyDescent="0.3">
      <c r="J4428" s="1"/>
    </row>
    <row r="4429" spans="10:10" x14ac:dyDescent="0.3">
      <c r="J4429" s="1"/>
    </row>
    <row r="4430" spans="10:10" x14ac:dyDescent="0.3">
      <c r="J4430" s="1"/>
    </row>
    <row r="4431" spans="10:10" x14ac:dyDescent="0.3">
      <c r="J4431" s="1"/>
    </row>
    <row r="4432" spans="10:10" x14ac:dyDescent="0.3">
      <c r="J4432" s="1"/>
    </row>
    <row r="4433" spans="10:10" x14ac:dyDescent="0.3">
      <c r="J4433" s="1"/>
    </row>
    <row r="4434" spans="10:10" x14ac:dyDescent="0.3">
      <c r="J4434" s="1"/>
    </row>
    <row r="4435" spans="10:10" x14ac:dyDescent="0.3">
      <c r="J4435" s="1"/>
    </row>
    <row r="4436" spans="10:10" x14ac:dyDescent="0.3">
      <c r="J4436" s="1"/>
    </row>
    <row r="4437" spans="10:10" x14ac:dyDescent="0.3">
      <c r="J4437" s="1"/>
    </row>
    <row r="4438" spans="10:10" x14ac:dyDescent="0.3">
      <c r="J4438" s="1"/>
    </row>
    <row r="4439" spans="10:10" x14ac:dyDescent="0.3">
      <c r="J4439" s="1"/>
    </row>
    <row r="4440" spans="10:10" x14ac:dyDescent="0.3">
      <c r="J4440" s="1"/>
    </row>
    <row r="4441" spans="10:10" x14ac:dyDescent="0.3">
      <c r="J4441" s="1"/>
    </row>
    <row r="4442" spans="10:10" x14ac:dyDescent="0.3">
      <c r="J4442" s="1"/>
    </row>
    <row r="4443" spans="10:10" x14ac:dyDescent="0.3">
      <c r="J4443" s="1"/>
    </row>
    <row r="4444" spans="10:10" x14ac:dyDescent="0.3">
      <c r="J4444" s="1"/>
    </row>
    <row r="4445" spans="10:10" x14ac:dyDescent="0.3">
      <c r="J4445" s="1"/>
    </row>
    <row r="4446" spans="10:10" x14ac:dyDescent="0.3">
      <c r="J4446" s="1"/>
    </row>
    <row r="4447" spans="10:10" x14ac:dyDescent="0.3">
      <c r="J4447" s="1"/>
    </row>
    <row r="4448" spans="10:10" x14ac:dyDescent="0.3">
      <c r="J4448" s="1"/>
    </row>
    <row r="4449" spans="10:10" x14ac:dyDescent="0.3">
      <c r="J4449" s="1"/>
    </row>
    <row r="4450" spans="10:10" x14ac:dyDescent="0.3">
      <c r="J4450" s="1"/>
    </row>
    <row r="4451" spans="10:10" x14ac:dyDescent="0.3">
      <c r="J4451" s="1"/>
    </row>
    <row r="4452" spans="10:10" x14ac:dyDescent="0.3">
      <c r="J4452" s="1"/>
    </row>
    <row r="4453" spans="10:10" x14ac:dyDescent="0.3">
      <c r="J4453" s="1"/>
    </row>
    <row r="4454" spans="10:10" x14ac:dyDescent="0.3">
      <c r="J4454" s="1"/>
    </row>
    <row r="4455" spans="10:10" x14ac:dyDescent="0.3">
      <c r="J4455" s="1"/>
    </row>
    <row r="4456" spans="10:10" x14ac:dyDescent="0.3">
      <c r="J4456" s="1"/>
    </row>
    <row r="4457" spans="10:10" x14ac:dyDescent="0.3">
      <c r="J4457" s="1"/>
    </row>
    <row r="4458" spans="10:10" x14ac:dyDescent="0.3">
      <c r="J4458" s="1"/>
    </row>
    <row r="4459" spans="10:10" x14ac:dyDescent="0.3">
      <c r="J4459" s="1"/>
    </row>
    <row r="4460" spans="10:10" x14ac:dyDescent="0.3">
      <c r="J4460" s="1"/>
    </row>
    <row r="4461" spans="10:10" x14ac:dyDescent="0.3">
      <c r="J4461" s="1"/>
    </row>
    <row r="4462" spans="10:10" x14ac:dyDescent="0.3">
      <c r="J4462" s="1"/>
    </row>
    <row r="4463" spans="10:10" x14ac:dyDescent="0.3">
      <c r="J4463" s="1"/>
    </row>
    <row r="4464" spans="10:10" x14ac:dyDescent="0.3">
      <c r="J4464" s="1"/>
    </row>
    <row r="4465" spans="10:10" x14ac:dyDescent="0.3">
      <c r="J4465" s="1"/>
    </row>
    <row r="4466" spans="10:10" x14ac:dyDescent="0.3">
      <c r="J4466" s="1"/>
    </row>
    <row r="4467" spans="10:10" x14ac:dyDescent="0.3">
      <c r="J4467" s="1"/>
    </row>
    <row r="4468" spans="10:10" x14ac:dyDescent="0.3">
      <c r="J4468" s="1"/>
    </row>
    <row r="4469" spans="10:10" x14ac:dyDescent="0.3">
      <c r="J4469" s="1"/>
    </row>
    <row r="4470" spans="10:10" x14ac:dyDescent="0.3">
      <c r="J4470" s="1"/>
    </row>
    <row r="4471" spans="10:10" x14ac:dyDescent="0.3">
      <c r="J4471" s="1"/>
    </row>
    <row r="4472" spans="10:10" x14ac:dyDescent="0.3">
      <c r="J4472" s="1"/>
    </row>
    <row r="4473" spans="10:10" x14ac:dyDescent="0.3">
      <c r="J4473" s="1"/>
    </row>
    <row r="4474" spans="10:10" x14ac:dyDescent="0.3">
      <c r="J4474" s="1"/>
    </row>
    <row r="4475" spans="10:10" x14ac:dyDescent="0.3">
      <c r="J4475" s="1"/>
    </row>
    <row r="4476" spans="10:10" x14ac:dyDescent="0.3">
      <c r="J4476" s="1"/>
    </row>
    <row r="4477" spans="10:10" x14ac:dyDescent="0.3">
      <c r="J4477" s="1"/>
    </row>
    <row r="4478" spans="10:10" x14ac:dyDescent="0.3">
      <c r="J4478" s="1"/>
    </row>
    <row r="4479" spans="10:10" x14ac:dyDescent="0.3">
      <c r="J4479" s="1"/>
    </row>
    <row r="4480" spans="10:10" x14ac:dyDescent="0.3">
      <c r="J4480" s="1"/>
    </row>
    <row r="4481" spans="10:10" x14ac:dyDescent="0.3">
      <c r="J4481" s="1"/>
    </row>
    <row r="4482" spans="10:10" x14ac:dyDescent="0.3">
      <c r="J4482" s="1"/>
    </row>
    <row r="4483" spans="10:10" x14ac:dyDescent="0.3">
      <c r="J4483" s="1"/>
    </row>
    <row r="4484" spans="10:10" x14ac:dyDescent="0.3">
      <c r="J4484" s="1"/>
    </row>
    <row r="4485" spans="10:10" x14ac:dyDescent="0.3">
      <c r="J4485" s="1"/>
    </row>
    <row r="4486" spans="10:10" x14ac:dyDescent="0.3">
      <c r="J4486" s="1"/>
    </row>
    <row r="4487" spans="10:10" x14ac:dyDescent="0.3">
      <c r="J4487" s="1"/>
    </row>
    <row r="4488" spans="10:10" x14ac:dyDescent="0.3">
      <c r="J4488" s="1"/>
    </row>
    <row r="4489" spans="10:10" x14ac:dyDescent="0.3">
      <c r="J4489" s="1"/>
    </row>
    <row r="4490" spans="10:10" x14ac:dyDescent="0.3">
      <c r="J4490" s="1"/>
    </row>
    <row r="4491" spans="10:10" x14ac:dyDescent="0.3">
      <c r="J4491" s="1"/>
    </row>
    <row r="4492" spans="10:10" x14ac:dyDescent="0.3">
      <c r="J4492" s="1"/>
    </row>
    <row r="4493" spans="10:10" x14ac:dyDescent="0.3">
      <c r="J4493" s="1"/>
    </row>
    <row r="4494" spans="10:10" x14ac:dyDescent="0.3">
      <c r="J4494" s="1"/>
    </row>
    <row r="4495" spans="10:10" x14ac:dyDescent="0.3">
      <c r="J4495" s="1"/>
    </row>
    <row r="4496" spans="10:10" x14ac:dyDescent="0.3">
      <c r="J4496" s="1"/>
    </row>
    <row r="4497" spans="10:10" x14ac:dyDescent="0.3">
      <c r="J4497" s="1"/>
    </row>
    <row r="4498" spans="10:10" x14ac:dyDescent="0.3">
      <c r="J4498" s="1"/>
    </row>
    <row r="4499" spans="10:10" x14ac:dyDescent="0.3">
      <c r="J4499" s="1"/>
    </row>
    <row r="4500" spans="10:10" x14ac:dyDescent="0.3">
      <c r="J4500" s="1"/>
    </row>
    <row r="4501" spans="10:10" x14ac:dyDescent="0.3">
      <c r="J4501" s="1"/>
    </row>
    <row r="4502" spans="10:10" x14ac:dyDescent="0.3">
      <c r="J4502" s="1"/>
    </row>
    <row r="4503" spans="10:10" x14ac:dyDescent="0.3">
      <c r="J4503" s="1"/>
    </row>
    <row r="4504" spans="10:10" x14ac:dyDescent="0.3">
      <c r="J4504" s="1"/>
    </row>
    <row r="4505" spans="10:10" x14ac:dyDescent="0.3">
      <c r="J4505" s="1"/>
    </row>
    <row r="4506" spans="10:10" x14ac:dyDescent="0.3">
      <c r="J4506" s="1"/>
    </row>
    <row r="4507" spans="10:10" x14ac:dyDescent="0.3">
      <c r="J4507" s="1"/>
    </row>
    <row r="4508" spans="10:10" x14ac:dyDescent="0.3">
      <c r="J4508" s="1"/>
    </row>
    <row r="4509" spans="10:10" x14ac:dyDescent="0.3">
      <c r="J4509" s="1"/>
    </row>
    <row r="4510" spans="10:10" x14ac:dyDescent="0.3">
      <c r="J4510" s="1"/>
    </row>
    <row r="4511" spans="10:10" x14ac:dyDescent="0.3">
      <c r="J4511" s="1"/>
    </row>
    <row r="4512" spans="10:10" x14ac:dyDescent="0.3">
      <c r="J4512" s="1"/>
    </row>
    <row r="4513" spans="10:10" x14ac:dyDescent="0.3">
      <c r="J4513" s="1"/>
    </row>
    <row r="4514" spans="10:10" x14ac:dyDescent="0.3">
      <c r="J4514" s="1"/>
    </row>
    <row r="4515" spans="10:10" x14ac:dyDescent="0.3">
      <c r="J4515" s="1"/>
    </row>
    <row r="4516" spans="10:10" x14ac:dyDescent="0.3">
      <c r="J4516" s="1"/>
    </row>
    <row r="4517" spans="10:10" x14ac:dyDescent="0.3">
      <c r="J4517" s="1"/>
    </row>
    <row r="4518" spans="10:10" x14ac:dyDescent="0.3">
      <c r="J4518" s="1"/>
    </row>
    <row r="4519" spans="10:10" x14ac:dyDescent="0.3">
      <c r="J4519" s="1"/>
    </row>
    <row r="4520" spans="10:10" x14ac:dyDescent="0.3">
      <c r="J4520" s="1"/>
    </row>
    <row r="4521" spans="10:10" x14ac:dyDescent="0.3">
      <c r="J4521" s="1"/>
    </row>
    <row r="4522" spans="10:10" x14ac:dyDescent="0.3">
      <c r="J4522" s="1"/>
    </row>
    <row r="4523" spans="10:10" x14ac:dyDescent="0.3">
      <c r="J4523" s="1"/>
    </row>
    <row r="4524" spans="10:10" x14ac:dyDescent="0.3">
      <c r="J4524" s="1"/>
    </row>
    <row r="4525" spans="10:10" x14ac:dyDescent="0.3">
      <c r="J4525" s="1"/>
    </row>
    <row r="4526" spans="10:10" x14ac:dyDescent="0.3">
      <c r="J4526" s="1"/>
    </row>
    <row r="4527" spans="10:10" x14ac:dyDescent="0.3">
      <c r="J4527" s="1"/>
    </row>
    <row r="4528" spans="10:10" x14ac:dyDescent="0.3">
      <c r="J4528" s="1"/>
    </row>
    <row r="4529" spans="10:10" x14ac:dyDescent="0.3">
      <c r="J4529" s="1"/>
    </row>
    <row r="4530" spans="10:10" x14ac:dyDescent="0.3">
      <c r="J4530" s="1"/>
    </row>
    <row r="4531" spans="10:10" x14ac:dyDescent="0.3">
      <c r="J4531" s="1"/>
    </row>
    <row r="4532" spans="10:10" x14ac:dyDescent="0.3">
      <c r="J4532" s="1"/>
    </row>
    <row r="4533" spans="10:10" x14ac:dyDescent="0.3">
      <c r="J4533" s="1"/>
    </row>
    <row r="4534" spans="10:10" x14ac:dyDescent="0.3">
      <c r="J4534" s="1"/>
    </row>
    <row r="4535" spans="10:10" x14ac:dyDescent="0.3">
      <c r="J4535" s="1"/>
    </row>
    <row r="4536" spans="10:10" x14ac:dyDescent="0.3">
      <c r="J4536" s="1"/>
    </row>
    <row r="4537" spans="10:10" x14ac:dyDescent="0.3">
      <c r="J4537" s="1"/>
    </row>
    <row r="4538" spans="10:10" x14ac:dyDescent="0.3">
      <c r="J4538" s="1"/>
    </row>
    <row r="4539" spans="10:10" x14ac:dyDescent="0.3">
      <c r="J4539" s="1"/>
    </row>
    <row r="4540" spans="10:10" x14ac:dyDescent="0.3">
      <c r="J4540" s="1"/>
    </row>
    <row r="4541" spans="10:10" x14ac:dyDescent="0.3">
      <c r="J4541" s="1"/>
    </row>
    <row r="4542" spans="10:10" x14ac:dyDescent="0.3">
      <c r="J4542" s="1"/>
    </row>
    <row r="4543" spans="10:10" x14ac:dyDescent="0.3">
      <c r="J4543" s="1"/>
    </row>
    <row r="4544" spans="10:10" x14ac:dyDescent="0.3">
      <c r="J4544" s="1"/>
    </row>
    <row r="4545" spans="10:10" x14ac:dyDescent="0.3">
      <c r="J4545" s="1"/>
    </row>
    <row r="4546" spans="10:10" x14ac:dyDescent="0.3">
      <c r="J4546" s="1"/>
    </row>
    <row r="4547" spans="10:10" x14ac:dyDescent="0.3">
      <c r="J4547" s="1"/>
    </row>
    <row r="4548" spans="10:10" x14ac:dyDescent="0.3">
      <c r="J4548" s="1"/>
    </row>
    <row r="4549" spans="10:10" x14ac:dyDescent="0.3">
      <c r="J4549" s="1"/>
    </row>
    <row r="4550" spans="10:10" x14ac:dyDescent="0.3">
      <c r="J4550" s="1"/>
    </row>
    <row r="4551" spans="10:10" x14ac:dyDescent="0.3">
      <c r="J4551" s="1"/>
    </row>
    <row r="4552" spans="10:10" x14ac:dyDescent="0.3">
      <c r="J4552" s="1"/>
    </row>
    <row r="4553" spans="10:10" x14ac:dyDescent="0.3">
      <c r="J4553" s="1"/>
    </row>
    <row r="4554" spans="10:10" x14ac:dyDescent="0.3">
      <c r="J4554" s="1"/>
    </row>
    <row r="4555" spans="10:10" x14ac:dyDescent="0.3">
      <c r="J4555" s="1"/>
    </row>
    <row r="4556" spans="10:10" x14ac:dyDescent="0.3">
      <c r="J4556" s="1"/>
    </row>
    <row r="4557" spans="10:10" x14ac:dyDescent="0.3">
      <c r="J4557" s="1"/>
    </row>
    <row r="4558" spans="10:10" x14ac:dyDescent="0.3">
      <c r="J4558" s="1"/>
    </row>
    <row r="4559" spans="10:10" x14ac:dyDescent="0.3">
      <c r="J4559" s="1"/>
    </row>
    <row r="4560" spans="10:10" x14ac:dyDescent="0.3">
      <c r="J4560" s="1"/>
    </row>
    <row r="4561" spans="10:10" x14ac:dyDescent="0.3">
      <c r="J4561" s="1"/>
    </row>
    <row r="4562" spans="10:10" x14ac:dyDescent="0.3">
      <c r="J4562" s="1"/>
    </row>
    <row r="4563" spans="10:10" x14ac:dyDescent="0.3">
      <c r="J4563" s="1"/>
    </row>
    <row r="4564" spans="10:10" x14ac:dyDescent="0.3">
      <c r="J4564" s="1"/>
    </row>
    <row r="4565" spans="10:10" x14ac:dyDescent="0.3">
      <c r="J4565" s="1"/>
    </row>
    <row r="4566" spans="10:10" x14ac:dyDescent="0.3">
      <c r="J4566" s="1"/>
    </row>
    <row r="4567" spans="10:10" x14ac:dyDescent="0.3">
      <c r="J4567" s="1"/>
    </row>
    <row r="4568" spans="10:10" x14ac:dyDescent="0.3">
      <c r="J4568" s="1"/>
    </row>
    <row r="4569" spans="10:10" x14ac:dyDescent="0.3">
      <c r="J4569" s="1"/>
    </row>
    <row r="4570" spans="10:10" x14ac:dyDescent="0.3">
      <c r="J4570" s="1"/>
    </row>
    <row r="4571" spans="10:10" x14ac:dyDescent="0.3">
      <c r="J4571" s="1"/>
    </row>
    <row r="4572" spans="10:10" x14ac:dyDescent="0.3">
      <c r="J4572" s="1"/>
    </row>
    <row r="4573" spans="10:10" x14ac:dyDescent="0.3">
      <c r="J4573" s="1"/>
    </row>
    <row r="4574" spans="10:10" x14ac:dyDescent="0.3">
      <c r="J4574" s="1"/>
    </row>
    <row r="4575" spans="10:10" x14ac:dyDescent="0.3">
      <c r="J4575" s="1"/>
    </row>
    <row r="4576" spans="10:10" x14ac:dyDescent="0.3">
      <c r="J4576" s="1"/>
    </row>
    <row r="4577" spans="10:10" x14ac:dyDescent="0.3">
      <c r="J4577" s="1"/>
    </row>
    <row r="4578" spans="10:10" x14ac:dyDescent="0.3">
      <c r="J4578" s="1"/>
    </row>
    <row r="4579" spans="10:10" x14ac:dyDescent="0.3">
      <c r="J4579" s="1"/>
    </row>
    <row r="4580" spans="10:10" x14ac:dyDescent="0.3">
      <c r="J4580" s="1"/>
    </row>
    <row r="4581" spans="10:10" x14ac:dyDescent="0.3">
      <c r="J4581" s="1"/>
    </row>
    <row r="4582" spans="10:10" x14ac:dyDescent="0.3">
      <c r="J4582" s="1"/>
    </row>
    <row r="4583" spans="10:10" x14ac:dyDescent="0.3">
      <c r="J4583" s="1"/>
    </row>
    <row r="4584" spans="10:10" x14ac:dyDescent="0.3">
      <c r="J4584" s="1"/>
    </row>
    <row r="4585" spans="10:10" x14ac:dyDescent="0.3">
      <c r="J4585" s="1"/>
    </row>
    <row r="4586" spans="10:10" x14ac:dyDescent="0.3">
      <c r="J4586" s="1"/>
    </row>
    <row r="4587" spans="10:10" x14ac:dyDescent="0.3">
      <c r="J4587" s="1"/>
    </row>
    <row r="4588" spans="10:10" x14ac:dyDescent="0.3">
      <c r="J4588" s="1"/>
    </row>
    <row r="4589" spans="10:10" x14ac:dyDescent="0.3">
      <c r="J4589" s="1"/>
    </row>
    <row r="4590" spans="10:10" x14ac:dyDescent="0.3">
      <c r="J4590" s="1"/>
    </row>
    <row r="4591" spans="10:10" x14ac:dyDescent="0.3">
      <c r="J4591" s="1"/>
    </row>
    <row r="4592" spans="10:10" x14ac:dyDescent="0.3">
      <c r="J4592" s="1"/>
    </row>
    <row r="4593" spans="10:10" x14ac:dyDescent="0.3">
      <c r="J4593" s="1"/>
    </row>
    <row r="4594" spans="10:10" x14ac:dyDescent="0.3">
      <c r="J4594" s="1"/>
    </row>
    <row r="4595" spans="10:10" x14ac:dyDescent="0.3">
      <c r="J4595" s="1"/>
    </row>
    <row r="4596" spans="10:10" x14ac:dyDescent="0.3">
      <c r="J4596" s="1"/>
    </row>
    <row r="4597" spans="10:10" x14ac:dyDescent="0.3">
      <c r="J4597" s="1"/>
    </row>
    <row r="4598" spans="10:10" x14ac:dyDescent="0.3">
      <c r="J4598" s="1"/>
    </row>
    <row r="4599" spans="10:10" x14ac:dyDescent="0.3">
      <c r="J4599" s="1"/>
    </row>
    <row r="4600" spans="10:10" x14ac:dyDescent="0.3">
      <c r="J4600" s="1"/>
    </row>
    <row r="4601" spans="10:10" x14ac:dyDescent="0.3">
      <c r="J4601" s="1"/>
    </row>
    <row r="4602" spans="10:10" x14ac:dyDescent="0.3">
      <c r="J4602" s="1"/>
    </row>
    <row r="4603" spans="10:10" x14ac:dyDescent="0.3">
      <c r="J4603" s="1"/>
    </row>
    <row r="4604" spans="10:10" x14ac:dyDescent="0.3">
      <c r="J4604" s="1"/>
    </row>
    <row r="4605" spans="10:10" x14ac:dyDescent="0.3">
      <c r="J4605" s="1"/>
    </row>
    <row r="4606" spans="10:10" x14ac:dyDescent="0.3">
      <c r="J4606" s="1"/>
    </row>
    <row r="4607" spans="10:10" x14ac:dyDescent="0.3">
      <c r="J4607" s="1"/>
    </row>
    <row r="4608" spans="10:10" x14ac:dyDescent="0.3">
      <c r="J4608" s="1"/>
    </row>
    <row r="4609" spans="10:10" x14ac:dyDescent="0.3">
      <c r="J4609" s="1"/>
    </row>
    <row r="4610" spans="10:10" x14ac:dyDescent="0.3">
      <c r="J4610" s="1"/>
    </row>
    <row r="4611" spans="10:10" x14ac:dyDescent="0.3">
      <c r="J4611" s="1"/>
    </row>
    <row r="4612" spans="10:10" x14ac:dyDescent="0.3">
      <c r="J4612" s="1"/>
    </row>
    <row r="4613" spans="10:10" x14ac:dyDescent="0.3">
      <c r="J4613" s="1"/>
    </row>
    <row r="4614" spans="10:10" x14ac:dyDescent="0.3">
      <c r="J4614" s="1"/>
    </row>
    <row r="4615" spans="10:10" x14ac:dyDescent="0.3">
      <c r="J4615" s="1"/>
    </row>
    <row r="4616" spans="10:10" x14ac:dyDescent="0.3">
      <c r="J4616" s="1"/>
    </row>
    <row r="4617" spans="10:10" x14ac:dyDescent="0.3">
      <c r="J4617" s="1"/>
    </row>
    <row r="4618" spans="10:10" x14ac:dyDescent="0.3">
      <c r="J4618" s="1"/>
    </row>
    <row r="4619" spans="10:10" x14ac:dyDescent="0.3">
      <c r="J4619" s="1"/>
    </row>
    <row r="4620" spans="10:10" x14ac:dyDescent="0.3">
      <c r="J4620" s="1"/>
    </row>
    <row r="4621" spans="10:10" x14ac:dyDescent="0.3">
      <c r="J4621" s="1"/>
    </row>
    <row r="4622" spans="10:10" x14ac:dyDescent="0.3">
      <c r="J4622" s="1"/>
    </row>
    <row r="4623" spans="10:10" x14ac:dyDescent="0.3">
      <c r="J4623" s="1"/>
    </row>
    <row r="4624" spans="10:10" x14ac:dyDescent="0.3">
      <c r="J4624" s="1"/>
    </row>
    <row r="4625" spans="10:10" x14ac:dyDescent="0.3">
      <c r="J4625" s="1"/>
    </row>
    <row r="4626" spans="10:10" x14ac:dyDescent="0.3">
      <c r="J4626" s="1"/>
    </row>
    <row r="4627" spans="10:10" x14ac:dyDescent="0.3">
      <c r="J4627" s="1"/>
    </row>
    <row r="4628" spans="10:10" x14ac:dyDescent="0.3">
      <c r="J4628" s="1"/>
    </row>
    <row r="4629" spans="10:10" x14ac:dyDescent="0.3">
      <c r="J4629" s="1"/>
    </row>
    <row r="4630" spans="10:10" x14ac:dyDescent="0.3">
      <c r="J4630" s="1"/>
    </row>
    <row r="4631" spans="10:10" x14ac:dyDescent="0.3">
      <c r="J4631" s="1"/>
    </row>
    <row r="4632" spans="10:10" x14ac:dyDescent="0.3">
      <c r="J4632" s="1"/>
    </row>
    <row r="4633" spans="10:10" x14ac:dyDescent="0.3">
      <c r="J4633" s="1"/>
    </row>
    <row r="4634" spans="10:10" x14ac:dyDescent="0.3">
      <c r="J4634" s="1"/>
    </row>
    <row r="4635" spans="10:10" x14ac:dyDescent="0.3">
      <c r="J4635" s="1"/>
    </row>
    <row r="4636" spans="10:10" x14ac:dyDescent="0.3">
      <c r="J4636" s="1"/>
    </row>
    <row r="4637" spans="10:10" x14ac:dyDescent="0.3">
      <c r="J4637" s="1"/>
    </row>
    <row r="4638" spans="10:10" x14ac:dyDescent="0.3">
      <c r="J4638" s="1"/>
    </row>
    <row r="4639" spans="10:10" x14ac:dyDescent="0.3">
      <c r="J4639" s="1"/>
    </row>
    <row r="4640" spans="10:10" x14ac:dyDescent="0.3">
      <c r="J4640" s="1"/>
    </row>
    <row r="4641" spans="10:10" x14ac:dyDescent="0.3">
      <c r="J4641" s="1"/>
    </row>
    <row r="4642" spans="10:10" x14ac:dyDescent="0.3">
      <c r="J4642" s="1"/>
    </row>
    <row r="4643" spans="10:10" x14ac:dyDescent="0.3">
      <c r="J4643" s="1"/>
    </row>
    <row r="4644" spans="10:10" x14ac:dyDescent="0.3">
      <c r="J4644" s="1"/>
    </row>
    <row r="4645" spans="10:10" x14ac:dyDescent="0.3">
      <c r="J4645" s="1"/>
    </row>
    <row r="4646" spans="10:10" x14ac:dyDescent="0.3">
      <c r="J4646" s="1"/>
    </row>
    <row r="4647" spans="10:10" x14ac:dyDescent="0.3">
      <c r="J4647" s="1"/>
    </row>
    <row r="4648" spans="10:10" x14ac:dyDescent="0.3">
      <c r="J4648" s="1"/>
    </row>
    <row r="4649" spans="10:10" x14ac:dyDescent="0.3">
      <c r="J4649" s="1"/>
    </row>
    <row r="4650" spans="10:10" x14ac:dyDescent="0.3">
      <c r="J4650" s="1"/>
    </row>
    <row r="4651" spans="10:10" x14ac:dyDescent="0.3">
      <c r="J4651" s="1"/>
    </row>
    <row r="4652" spans="10:10" x14ac:dyDescent="0.3">
      <c r="J4652" s="1"/>
    </row>
    <row r="4653" spans="10:10" x14ac:dyDescent="0.3">
      <c r="J4653" s="1"/>
    </row>
    <row r="4654" spans="10:10" x14ac:dyDescent="0.3">
      <c r="J4654" s="1"/>
    </row>
    <row r="4655" spans="10:10" x14ac:dyDescent="0.3">
      <c r="J4655" s="1"/>
    </row>
    <row r="4656" spans="10:10" x14ac:dyDescent="0.3">
      <c r="J4656" s="1"/>
    </row>
    <row r="4657" spans="10:10" x14ac:dyDescent="0.3">
      <c r="J4657" s="1"/>
    </row>
    <row r="4658" spans="10:10" x14ac:dyDescent="0.3">
      <c r="J4658" s="1"/>
    </row>
    <row r="4659" spans="10:10" x14ac:dyDescent="0.3">
      <c r="J4659" s="1"/>
    </row>
    <row r="4660" spans="10:10" x14ac:dyDescent="0.3">
      <c r="J4660" s="1"/>
    </row>
    <row r="4661" spans="10:10" x14ac:dyDescent="0.3">
      <c r="J4661" s="1"/>
    </row>
    <row r="4662" spans="10:10" x14ac:dyDescent="0.3">
      <c r="J4662" s="1"/>
    </row>
    <row r="4663" spans="10:10" x14ac:dyDescent="0.3">
      <c r="J4663" s="1"/>
    </row>
    <row r="4664" spans="10:10" x14ac:dyDescent="0.3">
      <c r="J4664" s="1"/>
    </row>
    <row r="4665" spans="10:10" x14ac:dyDescent="0.3">
      <c r="J4665" s="1"/>
    </row>
    <row r="4666" spans="10:10" x14ac:dyDescent="0.3">
      <c r="J4666" s="1"/>
    </row>
    <row r="4667" spans="10:10" x14ac:dyDescent="0.3">
      <c r="J4667" s="1"/>
    </row>
    <row r="4668" spans="10:10" x14ac:dyDescent="0.3">
      <c r="J4668" s="1"/>
    </row>
    <row r="4669" spans="10:10" x14ac:dyDescent="0.3">
      <c r="J4669" s="1"/>
    </row>
    <row r="4670" spans="10:10" x14ac:dyDescent="0.3">
      <c r="J4670" s="1"/>
    </row>
    <row r="4671" spans="10:10" x14ac:dyDescent="0.3">
      <c r="J4671" s="1"/>
    </row>
    <row r="4672" spans="10:10" x14ac:dyDescent="0.3">
      <c r="J4672" s="1"/>
    </row>
    <row r="4673" spans="10:10" x14ac:dyDescent="0.3">
      <c r="J4673" s="1"/>
    </row>
    <row r="4674" spans="10:10" x14ac:dyDescent="0.3">
      <c r="J4674" s="1"/>
    </row>
    <row r="4675" spans="10:10" x14ac:dyDescent="0.3">
      <c r="J4675" s="1"/>
    </row>
    <row r="4676" spans="10:10" x14ac:dyDescent="0.3">
      <c r="J4676" s="1"/>
    </row>
    <row r="4677" spans="10:10" x14ac:dyDescent="0.3">
      <c r="J4677" s="1"/>
    </row>
    <row r="4678" spans="10:10" x14ac:dyDescent="0.3">
      <c r="J4678" s="1"/>
    </row>
    <row r="4679" spans="10:10" x14ac:dyDescent="0.3">
      <c r="J4679" s="1"/>
    </row>
    <row r="4680" spans="10:10" x14ac:dyDescent="0.3">
      <c r="J4680" s="1"/>
    </row>
    <row r="4681" spans="10:10" x14ac:dyDescent="0.3">
      <c r="J4681" s="1"/>
    </row>
    <row r="4682" spans="10:10" x14ac:dyDescent="0.3">
      <c r="J4682" s="1"/>
    </row>
    <row r="4683" spans="10:10" x14ac:dyDescent="0.3">
      <c r="J4683" s="1"/>
    </row>
    <row r="4684" spans="10:10" x14ac:dyDescent="0.3">
      <c r="J4684" s="1"/>
    </row>
    <row r="4685" spans="10:10" x14ac:dyDescent="0.3">
      <c r="J4685" s="1"/>
    </row>
    <row r="4686" spans="10:10" x14ac:dyDescent="0.3">
      <c r="J4686" s="1"/>
    </row>
    <row r="4687" spans="10:10" x14ac:dyDescent="0.3">
      <c r="J4687" s="1"/>
    </row>
    <row r="4688" spans="10:10" x14ac:dyDescent="0.3">
      <c r="J4688" s="1"/>
    </row>
    <row r="4689" spans="10:10" x14ac:dyDescent="0.3">
      <c r="J4689" s="1"/>
    </row>
    <row r="4690" spans="10:10" x14ac:dyDescent="0.3">
      <c r="J4690" s="1"/>
    </row>
    <row r="4691" spans="10:10" x14ac:dyDescent="0.3">
      <c r="J4691" s="1"/>
    </row>
    <row r="4692" spans="10:10" x14ac:dyDescent="0.3">
      <c r="J4692" s="1"/>
    </row>
    <row r="4693" spans="10:10" x14ac:dyDescent="0.3">
      <c r="J4693" s="1"/>
    </row>
    <row r="4694" spans="10:10" x14ac:dyDescent="0.3">
      <c r="J4694" s="1"/>
    </row>
    <row r="4695" spans="10:10" x14ac:dyDescent="0.3">
      <c r="J4695" s="1"/>
    </row>
    <row r="4696" spans="10:10" x14ac:dyDescent="0.3">
      <c r="J4696" s="1"/>
    </row>
    <row r="4697" spans="10:10" x14ac:dyDescent="0.3">
      <c r="J4697" s="1"/>
    </row>
    <row r="4698" spans="10:10" x14ac:dyDescent="0.3">
      <c r="J4698" s="1"/>
    </row>
    <row r="4699" spans="10:10" x14ac:dyDescent="0.3">
      <c r="J4699" s="1"/>
    </row>
    <row r="4700" spans="10:10" x14ac:dyDescent="0.3">
      <c r="J4700" s="1"/>
    </row>
    <row r="4701" spans="10:10" x14ac:dyDescent="0.3">
      <c r="J4701" s="1"/>
    </row>
    <row r="4702" spans="10:10" x14ac:dyDescent="0.3">
      <c r="J4702" s="1"/>
    </row>
    <row r="4703" spans="10:10" x14ac:dyDescent="0.3">
      <c r="J4703" s="1"/>
    </row>
    <row r="4704" spans="10:10" x14ac:dyDescent="0.3">
      <c r="J4704" s="1"/>
    </row>
    <row r="4705" spans="10:10" x14ac:dyDescent="0.3">
      <c r="J4705" s="1"/>
    </row>
    <row r="4706" spans="10:10" x14ac:dyDescent="0.3">
      <c r="J4706" s="1"/>
    </row>
    <row r="4707" spans="10:10" x14ac:dyDescent="0.3">
      <c r="J4707" s="1"/>
    </row>
    <row r="4708" spans="10:10" x14ac:dyDescent="0.3">
      <c r="J4708" s="1"/>
    </row>
    <row r="4709" spans="10:10" x14ac:dyDescent="0.3">
      <c r="J4709" s="1"/>
    </row>
    <row r="4710" spans="10:10" x14ac:dyDescent="0.3">
      <c r="J4710" s="1"/>
    </row>
    <row r="4711" spans="10:10" x14ac:dyDescent="0.3">
      <c r="J4711" s="1"/>
    </row>
    <row r="4712" spans="10:10" x14ac:dyDescent="0.3">
      <c r="J4712" s="1"/>
    </row>
    <row r="4713" spans="10:10" x14ac:dyDescent="0.3">
      <c r="J4713" s="1"/>
    </row>
    <row r="4714" spans="10:10" x14ac:dyDescent="0.3">
      <c r="J4714" s="1"/>
    </row>
    <row r="4715" spans="10:10" x14ac:dyDescent="0.3">
      <c r="J4715" s="1"/>
    </row>
    <row r="4716" spans="10:10" x14ac:dyDescent="0.3">
      <c r="J4716" s="1"/>
    </row>
    <row r="4717" spans="10:10" x14ac:dyDescent="0.3">
      <c r="J4717" s="1"/>
    </row>
    <row r="4718" spans="10:10" x14ac:dyDescent="0.3">
      <c r="J4718" s="1"/>
    </row>
    <row r="4719" spans="10:10" x14ac:dyDescent="0.3">
      <c r="J4719" s="1"/>
    </row>
    <row r="4720" spans="10:10" x14ac:dyDescent="0.3">
      <c r="J4720" s="1"/>
    </row>
    <row r="4721" spans="10:10" x14ac:dyDescent="0.3">
      <c r="J4721" s="1"/>
    </row>
    <row r="4722" spans="10:10" x14ac:dyDescent="0.3">
      <c r="J4722" s="1"/>
    </row>
    <row r="4723" spans="10:10" x14ac:dyDescent="0.3">
      <c r="J4723" s="1"/>
    </row>
    <row r="4724" spans="10:10" x14ac:dyDescent="0.3">
      <c r="J4724" s="1"/>
    </row>
    <row r="4725" spans="10:10" x14ac:dyDescent="0.3">
      <c r="J4725" s="1"/>
    </row>
    <row r="4726" spans="10:10" x14ac:dyDescent="0.3">
      <c r="J4726" s="1"/>
    </row>
    <row r="4727" spans="10:10" x14ac:dyDescent="0.3">
      <c r="J4727" s="1"/>
    </row>
    <row r="4728" spans="10:10" x14ac:dyDescent="0.3">
      <c r="J4728" s="1"/>
    </row>
    <row r="4729" spans="10:10" x14ac:dyDescent="0.3">
      <c r="J4729" s="1"/>
    </row>
    <row r="4730" spans="10:10" x14ac:dyDescent="0.3">
      <c r="J4730" s="1"/>
    </row>
    <row r="4731" spans="10:10" x14ac:dyDescent="0.3">
      <c r="J4731" s="1"/>
    </row>
    <row r="4732" spans="10:10" x14ac:dyDescent="0.3">
      <c r="J4732" s="1"/>
    </row>
    <row r="4733" spans="10:10" x14ac:dyDescent="0.3">
      <c r="J4733" s="1"/>
    </row>
    <row r="4734" spans="10:10" x14ac:dyDescent="0.3">
      <c r="J4734" s="1"/>
    </row>
    <row r="4735" spans="10:10" x14ac:dyDescent="0.3">
      <c r="J4735" s="1"/>
    </row>
    <row r="4736" spans="10:10" x14ac:dyDescent="0.3">
      <c r="J4736" s="1"/>
    </row>
    <row r="4737" spans="10:10" x14ac:dyDescent="0.3">
      <c r="J4737" s="1"/>
    </row>
    <row r="4738" spans="10:10" x14ac:dyDescent="0.3">
      <c r="J4738" s="1"/>
    </row>
    <row r="4739" spans="10:10" x14ac:dyDescent="0.3">
      <c r="J4739" s="1"/>
    </row>
    <row r="4740" spans="10:10" x14ac:dyDescent="0.3">
      <c r="J4740" s="1"/>
    </row>
    <row r="4741" spans="10:10" x14ac:dyDescent="0.3">
      <c r="J4741" s="1"/>
    </row>
    <row r="4742" spans="10:10" x14ac:dyDescent="0.3">
      <c r="J4742" s="1"/>
    </row>
    <row r="4743" spans="10:10" x14ac:dyDescent="0.3">
      <c r="J4743" s="1"/>
    </row>
    <row r="4744" spans="10:10" x14ac:dyDescent="0.3">
      <c r="J4744" s="1"/>
    </row>
    <row r="4745" spans="10:10" x14ac:dyDescent="0.3">
      <c r="J4745" s="1"/>
    </row>
    <row r="4746" spans="10:10" x14ac:dyDescent="0.3">
      <c r="J4746" s="1"/>
    </row>
    <row r="4747" spans="10:10" x14ac:dyDescent="0.3">
      <c r="J4747" s="1"/>
    </row>
    <row r="4748" spans="10:10" x14ac:dyDescent="0.3">
      <c r="J4748" s="1"/>
    </row>
    <row r="4749" spans="10:10" x14ac:dyDescent="0.3">
      <c r="J4749" s="1"/>
    </row>
    <row r="4750" spans="10:10" x14ac:dyDescent="0.3">
      <c r="J4750" s="1"/>
    </row>
    <row r="4751" spans="10:10" x14ac:dyDescent="0.3">
      <c r="J4751" s="1"/>
    </row>
    <row r="4752" spans="10:10" x14ac:dyDescent="0.3">
      <c r="J4752" s="1"/>
    </row>
    <row r="4753" spans="10:10" x14ac:dyDescent="0.3">
      <c r="J4753" s="1"/>
    </row>
    <row r="4754" spans="10:10" x14ac:dyDescent="0.3">
      <c r="J4754" s="1"/>
    </row>
    <row r="4755" spans="10:10" x14ac:dyDescent="0.3">
      <c r="J4755" s="1"/>
    </row>
    <row r="4756" spans="10:10" x14ac:dyDescent="0.3">
      <c r="J4756" s="1"/>
    </row>
    <row r="4757" spans="10:10" x14ac:dyDescent="0.3">
      <c r="J4757" s="1"/>
    </row>
    <row r="4758" spans="10:10" x14ac:dyDescent="0.3">
      <c r="J4758" s="1"/>
    </row>
    <row r="4759" spans="10:10" x14ac:dyDescent="0.3">
      <c r="J4759" s="1"/>
    </row>
    <row r="4760" spans="10:10" x14ac:dyDescent="0.3">
      <c r="J4760" s="1"/>
    </row>
    <row r="4761" spans="10:10" x14ac:dyDescent="0.3">
      <c r="J4761" s="1"/>
    </row>
    <row r="4762" spans="10:10" x14ac:dyDescent="0.3">
      <c r="J4762" s="1"/>
    </row>
    <row r="4763" spans="10:10" x14ac:dyDescent="0.3">
      <c r="J4763" s="1"/>
    </row>
    <row r="4764" spans="10:10" x14ac:dyDescent="0.3">
      <c r="J4764" s="1"/>
    </row>
    <row r="4765" spans="10:10" x14ac:dyDescent="0.3">
      <c r="J4765" s="1"/>
    </row>
    <row r="4766" spans="10:10" x14ac:dyDescent="0.3">
      <c r="J4766" s="1"/>
    </row>
    <row r="4767" spans="10:10" x14ac:dyDescent="0.3">
      <c r="J4767" s="1"/>
    </row>
    <row r="4768" spans="10:10" x14ac:dyDescent="0.3">
      <c r="J4768" s="1"/>
    </row>
    <row r="4769" spans="10:10" x14ac:dyDescent="0.3">
      <c r="J4769" s="1"/>
    </row>
    <row r="4770" spans="10:10" x14ac:dyDescent="0.3">
      <c r="J4770" s="1"/>
    </row>
    <row r="4771" spans="10:10" x14ac:dyDescent="0.3">
      <c r="J4771" s="1"/>
    </row>
    <row r="4772" spans="10:10" x14ac:dyDescent="0.3">
      <c r="J4772" s="1"/>
    </row>
    <row r="4773" spans="10:10" x14ac:dyDescent="0.3">
      <c r="J4773" s="1"/>
    </row>
    <row r="4774" spans="10:10" x14ac:dyDescent="0.3">
      <c r="J4774" s="1"/>
    </row>
    <row r="4775" spans="10:10" x14ac:dyDescent="0.3">
      <c r="J4775" s="1"/>
    </row>
    <row r="4776" spans="10:10" x14ac:dyDescent="0.3">
      <c r="J4776" s="1"/>
    </row>
    <row r="4777" spans="10:10" x14ac:dyDescent="0.3">
      <c r="J4777" s="1"/>
    </row>
    <row r="4778" spans="10:10" x14ac:dyDescent="0.3">
      <c r="J4778" s="1"/>
    </row>
    <row r="4779" spans="10:10" x14ac:dyDescent="0.3">
      <c r="J4779" s="1"/>
    </row>
    <row r="4780" spans="10:10" x14ac:dyDescent="0.3">
      <c r="J4780" s="1"/>
    </row>
    <row r="4781" spans="10:10" x14ac:dyDescent="0.3">
      <c r="J4781" s="1"/>
    </row>
    <row r="4782" spans="10:10" x14ac:dyDescent="0.3">
      <c r="J4782" s="1"/>
    </row>
    <row r="4783" spans="10:10" x14ac:dyDescent="0.3">
      <c r="J4783" s="1"/>
    </row>
    <row r="4784" spans="10:10" x14ac:dyDescent="0.3">
      <c r="J4784" s="1"/>
    </row>
    <row r="4785" spans="10:10" x14ac:dyDescent="0.3">
      <c r="J4785" s="1"/>
    </row>
    <row r="4786" spans="10:10" x14ac:dyDescent="0.3">
      <c r="J4786" s="1"/>
    </row>
    <row r="4787" spans="10:10" x14ac:dyDescent="0.3">
      <c r="J4787" s="1"/>
    </row>
    <row r="4788" spans="10:10" x14ac:dyDescent="0.3">
      <c r="J4788" s="1"/>
    </row>
    <row r="4789" spans="10:10" x14ac:dyDescent="0.3">
      <c r="J4789" s="1"/>
    </row>
    <row r="4790" spans="10:10" x14ac:dyDescent="0.3">
      <c r="J4790" s="1"/>
    </row>
    <row r="4791" spans="10:10" x14ac:dyDescent="0.3">
      <c r="J4791" s="1"/>
    </row>
    <row r="4792" spans="10:10" x14ac:dyDescent="0.3">
      <c r="J4792" s="1"/>
    </row>
    <row r="4793" spans="10:10" x14ac:dyDescent="0.3">
      <c r="J4793" s="1"/>
    </row>
    <row r="4794" spans="10:10" x14ac:dyDescent="0.3">
      <c r="J4794" s="1"/>
    </row>
    <row r="4795" spans="10:10" x14ac:dyDescent="0.3">
      <c r="J4795" s="1"/>
    </row>
    <row r="4796" spans="10:10" x14ac:dyDescent="0.3">
      <c r="J4796" s="1"/>
    </row>
    <row r="4797" spans="10:10" x14ac:dyDescent="0.3">
      <c r="J4797" s="1"/>
    </row>
    <row r="4798" spans="10:10" x14ac:dyDescent="0.3">
      <c r="J4798" s="1"/>
    </row>
    <row r="4799" spans="10:10" x14ac:dyDescent="0.3">
      <c r="J4799" s="1"/>
    </row>
    <row r="4800" spans="10:10" x14ac:dyDescent="0.3">
      <c r="J4800" s="1"/>
    </row>
    <row r="4801" spans="10:10" x14ac:dyDescent="0.3">
      <c r="J4801" s="1"/>
    </row>
    <row r="4802" spans="10:10" x14ac:dyDescent="0.3">
      <c r="J4802" s="1"/>
    </row>
    <row r="4803" spans="10:10" x14ac:dyDescent="0.3">
      <c r="J4803" s="1"/>
    </row>
    <row r="4804" spans="10:10" x14ac:dyDescent="0.3">
      <c r="J4804" s="1"/>
    </row>
    <row r="4805" spans="10:10" x14ac:dyDescent="0.3">
      <c r="J4805" s="1"/>
    </row>
    <row r="4806" spans="10:10" x14ac:dyDescent="0.3">
      <c r="J4806" s="1"/>
    </row>
    <row r="4807" spans="10:10" x14ac:dyDescent="0.3">
      <c r="J4807" s="1"/>
    </row>
    <row r="4808" spans="10:10" x14ac:dyDescent="0.3">
      <c r="J4808" s="1"/>
    </row>
    <row r="4809" spans="10:10" x14ac:dyDescent="0.3">
      <c r="J4809" s="1"/>
    </row>
    <row r="4810" spans="10:10" x14ac:dyDescent="0.3">
      <c r="J4810" s="1"/>
    </row>
    <row r="4811" spans="10:10" x14ac:dyDescent="0.3">
      <c r="J4811" s="1"/>
    </row>
    <row r="4812" spans="10:10" x14ac:dyDescent="0.3">
      <c r="J4812" s="1"/>
    </row>
    <row r="4813" spans="10:10" x14ac:dyDescent="0.3">
      <c r="J4813" s="1"/>
    </row>
    <row r="4814" spans="10:10" x14ac:dyDescent="0.3">
      <c r="J4814" s="1"/>
    </row>
    <row r="4815" spans="10:10" x14ac:dyDescent="0.3">
      <c r="J4815" s="1"/>
    </row>
    <row r="4816" spans="10:10" x14ac:dyDescent="0.3">
      <c r="J4816" s="1"/>
    </row>
    <row r="4817" spans="10:10" x14ac:dyDescent="0.3">
      <c r="J4817" s="1"/>
    </row>
    <row r="4818" spans="10:10" x14ac:dyDescent="0.3">
      <c r="J4818" s="1"/>
    </row>
    <row r="4819" spans="10:10" x14ac:dyDescent="0.3">
      <c r="J4819" s="1"/>
    </row>
    <row r="4820" spans="10:10" x14ac:dyDescent="0.3">
      <c r="J4820" s="1"/>
    </row>
    <row r="4821" spans="10:10" x14ac:dyDescent="0.3">
      <c r="J4821" s="1"/>
    </row>
    <row r="4822" spans="10:10" x14ac:dyDescent="0.3">
      <c r="J4822" s="1"/>
    </row>
    <row r="4823" spans="10:10" x14ac:dyDescent="0.3">
      <c r="J4823" s="1"/>
    </row>
    <row r="4824" spans="10:10" x14ac:dyDescent="0.3">
      <c r="J4824" s="1"/>
    </row>
    <row r="4825" spans="10:10" x14ac:dyDescent="0.3">
      <c r="J4825" s="1"/>
    </row>
    <row r="4826" spans="10:10" x14ac:dyDescent="0.3">
      <c r="J4826" s="1"/>
    </row>
    <row r="4827" spans="10:10" x14ac:dyDescent="0.3">
      <c r="J4827" s="1"/>
    </row>
    <row r="4828" spans="10:10" x14ac:dyDescent="0.3">
      <c r="J4828" s="1"/>
    </row>
    <row r="4829" spans="10:10" x14ac:dyDescent="0.3">
      <c r="J4829" s="1"/>
    </row>
    <row r="4830" spans="10:10" x14ac:dyDescent="0.3">
      <c r="J4830" s="1"/>
    </row>
    <row r="4831" spans="10:10" x14ac:dyDescent="0.3">
      <c r="J4831" s="1"/>
    </row>
    <row r="4832" spans="10:10" x14ac:dyDescent="0.3">
      <c r="J4832" s="1"/>
    </row>
    <row r="4833" spans="10:10" x14ac:dyDescent="0.3">
      <c r="J4833" s="1"/>
    </row>
    <row r="4834" spans="10:10" x14ac:dyDescent="0.3">
      <c r="J4834" s="1"/>
    </row>
    <row r="4835" spans="10:10" x14ac:dyDescent="0.3">
      <c r="J4835" s="1"/>
    </row>
    <row r="4836" spans="10:10" x14ac:dyDescent="0.3">
      <c r="J4836" s="1"/>
    </row>
    <row r="4837" spans="10:10" x14ac:dyDescent="0.3">
      <c r="J4837" s="1"/>
    </row>
    <row r="4838" spans="10:10" x14ac:dyDescent="0.3">
      <c r="J4838" s="1"/>
    </row>
    <row r="4839" spans="10:10" x14ac:dyDescent="0.3">
      <c r="J4839" s="1"/>
    </row>
    <row r="4840" spans="10:10" x14ac:dyDescent="0.3">
      <c r="J4840" s="1"/>
    </row>
    <row r="4841" spans="10:10" x14ac:dyDescent="0.3">
      <c r="J4841" s="1"/>
    </row>
    <row r="4842" spans="10:10" x14ac:dyDescent="0.3">
      <c r="J4842" s="1"/>
    </row>
    <row r="4843" spans="10:10" x14ac:dyDescent="0.3">
      <c r="J4843" s="1"/>
    </row>
    <row r="4844" spans="10:10" x14ac:dyDescent="0.3">
      <c r="J4844" s="1"/>
    </row>
    <row r="4845" spans="10:10" x14ac:dyDescent="0.3">
      <c r="J4845" s="1"/>
    </row>
    <row r="4846" spans="10:10" x14ac:dyDescent="0.3">
      <c r="J4846" s="1"/>
    </row>
    <row r="4847" spans="10:10" x14ac:dyDescent="0.3">
      <c r="J4847" s="1"/>
    </row>
    <row r="4848" spans="10:10" x14ac:dyDescent="0.3">
      <c r="J4848" s="1"/>
    </row>
    <row r="4849" spans="10:10" x14ac:dyDescent="0.3">
      <c r="J4849" s="1"/>
    </row>
    <row r="4850" spans="10:10" x14ac:dyDescent="0.3">
      <c r="J4850" s="1"/>
    </row>
    <row r="4851" spans="10:10" x14ac:dyDescent="0.3">
      <c r="J4851" s="1"/>
    </row>
    <row r="4852" spans="10:10" x14ac:dyDescent="0.3">
      <c r="J4852" s="1"/>
    </row>
    <row r="4853" spans="10:10" x14ac:dyDescent="0.3">
      <c r="J4853" s="1"/>
    </row>
    <row r="4854" spans="10:10" x14ac:dyDescent="0.3">
      <c r="J4854" s="1"/>
    </row>
    <row r="4855" spans="10:10" x14ac:dyDescent="0.3">
      <c r="J4855" s="1"/>
    </row>
    <row r="4856" spans="10:10" x14ac:dyDescent="0.3">
      <c r="J4856" s="1"/>
    </row>
    <row r="4857" spans="10:10" x14ac:dyDescent="0.3">
      <c r="J4857" s="1"/>
    </row>
    <row r="4858" spans="10:10" x14ac:dyDescent="0.3">
      <c r="J4858" s="1"/>
    </row>
    <row r="4859" spans="10:10" x14ac:dyDescent="0.3">
      <c r="J4859" s="1"/>
    </row>
    <row r="4860" spans="10:10" x14ac:dyDescent="0.3">
      <c r="J4860" s="1"/>
    </row>
    <row r="4861" spans="10:10" x14ac:dyDescent="0.3">
      <c r="J4861" s="1"/>
    </row>
    <row r="4862" spans="10:10" x14ac:dyDescent="0.3">
      <c r="J4862" s="1"/>
    </row>
    <row r="4863" spans="10:10" x14ac:dyDescent="0.3">
      <c r="J4863" s="1"/>
    </row>
    <row r="4864" spans="10:10" x14ac:dyDescent="0.3">
      <c r="J4864" s="1"/>
    </row>
    <row r="4865" spans="10:10" x14ac:dyDescent="0.3">
      <c r="J4865" s="1"/>
    </row>
    <row r="4866" spans="10:10" x14ac:dyDescent="0.3">
      <c r="J4866" s="1"/>
    </row>
    <row r="4867" spans="10:10" x14ac:dyDescent="0.3">
      <c r="J4867" s="1"/>
    </row>
    <row r="4868" spans="10:10" x14ac:dyDescent="0.3">
      <c r="J4868" s="1"/>
    </row>
    <row r="4869" spans="10:10" x14ac:dyDescent="0.3">
      <c r="J4869" s="1"/>
    </row>
    <row r="4870" spans="10:10" x14ac:dyDescent="0.3">
      <c r="J4870" s="1"/>
    </row>
    <row r="4871" spans="10:10" x14ac:dyDescent="0.3">
      <c r="J4871" s="1"/>
    </row>
    <row r="4872" spans="10:10" x14ac:dyDescent="0.3">
      <c r="J4872" s="1"/>
    </row>
    <row r="4873" spans="10:10" x14ac:dyDescent="0.3">
      <c r="J4873" s="1"/>
    </row>
    <row r="4874" spans="10:10" x14ac:dyDescent="0.3">
      <c r="J4874" s="1"/>
    </row>
    <row r="4875" spans="10:10" x14ac:dyDescent="0.3">
      <c r="J4875" s="1"/>
    </row>
    <row r="4876" spans="10:10" x14ac:dyDescent="0.3">
      <c r="J4876" s="1"/>
    </row>
    <row r="4877" spans="10:10" x14ac:dyDescent="0.3">
      <c r="J4877" s="1"/>
    </row>
    <row r="4878" spans="10:10" x14ac:dyDescent="0.3">
      <c r="J4878" s="1"/>
    </row>
    <row r="4879" spans="10:10" x14ac:dyDescent="0.3">
      <c r="J4879" s="1"/>
    </row>
    <row r="4880" spans="10:10" x14ac:dyDescent="0.3">
      <c r="J4880" s="1"/>
    </row>
    <row r="4881" spans="10:10" x14ac:dyDescent="0.3">
      <c r="J4881" s="1"/>
    </row>
    <row r="4882" spans="10:10" x14ac:dyDescent="0.3">
      <c r="J4882" s="1"/>
    </row>
    <row r="4883" spans="10:10" x14ac:dyDescent="0.3">
      <c r="J4883" s="1"/>
    </row>
    <row r="4884" spans="10:10" x14ac:dyDescent="0.3">
      <c r="J4884" s="1"/>
    </row>
    <row r="4885" spans="10:10" x14ac:dyDescent="0.3">
      <c r="J4885" s="1"/>
    </row>
    <row r="4886" spans="10:10" x14ac:dyDescent="0.3">
      <c r="J4886" s="1"/>
    </row>
    <row r="4887" spans="10:10" x14ac:dyDescent="0.3">
      <c r="J4887" s="1"/>
    </row>
    <row r="4888" spans="10:10" x14ac:dyDescent="0.3">
      <c r="J4888" s="1"/>
    </row>
    <row r="4889" spans="10:10" x14ac:dyDescent="0.3">
      <c r="J4889" s="1"/>
    </row>
    <row r="4890" spans="10:10" x14ac:dyDescent="0.3">
      <c r="J4890" s="1"/>
    </row>
    <row r="4891" spans="10:10" x14ac:dyDescent="0.3">
      <c r="J4891" s="1"/>
    </row>
    <row r="4892" spans="10:10" x14ac:dyDescent="0.3">
      <c r="J4892" s="1"/>
    </row>
    <row r="4893" spans="10:10" x14ac:dyDescent="0.3">
      <c r="J4893" s="1"/>
    </row>
    <row r="4894" spans="10:10" x14ac:dyDescent="0.3">
      <c r="J4894" s="1"/>
    </row>
    <row r="4895" spans="10:10" x14ac:dyDescent="0.3">
      <c r="J4895" s="1"/>
    </row>
    <row r="4896" spans="10:10" x14ac:dyDescent="0.3">
      <c r="J4896" s="1"/>
    </row>
    <row r="4897" spans="10:10" x14ac:dyDescent="0.3">
      <c r="J4897" s="1"/>
    </row>
    <row r="4898" spans="10:10" x14ac:dyDescent="0.3">
      <c r="J4898" s="1"/>
    </row>
    <row r="4899" spans="10:10" x14ac:dyDescent="0.3">
      <c r="J4899" s="1"/>
    </row>
    <row r="4900" spans="10:10" x14ac:dyDescent="0.3">
      <c r="J4900" s="1"/>
    </row>
    <row r="4901" spans="10:10" x14ac:dyDescent="0.3">
      <c r="J4901" s="1"/>
    </row>
    <row r="4902" spans="10:10" x14ac:dyDescent="0.3">
      <c r="J4902" s="1"/>
    </row>
    <row r="4903" spans="10:10" x14ac:dyDescent="0.3">
      <c r="J4903" s="1"/>
    </row>
    <row r="4904" spans="10:10" x14ac:dyDescent="0.3">
      <c r="J4904" s="1"/>
    </row>
    <row r="4905" spans="10:10" x14ac:dyDescent="0.3">
      <c r="J4905" s="1"/>
    </row>
    <row r="4906" spans="10:10" x14ac:dyDescent="0.3">
      <c r="J4906" s="1"/>
    </row>
    <row r="4907" spans="10:10" x14ac:dyDescent="0.3">
      <c r="J4907" s="1"/>
    </row>
    <row r="4908" spans="10:10" x14ac:dyDescent="0.3">
      <c r="J4908" s="1"/>
    </row>
    <row r="4909" spans="10:10" x14ac:dyDescent="0.3">
      <c r="J4909" s="1"/>
    </row>
    <row r="4910" spans="10:10" x14ac:dyDescent="0.3">
      <c r="J4910" s="1"/>
    </row>
    <row r="4911" spans="10:10" x14ac:dyDescent="0.3">
      <c r="J4911" s="1"/>
    </row>
    <row r="4912" spans="10:10" x14ac:dyDescent="0.3">
      <c r="J4912" s="1"/>
    </row>
    <row r="4913" spans="10:10" x14ac:dyDescent="0.3">
      <c r="J4913" s="1"/>
    </row>
    <row r="4914" spans="10:10" x14ac:dyDescent="0.3">
      <c r="J4914" s="1"/>
    </row>
    <row r="4915" spans="10:10" x14ac:dyDescent="0.3">
      <c r="J4915" s="1"/>
    </row>
    <row r="4916" spans="10:10" x14ac:dyDescent="0.3">
      <c r="J4916" s="1"/>
    </row>
    <row r="4917" spans="10:10" x14ac:dyDescent="0.3">
      <c r="J4917" s="1"/>
    </row>
    <row r="4918" spans="10:10" x14ac:dyDescent="0.3">
      <c r="J4918" s="1"/>
    </row>
    <row r="4919" spans="10:10" x14ac:dyDescent="0.3">
      <c r="J4919" s="1"/>
    </row>
    <row r="4920" spans="10:10" x14ac:dyDescent="0.3">
      <c r="J4920" s="1"/>
    </row>
    <row r="4921" spans="10:10" x14ac:dyDescent="0.3">
      <c r="J4921" s="1"/>
    </row>
    <row r="4922" spans="10:10" x14ac:dyDescent="0.3">
      <c r="J4922" s="1"/>
    </row>
    <row r="4923" spans="10:10" x14ac:dyDescent="0.3">
      <c r="J4923" s="1"/>
    </row>
    <row r="4924" spans="10:10" x14ac:dyDescent="0.3">
      <c r="J4924" s="1"/>
    </row>
    <row r="4925" spans="10:10" x14ac:dyDescent="0.3">
      <c r="J4925" s="1"/>
    </row>
    <row r="4926" spans="10:10" x14ac:dyDescent="0.3">
      <c r="J4926" s="1"/>
    </row>
    <row r="4927" spans="10:10" x14ac:dyDescent="0.3">
      <c r="J4927" s="1"/>
    </row>
    <row r="4928" spans="10:10" x14ac:dyDescent="0.3">
      <c r="J4928" s="1"/>
    </row>
    <row r="4929" spans="10:10" x14ac:dyDescent="0.3">
      <c r="J4929" s="1"/>
    </row>
    <row r="4930" spans="10:10" x14ac:dyDescent="0.3">
      <c r="J4930" s="1"/>
    </row>
    <row r="4931" spans="10:10" x14ac:dyDescent="0.3">
      <c r="J4931" s="1"/>
    </row>
    <row r="4932" spans="10:10" x14ac:dyDescent="0.3">
      <c r="J4932" s="1"/>
    </row>
    <row r="4933" spans="10:10" x14ac:dyDescent="0.3">
      <c r="J4933" s="1"/>
    </row>
    <row r="4934" spans="10:10" x14ac:dyDescent="0.3">
      <c r="J4934" s="1"/>
    </row>
    <row r="4935" spans="10:10" x14ac:dyDescent="0.3">
      <c r="J4935" s="1"/>
    </row>
    <row r="4936" spans="10:10" x14ac:dyDescent="0.3">
      <c r="J4936" s="1"/>
    </row>
    <row r="4937" spans="10:10" x14ac:dyDescent="0.3">
      <c r="J4937" s="1"/>
    </row>
    <row r="4938" spans="10:10" x14ac:dyDescent="0.3">
      <c r="J4938" s="1"/>
    </row>
    <row r="4939" spans="10:10" x14ac:dyDescent="0.3">
      <c r="J4939" s="1"/>
    </row>
    <row r="4940" spans="10:10" x14ac:dyDescent="0.3">
      <c r="J4940" s="1"/>
    </row>
    <row r="4941" spans="10:10" x14ac:dyDescent="0.3">
      <c r="J4941" s="1"/>
    </row>
    <row r="4942" spans="10:10" x14ac:dyDescent="0.3">
      <c r="J4942" s="1"/>
    </row>
    <row r="4943" spans="10:10" x14ac:dyDescent="0.3">
      <c r="J4943" s="1"/>
    </row>
    <row r="4944" spans="10:10" x14ac:dyDescent="0.3">
      <c r="J4944" s="1"/>
    </row>
    <row r="4945" spans="10:10" x14ac:dyDescent="0.3">
      <c r="J4945" s="1"/>
    </row>
    <row r="4946" spans="10:10" x14ac:dyDescent="0.3">
      <c r="J4946" s="1"/>
    </row>
    <row r="4947" spans="10:10" x14ac:dyDescent="0.3">
      <c r="J4947" s="1"/>
    </row>
    <row r="4948" spans="10:10" x14ac:dyDescent="0.3">
      <c r="J4948" s="1"/>
    </row>
    <row r="4949" spans="10:10" x14ac:dyDescent="0.3">
      <c r="J4949" s="1"/>
    </row>
    <row r="4950" spans="10:10" x14ac:dyDescent="0.3">
      <c r="J4950" s="1"/>
    </row>
    <row r="4951" spans="10:10" x14ac:dyDescent="0.3">
      <c r="J4951" s="1"/>
    </row>
    <row r="4952" spans="10:10" x14ac:dyDescent="0.3">
      <c r="J4952" s="1"/>
    </row>
    <row r="4953" spans="10:10" x14ac:dyDescent="0.3">
      <c r="J4953" s="1"/>
    </row>
    <row r="4954" spans="10:10" x14ac:dyDescent="0.3">
      <c r="J4954" s="1"/>
    </row>
    <row r="4955" spans="10:10" x14ac:dyDescent="0.3">
      <c r="J4955" s="1"/>
    </row>
    <row r="4956" spans="10:10" x14ac:dyDescent="0.3">
      <c r="J4956" s="1"/>
    </row>
    <row r="4957" spans="10:10" x14ac:dyDescent="0.3">
      <c r="J4957" s="1"/>
    </row>
    <row r="4958" spans="10:10" x14ac:dyDescent="0.3">
      <c r="J4958" s="1"/>
    </row>
    <row r="4959" spans="10:10" x14ac:dyDescent="0.3">
      <c r="J4959" s="1"/>
    </row>
    <row r="4960" spans="10:10" x14ac:dyDescent="0.3">
      <c r="J4960" s="1"/>
    </row>
    <row r="4961" spans="10:10" x14ac:dyDescent="0.3">
      <c r="J4961" s="1"/>
    </row>
    <row r="4962" spans="10:10" x14ac:dyDescent="0.3">
      <c r="J4962" s="1"/>
    </row>
    <row r="4963" spans="10:10" x14ac:dyDescent="0.3">
      <c r="J4963" s="1"/>
    </row>
    <row r="4964" spans="10:10" x14ac:dyDescent="0.3">
      <c r="J4964" s="1"/>
    </row>
    <row r="4965" spans="10:10" x14ac:dyDescent="0.3">
      <c r="J4965" s="1"/>
    </row>
    <row r="4966" spans="10:10" x14ac:dyDescent="0.3">
      <c r="J4966" s="1"/>
    </row>
    <row r="4967" spans="10:10" x14ac:dyDescent="0.3">
      <c r="J4967" s="1"/>
    </row>
    <row r="4968" spans="10:10" x14ac:dyDescent="0.3">
      <c r="J4968" s="1"/>
    </row>
    <row r="4969" spans="10:10" x14ac:dyDescent="0.3">
      <c r="J4969" s="1"/>
    </row>
    <row r="4970" spans="10:10" x14ac:dyDescent="0.3">
      <c r="J4970" s="1"/>
    </row>
    <row r="4971" spans="10:10" x14ac:dyDescent="0.3">
      <c r="J4971" s="1"/>
    </row>
    <row r="4972" spans="10:10" x14ac:dyDescent="0.3">
      <c r="J4972" s="1"/>
    </row>
    <row r="4973" spans="10:10" x14ac:dyDescent="0.3">
      <c r="J4973" s="1"/>
    </row>
    <row r="4974" spans="10:10" x14ac:dyDescent="0.3">
      <c r="J4974" s="1"/>
    </row>
    <row r="4975" spans="10:10" x14ac:dyDescent="0.3">
      <c r="J4975" s="1"/>
    </row>
    <row r="4976" spans="10:10" x14ac:dyDescent="0.3">
      <c r="J4976" s="1"/>
    </row>
    <row r="4977" spans="10:10" x14ac:dyDescent="0.3">
      <c r="J4977" s="1"/>
    </row>
    <row r="4978" spans="10:10" x14ac:dyDescent="0.3">
      <c r="J4978" s="1"/>
    </row>
    <row r="4979" spans="10:10" x14ac:dyDescent="0.3">
      <c r="J4979" s="1"/>
    </row>
    <row r="4980" spans="10:10" x14ac:dyDescent="0.3">
      <c r="J4980" s="1"/>
    </row>
    <row r="4981" spans="10:10" x14ac:dyDescent="0.3">
      <c r="J4981" s="1"/>
    </row>
    <row r="4982" spans="10:10" x14ac:dyDescent="0.3">
      <c r="J4982" s="1"/>
    </row>
    <row r="4983" spans="10:10" x14ac:dyDescent="0.3">
      <c r="J4983" s="1"/>
    </row>
    <row r="4984" spans="10:10" x14ac:dyDescent="0.3">
      <c r="J4984" s="1"/>
    </row>
    <row r="4985" spans="10:10" x14ac:dyDescent="0.3">
      <c r="J4985" s="1"/>
    </row>
    <row r="4986" spans="10:10" x14ac:dyDescent="0.3">
      <c r="J4986" s="1"/>
    </row>
    <row r="4987" spans="10:10" x14ac:dyDescent="0.3">
      <c r="J4987" s="1"/>
    </row>
    <row r="4988" spans="10:10" x14ac:dyDescent="0.3">
      <c r="J4988" s="1"/>
    </row>
    <row r="4989" spans="10:10" x14ac:dyDescent="0.3">
      <c r="J4989" s="1"/>
    </row>
    <row r="4990" spans="10:10" x14ac:dyDescent="0.3">
      <c r="J4990" s="1"/>
    </row>
    <row r="4991" spans="10:10" x14ac:dyDescent="0.3">
      <c r="J4991" s="1"/>
    </row>
    <row r="4992" spans="10:10" x14ac:dyDescent="0.3">
      <c r="J4992" s="1"/>
    </row>
    <row r="4993" spans="10:10" x14ac:dyDescent="0.3">
      <c r="J4993" s="1"/>
    </row>
    <row r="4994" spans="10:10" x14ac:dyDescent="0.3">
      <c r="J4994" s="1"/>
    </row>
    <row r="4995" spans="10:10" x14ac:dyDescent="0.3">
      <c r="J4995" s="1"/>
    </row>
    <row r="4996" spans="10:10" x14ac:dyDescent="0.3">
      <c r="J4996" s="1"/>
    </row>
    <row r="4997" spans="10:10" x14ac:dyDescent="0.3">
      <c r="J4997" s="1"/>
    </row>
    <row r="4998" spans="10:10" x14ac:dyDescent="0.3">
      <c r="J4998" s="1"/>
    </row>
    <row r="4999" spans="10:10" x14ac:dyDescent="0.3">
      <c r="J4999" s="1"/>
    </row>
    <row r="5000" spans="10:10" x14ac:dyDescent="0.3">
      <c r="J5000" s="1"/>
    </row>
    <row r="5001" spans="10:10" x14ac:dyDescent="0.3">
      <c r="J5001" s="1"/>
    </row>
    <row r="5002" spans="10:10" x14ac:dyDescent="0.3">
      <c r="J5002" s="1"/>
    </row>
    <row r="5003" spans="10:10" x14ac:dyDescent="0.3">
      <c r="J5003" s="1"/>
    </row>
    <row r="5004" spans="10:10" x14ac:dyDescent="0.3">
      <c r="J5004" s="1"/>
    </row>
    <row r="5005" spans="10:10" x14ac:dyDescent="0.3">
      <c r="J5005" s="1"/>
    </row>
    <row r="5006" spans="10:10" x14ac:dyDescent="0.3">
      <c r="J5006" s="1"/>
    </row>
    <row r="5007" spans="10:10" x14ac:dyDescent="0.3">
      <c r="J5007" s="1"/>
    </row>
    <row r="5008" spans="10:10" x14ac:dyDescent="0.3">
      <c r="J5008" s="1"/>
    </row>
    <row r="5009" spans="10:10" x14ac:dyDescent="0.3">
      <c r="J5009" s="1"/>
    </row>
    <row r="5010" spans="10:10" x14ac:dyDescent="0.3">
      <c r="J5010" s="1"/>
    </row>
    <row r="5011" spans="10:10" x14ac:dyDescent="0.3">
      <c r="J5011" s="1"/>
    </row>
    <row r="5012" spans="10:10" x14ac:dyDescent="0.3">
      <c r="J5012" s="1"/>
    </row>
    <row r="5013" spans="10:10" x14ac:dyDescent="0.3">
      <c r="J5013" s="1"/>
    </row>
    <row r="5014" spans="10:10" x14ac:dyDescent="0.3">
      <c r="J5014" s="1"/>
    </row>
    <row r="5015" spans="10:10" x14ac:dyDescent="0.3">
      <c r="J5015" s="1"/>
    </row>
    <row r="5016" spans="10:10" x14ac:dyDescent="0.3">
      <c r="J5016" s="1"/>
    </row>
    <row r="5017" spans="10:10" x14ac:dyDescent="0.3">
      <c r="J5017" s="1"/>
    </row>
    <row r="5018" spans="10:10" x14ac:dyDescent="0.3">
      <c r="J5018" s="1"/>
    </row>
    <row r="5019" spans="10:10" x14ac:dyDescent="0.3">
      <c r="J5019" s="1"/>
    </row>
    <row r="5020" spans="10:10" x14ac:dyDescent="0.3">
      <c r="J5020" s="1"/>
    </row>
    <row r="5021" spans="10:10" x14ac:dyDescent="0.3">
      <c r="J5021" s="1"/>
    </row>
    <row r="5022" spans="10:10" x14ac:dyDescent="0.3">
      <c r="J5022" s="1"/>
    </row>
    <row r="5023" spans="10:10" x14ac:dyDescent="0.3">
      <c r="J5023" s="1"/>
    </row>
    <row r="5024" spans="10:10" x14ac:dyDescent="0.3">
      <c r="J5024" s="1"/>
    </row>
    <row r="5025" spans="10:10" x14ac:dyDescent="0.3">
      <c r="J5025" s="1"/>
    </row>
    <row r="5026" spans="10:10" x14ac:dyDescent="0.3">
      <c r="J5026" s="1"/>
    </row>
    <row r="5027" spans="10:10" x14ac:dyDescent="0.3">
      <c r="J5027" s="1"/>
    </row>
    <row r="5028" spans="10:10" x14ac:dyDescent="0.3">
      <c r="J5028" s="1"/>
    </row>
    <row r="5029" spans="10:10" x14ac:dyDescent="0.3">
      <c r="J5029" s="1"/>
    </row>
    <row r="5030" spans="10:10" x14ac:dyDescent="0.3">
      <c r="J5030" s="1"/>
    </row>
    <row r="5031" spans="10:10" x14ac:dyDescent="0.3">
      <c r="J5031" s="1"/>
    </row>
    <row r="5032" spans="10:10" x14ac:dyDescent="0.3">
      <c r="J5032" s="1"/>
    </row>
    <row r="5033" spans="10:10" x14ac:dyDescent="0.3">
      <c r="J5033" s="1"/>
    </row>
    <row r="5034" spans="10:10" x14ac:dyDescent="0.3">
      <c r="J5034" s="1"/>
    </row>
    <row r="5035" spans="10:10" x14ac:dyDescent="0.3">
      <c r="J5035" s="1"/>
    </row>
    <row r="5036" spans="10:10" x14ac:dyDescent="0.3">
      <c r="J5036" s="1"/>
    </row>
    <row r="5037" spans="10:10" x14ac:dyDescent="0.3">
      <c r="J5037" s="1"/>
    </row>
    <row r="5038" spans="10:10" x14ac:dyDescent="0.3">
      <c r="J5038" s="1"/>
    </row>
    <row r="5039" spans="10:10" x14ac:dyDescent="0.3">
      <c r="J5039" s="1"/>
    </row>
    <row r="5040" spans="10:10" x14ac:dyDescent="0.3">
      <c r="J5040" s="1"/>
    </row>
    <row r="5041" spans="10:10" x14ac:dyDescent="0.3">
      <c r="J5041" s="1"/>
    </row>
    <row r="5042" spans="10:10" x14ac:dyDescent="0.3">
      <c r="J5042" s="1"/>
    </row>
    <row r="5043" spans="10:10" x14ac:dyDescent="0.3">
      <c r="J5043" s="1"/>
    </row>
    <row r="5044" spans="10:10" x14ac:dyDescent="0.3">
      <c r="J5044" s="1"/>
    </row>
    <row r="5045" spans="10:10" x14ac:dyDescent="0.3">
      <c r="J5045" s="1"/>
    </row>
    <row r="5046" spans="10:10" x14ac:dyDescent="0.3">
      <c r="J5046" s="1"/>
    </row>
    <row r="5047" spans="10:10" x14ac:dyDescent="0.3">
      <c r="J5047" s="1"/>
    </row>
    <row r="5048" spans="10:10" x14ac:dyDescent="0.3">
      <c r="J5048" s="1"/>
    </row>
    <row r="5049" spans="10:10" x14ac:dyDescent="0.3">
      <c r="J5049" s="1"/>
    </row>
    <row r="5050" spans="10:10" x14ac:dyDescent="0.3">
      <c r="J5050" s="1"/>
    </row>
    <row r="5051" spans="10:10" x14ac:dyDescent="0.3">
      <c r="J5051" s="1"/>
    </row>
    <row r="5052" spans="10:10" x14ac:dyDescent="0.3">
      <c r="J5052" s="1"/>
    </row>
    <row r="5053" spans="10:10" x14ac:dyDescent="0.3">
      <c r="J5053" s="1"/>
    </row>
    <row r="5054" spans="10:10" x14ac:dyDescent="0.3">
      <c r="J5054" s="1"/>
    </row>
    <row r="5055" spans="10:10" x14ac:dyDescent="0.3">
      <c r="J5055" s="1"/>
    </row>
    <row r="5056" spans="10:10" x14ac:dyDescent="0.3">
      <c r="J5056" s="1"/>
    </row>
    <row r="5057" spans="10:10" x14ac:dyDescent="0.3">
      <c r="J5057" s="1"/>
    </row>
    <row r="5058" spans="10:10" x14ac:dyDescent="0.3">
      <c r="J5058" s="1"/>
    </row>
    <row r="5059" spans="10:10" x14ac:dyDescent="0.3">
      <c r="J5059" s="1"/>
    </row>
    <row r="5060" spans="10:10" x14ac:dyDescent="0.3">
      <c r="J5060" s="1"/>
    </row>
    <row r="5061" spans="10:10" x14ac:dyDescent="0.3">
      <c r="J5061" s="1"/>
    </row>
    <row r="5062" spans="10:10" x14ac:dyDescent="0.3">
      <c r="J5062" s="1"/>
    </row>
    <row r="5063" spans="10:10" x14ac:dyDescent="0.3">
      <c r="J5063" s="1"/>
    </row>
    <row r="5064" spans="10:10" x14ac:dyDescent="0.3">
      <c r="J5064" s="1"/>
    </row>
    <row r="5065" spans="10:10" x14ac:dyDescent="0.3">
      <c r="J5065" s="1"/>
    </row>
    <row r="5066" spans="10:10" x14ac:dyDescent="0.3">
      <c r="J5066" s="1"/>
    </row>
    <row r="5067" spans="10:10" x14ac:dyDescent="0.3">
      <c r="J5067" s="1"/>
    </row>
    <row r="5068" spans="10:10" x14ac:dyDescent="0.3">
      <c r="J5068" s="1"/>
    </row>
    <row r="5069" spans="10:10" x14ac:dyDescent="0.3">
      <c r="J5069" s="1"/>
    </row>
    <row r="5070" spans="10:10" x14ac:dyDescent="0.3">
      <c r="J5070" s="1"/>
    </row>
    <row r="5071" spans="10:10" x14ac:dyDescent="0.3">
      <c r="J5071" s="1"/>
    </row>
    <row r="5072" spans="10:10" x14ac:dyDescent="0.3">
      <c r="J5072" s="1"/>
    </row>
    <row r="5073" spans="10:10" x14ac:dyDescent="0.3">
      <c r="J5073" s="1"/>
    </row>
    <row r="5074" spans="10:10" x14ac:dyDescent="0.3">
      <c r="J5074" s="1"/>
    </row>
    <row r="5075" spans="10:10" x14ac:dyDescent="0.3">
      <c r="J5075" s="1"/>
    </row>
    <row r="5076" spans="10:10" x14ac:dyDescent="0.3">
      <c r="J5076" s="1"/>
    </row>
    <row r="5077" spans="10:10" x14ac:dyDescent="0.3">
      <c r="J5077" s="1"/>
    </row>
    <row r="5078" spans="10:10" x14ac:dyDescent="0.3">
      <c r="J5078" s="1"/>
    </row>
    <row r="5079" spans="10:10" x14ac:dyDescent="0.3">
      <c r="J5079" s="1"/>
    </row>
    <row r="5080" spans="10:10" x14ac:dyDescent="0.3">
      <c r="J5080" s="1"/>
    </row>
    <row r="5081" spans="10:10" x14ac:dyDescent="0.3">
      <c r="J5081" s="1"/>
    </row>
    <row r="5082" spans="10:10" x14ac:dyDescent="0.3">
      <c r="J5082" s="1"/>
    </row>
    <row r="5083" spans="10:10" x14ac:dyDescent="0.3">
      <c r="J5083" s="1"/>
    </row>
    <row r="5084" spans="10:10" x14ac:dyDescent="0.3">
      <c r="J5084" s="1"/>
    </row>
    <row r="5085" spans="10:10" x14ac:dyDescent="0.3">
      <c r="J5085" s="1"/>
    </row>
    <row r="5086" spans="10:10" x14ac:dyDescent="0.3">
      <c r="J5086" s="1"/>
    </row>
    <row r="5087" spans="10:10" x14ac:dyDescent="0.3">
      <c r="J5087" s="1"/>
    </row>
    <row r="5088" spans="10:10" x14ac:dyDescent="0.3">
      <c r="J5088" s="1"/>
    </row>
    <row r="5089" spans="10:10" x14ac:dyDescent="0.3">
      <c r="J5089" s="1"/>
    </row>
    <row r="5090" spans="10:10" x14ac:dyDescent="0.3">
      <c r="J5090" s="1"/>
    </row>
    <row r="5091" spans="10:10" x14ac:dyDescent="0.3">
      <c r="J5091" s="1"/>
    </row>
    <row r="5092" spans="10:10" x14ac:dyDescent="0.3">
      <c r="J5092" s="1"/>
    </row>
    <row r="5093" spans="10:10" x14ac:dyDescent="0.3">
      <c r="J5093" s="1"/>
    </row>
    <row r="5094" spans="10:10" x14ac:dyDescent="0.3">
      <c r="J5094" s="1"/>
    </row>
    <row r="5095" spans="10:10" x14ac:dyDescent="0.3">
      <c r="J5095" s="1"/>
    </row>
    <row r="5096" spans="10:10" x14ac:dyDescent="0.3">
      <c r="J5096" s="1"/>
    </row>
    <row r="5097" spans="10:10" x14ac:dyDescent="0.3">
      <c r="J5097" s="1"/>
    </row>
    <row r="5098" spans="10:10" x14ac:dyDescent="0.3">
      <c r="J5098" s="1"/>
    </row>
    <row r="5099" spans="10:10" x14ac:dyDescent="0.3">
      <c r="J5099" s="1"/>
    </row>
    <row r="5100" spans="10:10" x14ac:dyDescent="0.3">
      <c r="J5100" s="1"/>
    </row>
    <row r="5101" spans="10:10" x14ac:dyDescent="0.3">
      <c r="J5101" s="1"/>
    </row>
    <row r="5102" spans="10:10" x14ac:dyDescent="0.3">
      <c r="J5102" s="1"/>
    </row>
    <row r="5103" spans="10:10" x14ac:dyDescent="0.3">
      <c r="J5103" s="1"/>
    </row>
    <row r="5104" spans="10:10" x14ac:dyDescent="0.3">
      <c r="J5104" s="1"/>
    </row>
    <row r="5105" spans="10:10" x14ac:dyDescent="0.3">
      <c r="J5105" s="1"/>
    </row>
    <row r="5106" spans="10:10" x14ac:dyDescent="0.3">
      <c r="J5106" s="1"/>
    </row>
    <row r="5107" spans="10:10" x14ac:dyDescent="0.3">
      <c r="J5107" s="1"/>
    </row>
    <row r="5108" spans="10:10" x14ac:dyDescent="0.3">
      <c r="J5108" s="1"/>
    </row>
    <row r="5109" spans="10:10" x14ac:dyDescent="0.3">
      <c r="J5109" s="1"/>
    </row>
    <row r="5110" spans="10:10" x14ac:dyDescent="0.3">
      <c r="J5110" s="1"/>
    </row>
    <row r="5111" spans="10:10" x14ac:dyDescent="0.3">
      <c r="J5111" s="1"/>
    </row>
    <row r="5112" spans="10:10" x14ac:dyDescent="0.3">
      <c r="J5112" s="1"/>
    </row>
    <row r="5113" spans="10:10" x14ac:dyDescent="0.3">
      <c r="J5113" s="1"/>
    </row>
    <row r="5114" spans="10:10" x14ac:dyDescent="0.3">
      <c r="J5114" s="1"/>
    </row>
    <row r="5115" spans="10:10" x14ac:dyDescent="0.3">
      <c r="J5115" s="1"/>
    </row>
    <row r="5116" spans="10:10" x14ac:dyDescent="0.3">
      <c r="J5116" s="1"/>
    </row>
    <row r="5117" spans="10:10" x14ac:dyDescent="0.3">
      <c r="J5117" s="1"/>
    </row>
    <row r="5118" spans="10:10" x14ac:dyDescent="0.3">
      <c r="J5118" s="1"/>
    </row>
    <row r="5119" spans="10:10" x14ac:dyDescent="0.3">
      <c r="J5119" s="1"/>
    </row>
    <row r="5120" spans="10:10" x14ac:dyDescent="0.3">
      <c r="J5120" s="1"/>
    </row>
    <row r="5121" spans="10:10" x14ac:dyDescent="0.3">
      <c r="J5121" s="1"/>
    </row>
    <row r="5122" spans="10:10" x14ac:dyDescent="0.3">
      <c r="J5122" s="1"/>
    </row>
    <row r="5123" spans="10:10" x14ac:dyDescent="0.3">
      <c r="J5123" s="1"/>
    </row>
    <row r="5124" spans="10:10" x14ac:dyDescent="0.3">
      <c r="J5124" s="1"/>
    </row>
    <row r="5125" spans="10:10" x14ac:dyDescent="0.3">
      <c r="J5125" s="1"/>
    </row>
    <row r="5126" spans="10:10" x14ac:dyDescent="0.3">
      <c r="J5126" s="1"/>
    </row>
    <row r="5127" spans="10:10" x14ac:dyDescent="0.3">
      <c r="J5127" s="1"/>
    </row>
    <row r="5128" spans="10:10" x14ac:dyDescent="0.3">
      <c r="J5128" s="1"/>
    </row>
    <row r="5129" spans="10:10" x14ac:dyDescent="0.3">
      <c r="J5129" s="1"/>
    </row>
    <row r="5130" spans="10:10" x14ac:dyDescent="0.3">
      <c r="J5130" s="1"/>
    </row>
    <row r="5131" spans="10:10" x14ac:dyDescent="0.3">
      <c r="J5131" s="1"/>
    </row>
    <row r="5132" spans="10:10" x14ac:dyDescent="0.3">
      <c r="J5132" s="1"/>
    </row>
    <row r="5133" spans="10:10" x14ac:dyDescent="0.3">
      <c r="J5133" s="1"/>
    </row>
    <row r="5134" spans="10:10" x14ac:dyDescent="0.3">
      <c r="J5134" s="1"/>
    </row>
    <row r="5135" spans="10:10" x14ac:dyDescent="0.3">
      <c r="J5135" s="1"/>
    </row>
    <row r="5136" spans="10:10" x14ac:dyDescent="0.3">
      <c r="J5136" s="1"/>
    </row>
    <row r="5137" spans="10:10" x14ac:dyDescent="0.3">
      <c r="J5137" s="1"/>
    </row>
    <row r="5138" spans="10:10" x14ac:dyDescent="0.3">
      <c r="J5138" s="1"/>
    </row>
    <row r="5139" spans="10:10" x14ac:dyDescent="0.3">
      <c r="J5139" s="1"/>
    </row>
    <row r="5140" spans="10:10" x14ac:dyDescent="0.3">
      <c r="J5140" s="1"/>
    </row>
    <row r="5141" spans="10:10" x14ac:dyDescent="0.3">
      <c r="J5141" s="1"/>
    </row>
    <row r="5142" spans="10:10" x14ac:dyDescent="0.3">
      <c r="J5142" s="1"/>
    </row>
    <row r="5143" spans="10:10" x14ac:dyDescent="0.3">
      <c r="J5143" s="1"/>
    </row>
    <row r="5144" spans="10:10" x14ac:dyDescent="0.3">
      <c r="J5144" s="1"/>
    </row>
    <row r="5145" spans="10:10" x14ac:dyDescent="0.3">
      <c r="J5145" s="1"/>
    </row>
    <row r="5146" spans="10:10" x14ac:dyDescent="0.3">
      <c r="J5146" s="1"/>
    </row>
    <row r="5147" spans="10:10" x14ac:dyDescent="0.3">
      <c r="J5147" s="1"/>
    </row>
    <row r="5148" spans="10:10" x14ac:dyDescent="0.3">
      <c r="J5148" s="1"/>
    </row>
    <row r="5149" spans="10:10" x14ac:dyDescent="0.3">
      <c r="J5149" s="1"/>
    </row>
    <row r="5150" spans="10:10" x14ac:dyDescent="0.3">
      <c r="J5150" s="1"/>
    </row>
    <row r="5151" spans="10:10" x14ac:dyDescent="0.3">
      <c r="J5151" s="1"/>
    </row>
    <row r="5152" spans="10:10" x14ac:dyDescent="0.3">
      <c r="J5152" s="1"/>
    </row>
    <row r="5153" spans="10:10" x14ac:dyDescent="0.3">
      <c r="J5153" s="1"/>
    </row>
    <row r="5154" spans="10:10" x14ac:dyDescent="0.3">
      <c r="J5154" s="1"/>
    </row>
    <row r="5155" spans="10:10" x14ac:dyDescent="0.3">
      <c r="J5155" s="1"/>
    </row>
    <row r="5156" spans="10:10" x14ac:dyDescent="0.3">
      <c r="J5156" s="1"/>
    </row>
    <row r="5157" spans="10:10" x14ac:dyDescent="0.3">
      <c r="J5157" s="1"/>
    </row>
    <row r="5158" spans="10:10" x14ac:dyDescent="0.3">
      <c r="J5158" s="1"/>
    </row>
    <row r="5159" spans="10:10" x14ac:dyDescent="0.3">
      <c r="J5159" s="1"/>
    </row>
    <row r="5160" spans="10:10" x14ac:dyDescent="0.3">
      <c r="J5160" s="1"/>
    </row>
    <row r="5161" spans="10:10" x14ac:dyDescent="0.3">
      <c r="J5161" s="1"/>
    </row>
    <row r="5162" spans="10:10" x14ac:dyDescent="0.3">
      <c r="J5162" s="1"/>
    </row>
    <row r="5163" spans="10:10" x14ac:dyDescent="0.3">
      <c r="J5163" s="1"/>
    </row>
    <row r="5164" spans="10:10" x14ac:dyDescent="0.3">
      <c r="J5164" s="1"/>
    </row>
    <row r="5165" spans="10:10" x14ac:dyDescent="0.3">
      <c r="J5165" s="1"/>
    </row>
    <row r="5166" spans="10:10" x14ac:dyDescent="0.3">
      <c r="J5166" s="1"/>
    </row>
    <row r="5167" spans="10:10" x14ac:dyDescent="0.3">
      <c r="J5167" s="1"/>
    </row>
    <row r="5168" spans="10:10" x14ac:dyDescent="0.3">
      <c r="J5168" s="1"/>
    </row>
    <row r="5169" spans="10:10" x14ac:dyDescent="0.3">
      <c r="J5169" s="1"/>
    </row>
    <row r="5170" spans="10:10" x14ac:dyDescent="0.3">
      <c r="J5170" s="1"/>
    </row>
    <row r="5171" spans="10:10" x14ac:dyDescent="0.3">
      <c r="J5171" s="1"/>
    </row>
    <row r="5172" spans="10:10" x14ac:dyDescent="0.3">
      <c r="J5172" s="1"/>
    </row>
    <row r="5173" spans="10:10" x14ac:dyDescent="0.3">
      <c r="J5173" s="1"/>
    </row>
    <row r="5174" spans="10:10" x14ac:dyDescent="0.3">
      <c r="J5174" s="1"/>
    </row>
    <row r="5175" spans="10:10" x14ac:dyDescent="0.3">
      <c r="J5175" s="1"/>
    </row>
    <row r="5176" spans="10:10" x14ac:dyDescent="0.3">
      <c r="J5176" s="1"/>
    </row>
    <row r="5177" spans="10:10" x14ac:dyDescent="0.3">
      <c r="J5177" s="1"/>
    </row>
    <row r="5178" spans="10:10" x14ac:dyDescent="0.3">
      <c r="J5178" s="1"/>
    </row>
    <row r="5179" spans="10:10" x14ac:dyDescent="0.3">
      <c r="J5179" s="1"/>
    </row>
    <row r="5180" spans="10:10" x14ac:dyDescent="0.3">
      <c r="J5180" s="1"/>
    </row>
    <row r="5181" spans="10:10" x14ac:dyDescent="0.3">
      <c r="J5181" s="1"/>
    </row>
    <row r="5182" spans="10:10" x14ac:dyDescent="0.3">
      <c r="J5182" s="1"/>
    </row>
    <row r="5183" spans="10:10" x14ac:dyDescent="0.3">
      <c r="J5183" s="1"/>
    </row>
    <row r="5184" spans="10:10" x14ac:dyDescent="0.3">
      <c r="J5184" s="1"/>
    </row>
    <row r="5185" spans="10:10" x14ac:dyDescent="0.3">
      <c r="J5185" s="1"/>
    </row>
    <row r="5186" spans="10:10" x14ac:dyDescent="0.3">
      <c r="J5186" s="1"/>
    </row>
    <row r="5187" spans="10:10" x14ac:dyDescent="0.3">
      <c r="J5187" s="1"/>
    </row>
    <row r="5188" spans="10:10" x14ac:dyDescent="0.3">
      <c r="J5188" s="1"/>
    </row>
    <row r="5189" spans="10:10" x14ac:dyDescent="0.3">
      <c r="J5189" s="1"/>
    </row>
    <row r="5190" spans="10:10" x14ac:dyDescent="0.3">
      <c r="J5190" s="1"/>
    </row>
    <row r="5191" spans="10:10" x14ac:dyDescent="0.3">
      <c r="J5191" s="1"/>
    </row>
    <row r="5192" spans="10:10" x14ac:dyDescent="0.3">
      <c r="J5192" s="1"/>
    </row>
    <row r="5193" spans="10:10" x14ac:dyDescent="0.3">
      <c r="J5193" s="1"/>
    </row>
    <row r="5194" spans="10:10" x14ac:dyDescent="0.3">
      <c r="J5194" s="1"/>
    </row>
    <row r="5195" spans="10:10" x14ac:dyDescent="0.3">
      <c r="J5195" s="1"/>
    </row>
    <row r="5196" spans="10:10" x14ac:dyDescent="0.3">
      <c r="J5196" s="1"/>
    </row>
    <row r="5197" spans="10:10" x14ac:dyDescent="0.3">
      <c r="J5197" s="1"/>
    </row>
    <row r="5198" spans="10:10" x14ac:dyDescent="0.3">
      <c r="J5198" s="1"/>
    </row>
    <row r="5199" spans="10:10" x14ac:dyDescent="0.3">
      <c r="J5199" s="1"/>
    </row>
    <row r="5200" spans="10:10" x14ac:dyDescent="0.3">
      <c r="J5200" s="1"/>
    </row>
    <row r="5201" spans="10:10" x14ac:dyDescent="0.3">
      <c r="J5201" s="1"/>
    </row>
    <row r="5202" spans="10:10" x14ac:dyDescent="0.3">
      <c r="J5202" s="1"/>
    </row>
    <row r="5203" spans="10:10" x14ac:dyDescent="0.3">
      <c r="J5203" s="1"/>
    </row>
    <row r="5204" spans="10:10" x14ac:dyDescent="0.3">
      <c r="J5204" s="1"/>
    </row>
    <row r="5205" spans="10:10" x14ac:dyDescent="0.3">
      <c r="J5205" s="1"/>
    </row>
    <row r="5206" spans="10:10" x14ac:dyDescent="0.3">
      <c r="J5206" s="1"/>
    </row>
    <row r="5207" spans="10:10" x14ac:dyDescent="0.3">
      <c r="J5207" s="1"/>
    </row>
    <row r="5208" spans="10:10" x14ac:dyDescent="0.3">
      <c r="J5208" s="1"/>
    </row>
    <row r="5209" spans="10:10" x14ac:dyDescent="0.3">
      <c r="J5209" s="1"/>
    </row>
    <row r="5210" spans="10:10" x14ac:dyDescent="0.3">
      <c r="J5210" s="1"/>
    </row>
    <row r="5211" spans="10:10" x14ac:dyDescent="0.3">
      <c r="J5211" s="1"/>
    </row>
    <row r="5212" spans="10:10" x14ac:dyDescent="0.3">
      <c r="J5212" s="1"/>
    </row>
    <row r="5213" spans="10:10" x14ac:dyDescent="0.3">
      <c r="J5213" s="1"/>
    </row>
    <row r="5214" spans="10:10" x14ac:dyDescent="0.3">
      <c r="J5214" s="1"/>
    </row>
    <row r="5215" spans="10:10" x14ac:dyDescent="0.3">
      <c r="J5215" s="1"/>
    </row>
    <row r="5216" spans="10:10" x14ac:dyDescent="0.3">
      <c r="J5216" s="1"/>
    </row>
    <row r="5217" spans="10:10" x14ac:dyDescent="0.3">
      <c r="J5217" s="1"/>
    </row>
    <row r="5218" spans="10:10" x14ac:dyDescent="0.3">
      <c r="J5218" s="1"/>
    </row>
    <row r="5219" spans="10:10" x14ac:dyDescent="0.3">
      <c r="J5219" s="1"/>
    </row>
    <row r="5220" spans="10:10" x14ac:dyDescent="0.3">
      <c r="J5220" s="1"/>
    </row>
    <row r="5221" spans="10:10" x14ac:dyDescent="0.3">
      <c r="J5221" s="1"/>
    </row>
    <row r="5222" spans="10:10" x14ac:dyDescent="0.3">
      <c r="J5222" s="1"/>
    </row>
    <row r="5223" spans="10:10" x14ac:dyDescent="0.3">
      <c r="J5223" s="1"/>
    </row>
    <row r="5224" spans="10:10" x14ac:dyDescent="0.3">
      <c r="J5224" s="1"/>
    </row>
    <row r="5225" spans="10:10" x14ac:dyDescent="0.3">
      <c r="J5225" s="1"/>
    </row>
    <row r="5226" spans="10:10" x14ac:dyDescent="0.3">
      <c r="J5226" s="1"/>
    </row>
    <row r="5227" spans="10:10" x14ac:dyDescent="0.3">
      <c r="J5227" s="1"/>
    </row>
    <row r="5228" spans="10:10" x14ac:dyDescent="0.3">
      <c r="J5228" s="1"/>
    </row>
    <row r="5229" spans="10:10" x14ac:dyDescent="0.3">
      <c r="J5229" s="1"/>
    </row>
    <row r="5230" spans="10:10" x14ac:dyDescent="0.3">
      <c r="J5230" s="1"/>
    </row>
    <row r="5231" spans="10:10" x14ac:dyDescent="0.3">
      <c r="J5231" s="1"/>
    </row>
    <row r="5232" spans="10:10" x14ac:dyDescent="0.3">
      <c r="J5232" s="1"/>
    </row>
    <row r="5233" spans="10:10" x14ac:dyDescent="0.3">
      <c r="J5233" s="1"/>
    </row>
    <row r="5234" spans="10:10" x14ac:dyDescent="0.3">
      <c r="J5234" s="1"/>
    </row>
    <row r="5235" spans="10:10" x14ac:dyDescent="0.3">
      <c r="J5235" s="1"/>
    </row>
    <row r="5236" spans="10:10" x14ac:dyDescent="0.3">
      <c r="J5236" s="1"/>
    </row>
    <row r="5237" spans="10:10" x14ac:dyDescent="0.3">
      <c r="J5237" s="1"/>
    </row>
    <row r="5238" spans="10:10" x14ac:dyDescent="0.3">
      <c r="J5238" s="1"/>
    </row>
    <row r="5239" spans="10:10" x14ac:dyDescent="0.3">
      <c r="J5239" s="1"/>
    </row>
    <row r="5240" spans="10:10" x14ac:dyDescent="0.3">
      <c r="J5240" s="1"/>
    </row>
    <row r="5241" spans="10:10" x14ac:dyDescent="0.3">
      <c r="J5241" s="1"/>
    </row>
    <row r="5242" spans="10:10" x14ac:dyDescent="0.3">
      <c r="J5242" s="1"/>
    </row>
    <row r="5243" spans="10:10" x14ac:dyDescent="0.3">
      <c r="J5243" s="1"/>
    </row>
    <row r="5244" spans="10:10" x14ac:dyDescent="0.3">
      <c r="J5244" s="1"/>
    </row>
    <row r="5245" spans="10:10" x14ac:dyDescent="0.3">
      <c r="J5245" s="1"/>
    </row>
    <row r="5246" spans="10:10" x14ac:dyDescent="0.3">
      <c r="J5246" s="1"/>
    </row>
    <row r="5247" spans="10:10" x14ac:dyDescent="0.3">
      <c r="J5247" s="1"/>
    </row>
    <row r="5248" spans="10:10" x14ac:dyDescent="0.3">
      <c r="J5248" s="1"/>
    </row>
    <row r="5249" spans="10:10" x14ac:dyDescent="0.3">
      <c r="J5249" s="1"/>
    </row>
    <row r="5250" spans="10:10" x14ac:dyDescent="0.3">
      <c r="J5250" s="1"/>
    </row>
    <row r="5251" spans="10:10" x14ac:dyDescent="0.3">
      <c r="J5251" s="1"/>
    </row>
    <row r="5252" spans="10:10" x14ac:dyDescent="0.3">
      <c r="J5252" s="1"/>
    </row>
    <row r="5253" spans="10:10" x14ac:dyDescent="0.3">
      <c r="J5253" s="1"/>
    </row>
    <row r="5254" spans="10:10" x14ac:dyDescent="0.3">
      <c r="J5254" s="1"/>
    </row>
    <row r="5255" spans="10:10" x14ac:dyDescent="0.3">
      <c r="J5255" s="1"/>
    </row>
    <row r="5256" spans="10:10" x14ac:dyDescent="0.3">
      <c r="J5256" s="1"/>
    </row>
    <row r="5257" spans="10:10" x14ac:dyDescent="0.3">
      <c r="J5257" s="1"/>
    </row>
    <row r="5258" spans="10:10" x14ac:dyDescent="0.3">
      <c r="J5258" s="1"/>
    </row>
    <row r="5259" spans="10:10" x14ac:dyDescent="0.3">
      <c r="J5259" s="1"/>
    </row>
    <row r="5260" spans="10:10" x14ac:dyDescent="0.3">
      <c r="J5260" s="1"/>
    </row>
    <row r="5261" spans="10:10" x14ac:dyDescent="0.3">
      <c r="J5261" s="1"/>
    </row>
    <row r="5262" spans="10:10" x14ac:dyDescent="0.3">
      <c r="J5262" s="1"/>
    </row>
    <row r="5263" spans="10:10" x14ac:dyDescent="0.3">
      <c r="J5263" s="1"/>
    </row>
    <row r="5264" spans="10:10" x14ac:dyDescent="0.3">
      <c r="J5264" s="1"/>
    </row>
    <row r="5265" spans="10:10" x14ac:dyDescent="0.3">
      <c r="J5265" s="1"/>
    </row>
    <row r="5266" spans="10:10" x14ac:dyDescent="0.3">
      <c r="J5266" s="1"/>
    </row>
    <row r="5267" spans="10:10" x14ac:dyDescent="0.3">
      <c r="J5267" s="1"/>
    </row>
    <row r="5268" spans="10:10" x14ac:dyDescent="0.3">
      <c r="J5268" s="1"/>
    </row>
    <row r="5269" spans="10:10" x14ac:dyDescent="0.3">
      <c r="J5269" s="1"/>
    </row>
    <row r="5270" spans="10:10" x14ac:dyDescent="0.3">
      <c r="J5270" s="1"/>
    </row>
    <row r="5271" spans="10:10" x14ac:dyDescent="0.3">
      <c r="J5271" s="1"/>
    </row>
    <row r="5272" spans="10:10" x14ac:dyDescent="0.3">
      <c r="J5272" s="1"/>
    </row>
    <row r="5273" spans="10:10" x14ac:dyDescent="0.3">
      <c r="J5273" s="1"/>
    </row>
    <row r="5274" spans="10:10" x14ac:dyDescent="0.3">
      <c r="J5274" s="1"/>
    </row>
    <row r="5275" spans="10:10" x14ac:dyDescent="0.3">
      <c r="J5275" s="1"/>
    </row>
    <row r="5276" spans="10:10" x14ac:dyDescent="0.3">
      <c r="J5276" s="1"/>
    </row>
    <row r="5277" spans="10:10" x14ac:dyDescent="0.3">
      <c r="J5277" s="1"/>
    </row>
    <row r="5278" spans="10:10" x14ac:dyDescent="0.3">
      <c r="J5278" s="1"/>
    </row>
    <row r="5279" spans="10:10" x14ac:dyDescent="0.3">
      <c r="J5279" s="1"/>
    </row>
    <row r="5280" spans="10:10" x14ac:dyDescent="0.3">
      <c r="J5280" s="1"/>
    </row>
    <row r="5281" spans="10:10" x14ac:dyDescent="0.3">
      <c r="J5281" s="1"/>
    </row>
    <row r="5282" spans="10:10" x14ac:dyDescent="0.3">
      <c r="J5282" s="1"/>
    </row>
    <row r="5283" spans="10:10" x14ac:dyDescent="0.3">
      <c r="J5283" s="1"/>
    </row>
    <row r="5284" spans="10:10" x14ac:dyDescent="0.3">
      <c r="J5284" s="1"/>
    </row>
    <row r="5285" spans="10:10" x14ac:dyDescent="0.3">
      <c r="J5285" s="1"/>
    </row>
    <row r="5286" spans="10:10" x14ac:dyDescent="0.3">
      <c r="J5286" s="1"/>
    </row>
    <row r="5287" spans="10:10" x14ac:dyDescent="0.3">
      <c r="J5287" s="1"/>
    </row>
    <row r="5288" spans="10:10" x14ac:dyDescent="0.3">
      <c r="J5288" s="1"/>
    </row>
    <row r="5289" spans="10:10" x14ac:dyDescent="0.3">
      <c r="J5289" s="1"/>
    </row>
    <row r="5290" spans="10:10" x14ac:dyDescent="0.3">
      <c r="J5290" s="1"/>
    </row>
    <row r="5291" spans="10:10" x14ac:dyDescent="0.3">
      <c r="J5291" s="1"/>
    </row>
    <row r="5292" spans="10:10" x14ac:dyDescent="0.3">
      <c r="J5292" s="1"/>
    </row>
    <row r="5293" spans="10:10" x14ac:dyDescent="0.3">
      <c r="J5293" s="1"/>
    </row>
    <row r="5294" spans="10:10" x14ac:dyDescent="0.3">
      <c r="J5294" s="1"/>
    </row>
    <row r="5295" spans="10:10" x14ac:dyDescent="0.3">
      <c r="J5295" s="1"/>
    </row>
    <row r="5296" spans="10:10" x14ac:dyDescent="0.3">
      <c r="J5296" s="1"/>
    </row>
    <row r="5297" spans="10:10" x14ac:dyDescent="0.3">
      <c r="J5297" s="1"/>
    </row>
    <row r="5298" spans="10:10" x14ac:dyDescent="0.3">
      <c r="J5298" s="1"/>
    </row>
    <row r="5299" spans="10:10" x14ac:dyDescent="0.3">
      <c r="J5299" s="1"/>
    </row>
    <row r="5300" spans="10:10" x14ac:dyDescent="0.3">
      <c r="J5300" s="1"/>
    </row>
    <row r="5301" spans="10:10" x14ac:dyDescent="0.3">
      <c r="J5301" s="1"/>
    </row>
    <row r="5302" spans="10:10" x14ac:dyDescent="0.3">
      <c r="J5302" s="1"/>
    </row>
    <row r="5303" spans="10:10" x14ac:dyDescent="0.3">
      <c r="J5303" s="1"/>
    </row>
    <row r="5304" spans="10:10" x14ac:dyDescent="0.3">
      <c r="J5304" s="1"/>
    </row>
    <row r="5305" spans="10:10" x14ac:dyDescent="0.3">
      <c r="J5305" s="1"/>
    </row>
    <row r="5306" spans="10:10" x14ac:dyDescent="0.3">
      <c r="J5306" s="1"/>
    </row>
    <row r="5307" spans="10:10" x14ac:dyDescent="0.3">
      <c r="J5307" s="1"/>
    </row>
    <row r="5308" spans="10:10" x14ac:dyDescent="0.3">
      <c r="J5308" s="1"/>
    </row>
    <row r="5309" spans="10:10" x14ac:dyDescent="0.3">
      <c r="J5309" s="1"/>
    </row>
    <row r="5310" spans="10:10" x14ac:dyDescent="0.3">
      <c r="J5310" s="1"/>
    </row>
    <row r="5311" spans="10:10" x14ac:dyDescent="0.3">
      <c r="J5311" s="1"/>
    </row>
    <row r="5312" spans="10:10" x14ac:dyDescent="0.3">
      <c r="J5312" s="1"/>
    </row>
    <row r="5313" spans="10:10" x14ac:dyDescent="0.3">
      <c r="J5313" s="1"/>
    </row>
    <row r="5314" spans="10:10" x14ac:dyDescent="0.3">
      <c r="J5314" s="1"/>
    </row>
    <row r="5315" spans="10:10" x14ac:dyDescent="0.3">
      <c r="J5315" s="1"/>
    </row>
    <row r="5316" spans="10:10" x14ac:dyDescent="0.3">
      <c r="J5316" s="1"/>
    </row>
    <row r="5317" spans="10:10" x14ac:dyDescent="0.3">
      <c r="J5317" s="1"/>
    </row>
    <row r="5318" spans="10:10" x14ac:dyDescent="0.3">
      <c r="J5318" s="1"/>
    </row>
    <row r="5319" spans="10:10" x14ac:dyDescent="0.3">
      <c r="J5319" s="1"/>
    </row>
    <row r="5320" spans="10:10" x14ac:dyDescent="0.3">
      <c r="J5320" s="1"/>
    </row>
    <row r="5321" spans="10:10" x14ac:dyDescent="0.3">
      <c r="J5321" s="1"/>
    </row>
    <row r="5322" spans="10:10" x14ac:dyDescent="0.3">
      <c r="J5322" s="1"/>
    </row>
    <row r="5323" spans="10:10" x14ac:dyDescent="0.3">
      <c r="J5323" s="1"/>
    </row>
    <row r="5324" spans="10:10" x14ac:dyDescent="0.3">
      <c r="J5324" s="1"/>
    </row>
    <row r="5325" spans="10:10" x14ac:dyDescent="0.3">
      <c r="J5325" s="1"/>
    </row>
    <row r="5326" spans="10:10" x14ac:dyDescent="0.3">
      <c r="J5326" s="1"/>
    </row>
    <row r="5327" spans="10:10" x14ac:dyDescent="0.3">
      <c r="J5327" s="1"/>
    </row>
    <row r="5328" spans="10:10" x14ac:dyDescent="0.3">
      <c r="J5328" s="1"/>
    </row>
    <row r="5329" spans="10:10" x14ac:dyDescent="0.3">
      <c r="J5329" s="1"/>
    </row>
    <row r="5330" spans="10:10" x14ac:dyDescent="0.3">
      <c r="J5330" s="1"/>
    </row>
    <row r="5331" spans="10:10" x14ac:dyDescent="0.3">
      <c r="J5331" s="1"/>
    </row>
    <row r="5332" spans="10:10" x14ac:dyDescent="0.3">
      <c r="J5332" s="1"/>
    </row>
    <row r="5333" spans="10:10" x14ac:dyDescent="0.3">
      <c r="J5333" s="1"/>
    </row>
    <row r="5334" spans="10:10" x14ac:dyDescent="0.3">
      <c r="J5334" s="1"/>
    </row>
    <row r="5335" spans="10:10" x14ac:dyDescent="0.3">
      <c r="J5335" s="1"/>
    </row>
    <row r="5336" spans="10:10" x14ac:dyDescent="0.3">
      <c r="J5336" s="1"/>
    </row>
    <row r="5337" spans="10:10" x14ac:dyDescent="0.3">
      <c r="J5337" s="1"/>
    </row>
    <row r="5338" spans="10:10" x14ac:dyDescent="0.3">
      <c r="J5338" s="1"/>
    </row>
    <row r="5339" spans="10:10" x14ac:dyDescent="0.3">
      <c r="J5339" s="1"/>
    </row>
    <row r="5340" spans="10:10" x14ac:dyDescent="0.3">
      <c r="J5340" s="1"/>
    </row>
    <row r="5341" spans="10:10" x14ac:dyDescent="0.3">
      <c r="J5341" s="1"/>
    </row>
    <row r="5342" spans="10:10" x14ac:dyDescent="0.3">
      <c r="J5342" s="1"/>
    </row>
    <row r="5343" spans="10:10" x14ac:dyDescent="0.3">
      <c r="J5343" s="1"/>
    </row>
    <row r="5344" spans="10:10" x14ac:dyDescent="0.3">
      <c r="J5344" s="1"/>
    </row>
    <row r="5345" spans="10:10" x14ac:dyDescent="0.3">
      <c r="J5345" s="1"/>
    </row>
    <row r="5346" spans="10:10" x14ac:dyDescent="0.3">
      <c r="J5346" s="1"/>
    </row>
    <row r="5347" spans="10:10" x14ac:dyDescent="0.3">
      <c r="J5347" s="1"/>
    </row>
    <row r="5348" spans="10:10" x14ac:dyDescent="0.3">
      <c r="J5348" s="1"/>
    </row>
    <row r="5349" spans="10:10" x14ac:dyDescent="0.3">
      <c r="J5349" s="1"/>
    </row>
    <row r="5350" spans="10:10" x14ac:dyDescent="0.3">
      <c r="J5350" s="1"/>
    </row>
    <row r="5351" spans="10:10" x14ac:dyDescent="0.3">
      <c r="J5351" s="1"/>
    </row>
    <row r="5352" spans="10:10" x14ac:dyDescent="0.3">
      <c r="J5352" s="1"/>
    </row>
    <row r="5353" spans="10:10" x14ac:dyDescent="0.3">
      <c r="J5353" s="1"/>
    </row>
    <row r="5354" spans="10:10" x14ac:dyDescent="0.3">
      <c r="J5354" s="1"/>
    </row>
    <row r="5355" spans="10:10" x14ac:dyDescent="0.3">
      <c r="J5355" s="1"/>
    </row>
    <row r="5356" spans="10:10" x14ac:dyDescent="0.3">
      <c r="J5356" s="1"/>
    </row>
    <row r="5357" spans="10:10" x14ac:dyDescent="0.3">
      <c r="J5357" s="1"/>
    </row>
    <row r="5358" spans="10:10" x14ac:dyDescent="0.3">
      <c r="J5358" s="1"/>
    </row>
    <row r="5359" spans="10:10" x14ac:dyDescent="0.3">
      <c r="J5359" s="1"/>
    </row>
    <row r="5360" spans="10:10" x14ac:dyDescent="0.3">
      <c r="J5360" s="1"/>
    </row>
    <row r="5361" spans="10:10" x14ac:dyDescent="0.3">
      <c r="J5361" s="1"/>
    </row>
    <row r="5362" spans="10:10" x14ac:dyDescent="0.3">
      <c r="J5362" s="1"/>
    </row>
    <row r="5363" spans="10:10" x14ac:dyDescent="0.3">
      <c r="J5363" s="1"/>
    </row>
    <row r="5364" spans="10:10" x14ac:dyDescent="0.3">
      <c r="J5364" s="1"/>
    </row>
    <row r="5365" spans="10:10" x14ac:dyDescent="0.3">
      <c r="J5365" s="1"/>
    </row>
    <row r="5366" spans="10:10" x14ac:dyDescent="0.3">
      <c r="J5366" s="1"/>
    </row>
    <row r="5367" spans="10:10" x14ac:dyDescent="0.3">
      <c r="J5367" s="1"/>
    </row>
    <row r="5368" spans="10:10" x14ac:dyDescent="0.3">
      <c r="J5368" s="1"/>
    </row>
    <row r="5369" spans="10:10" x14ac:dyDescent="0.3">
      <c r="J5369" s="1"/>
    </row>
    <row r="5370" spans="10:10" x14ac:dyDescent="0.3">
      <c r="J5370" s="1"/>
    </row>
    <row r="5371" spans="10:10" x14ac:dyDescent="0.3">
      <c r="J5371" s="1"/>
    </row>
    <row r="5372" spans="10:10" x14ac:dyDescent="0.3">
      <c r="J5372" s="1"/>
    </row>
    <row r="5373" spans="10:10" x14ac:dyDescent="0.3">
      <c r="J5373" s="1"/>
    </row>
    <row r="5374" spans="10:10" x14ac:dyDescent="0.3">
      <c r="J5374" s="1"/>
    </row>
    <row r="5375" spans="10:10" x14ac:dyDescent="0.3">
      <c r="J5375" s="1"/>
    </row>
    <row r="5376" spans="10:10" x14ac:dyDescent="0.3">
      <c r="J5376" s="1"/>
    </row>
    <row r="5377" spans="10:10" x14ac:dyDescent="0.3">
      <c r="J5377" s="1"/>
    </row>
    <row r="5378" spans="10:10" x14ac:dyDescent="0.3">
      <c r="J5378" s="1"/>
    </row>
    <row r="5379" spans="10:10" x14ac:dyDescent="0.3">
      <c r="J5379" s="1"/>
    </row>
    <row r="5380" spans="10:10" x14ac:dyDescent="0.3">
      <c r="J5380" s="1"/>
    </row>
    <row r="5381" spans="10:10" x14ac:dyDescent="0.3">
      <c r="J5381" s="1"/>
    </row>
    <row r="5382" spans="10:10" x14ac:dyDescent="0.3">
      <c r="J5382" s="1"/>
    </row>
    <row r="5383" spans="10:10" x14ac:dyDescent="0.3">
      <c r="J5383" s="1"/>
    </row>
    <row r="5384" spans="10:10" x14ac:dyDescent="0.3">
      <c r="J5384" s="1"/>
    </row>
    <row r="5385" spans="10:10" x14ac:dyDescent="0.3">
      <c r="J5385" s="1"/>
    </row>
    <row r="5386" spans="10:10" x14ac:dyDescent="0.3">
      <c r="J5386" s="1"/>
    </row>
    <row r="5387" spans="10:10" x14ac:dyDescent="0.3">
      <c r="J5387" s="1"/>
    </row>
    <row r="5388" spans="10:10" x14ac:dyDescent="0.3">
      <c r="J5388" s="1"/>
    </row>
    <row r="5389" spans="10:10" x14ac:dyDescent="0.3">
      <c r="J5389" s="1"/>
    </row>
    <row r="5390" spans="10:10" x14ac:dyDescent="0.3">
      <c r="J5390" s="1"/>
    </row>
    <row r="5391" spans="10:10" x14ac:dyDescent="0.3">
      <c r="J5391" s="1"/>
    </row>
    <row r="5392" spans="10:10" x14ac:dyDescent="0.3">
      <c r="J5392" s="1"/>
    </row>
    <row r="5393" spans="10:10" x14ac:dyDescent="0.3">
      <c r="J5393" s="1"/>
    </row>
    <row r="5394" spans="10:10" x14ac:dyDescent="0.3">
      <c r="J5394" s="1"/>
    </row>
    <row r="5395" spans="10:10" x14ac:dyDescent="0.3">
      <c r="J5395" s="1"/>
    </row>
    <row r="5396" spans="10:10" x14ac:dyDescent="0.3">
      <c r="J5396" s="1"/>
    </row>
    <row r="5397" spans="10:10" x14ac:dyDescent="0.3">
      <c r="J5397" s="1"/>
    </row>
    <row r="5398" spans="10:10" x14ac:dyDescent="0.3">
      <c r="J5398" s="1"/>
    </row>
    <row r="5399" spans="10:10" x14ac:dyDescent="0.3">
      <c r="J5399" s="1"/>
    </row>
    <row r="5400" spans="10:10" x14ac:dyDescent="0.3">
      <c r="J5400" s="1"/>
    </row>
    <row r="5401" spans="10:10" x14ac:dyDescent="0.3">
      <c r="J5401" s="1"/>
    </row>
    <row r="5402" spans="10:10" x14ac:dyDescent="0.3">
      <c r="J5402" s="1"/>
    </row>
    <row r="5403" spans="10:10" x14ac:dyDescent="0.3">
      <c r="J5403" s="1"/>
    </row>
    <row r="5404" spans="10:10" x14ac:dyDescent="0.3">
      <c r="J5404" s="1"/>
    </row>
    <row r="5405" spans="10:10" x14ac:dyDescent="0.3">
      <c r="J5405" s="1"/>
    </row>
    <row r="5406" spans="10:10" x14ac:dyDescent="0.3">
      <c r="J5406" s="1"/>
    </row>
    <row r="5407" spans="10:10" x14ac:dyDescent="0.3">
      <c r="J5407" s="1"/>
    </row>
    <row r="5408" spans="10:10" x14ac:dyDescent="0.3">
      <c r="J5408" s="1"/>
    </row>
    <row r="5409" spans="10:10" x14ac:dyDescent="0.3">
      <c r="J5409" s="1"/>
    </row>
    <row r="5410" spans="10:10" x14ac:dyDescent="0.3">
      <c r="J5410" s="1"/>
    </row>
    <row r="5411" spans="10:10" x14ac:dyDescent="0.3">
      <c r="J5411" s="1"/>
    </row>
    <row r="5412" spans="10:10" x14ac:dyDescent="0.3">
      <c r="J5412" s="1"/>
    </row>
    <row r="5413" spans="10:10" x14ac:dyDescent="0.3">
      <c r="J5413" s="1"/>
    </row>
    <row r="5414" spans="10:10" x14ac:dyDescent="0.3">
      <c r="J5414" s="1"/>
    </row>
    <row r="5415" spans="10:10" x14ac:dyDescent="0.3">
      <c r="J5415" s="1"/>
    </row>
    <row r="5416" spans="10:10" x14ac:dyDescent="0.3">
      <c r="J5416" s="1"/>
    </row>
    <row r="5417" spans="10:10" x14ac:dyDescent="0.3">
      <c r="J5417" s="1"/>
    </row>
    <row r="5418" spans="10:10" x14ac:dyDescent="0.3">
      <c r="J5418" s="1"/>
    </row>
    <row r="5419" spans="10:10" x14ac:dyDescent="0.3">
      <c r="J5419" s="1"/>
    </row>
    <row r="5420" spans="10:10" x14ac:dyDescent="0.3">
      <c r="J5420" s="1"/>
    </row>
    <row r="5421" spans="10:10" x14ac:dyDescent="0.3">
      <c r="J5421" s="1"/>
    </row>
    <row r="5422" spans="10:10" x14ac:dyDescent="0.3">
      <c r="J5422" s="1"/>
    </row>
    <row r="5423" spans="10:10" x14ac:dyDescent="0.3">
      <c r="J5423" s="1"/>
    </row>
    <row r="5424" spans="10:10" x14ac:dyDescent="0.3">
      <c r="J5424" s="1"/>
    </row>
    <row r="5425" spans="10:10" x14ac:dyDescent="0.3">
      <c r="J5425" s="1"/>
    </row>
    <row r="5426" spans="10:10" x14ac:dyDescent="0.3">
      <c r="J5426" s="1"/>
    </row>
    <row r="5427" spans="10:10" x14ac:dyDescent="0.3">
      <c r="J5427" s="1"/>
    </row>
    <row r="5428" spans="10:10" x14ac:dyDescent="0.3">
      <c r="J5428" s="1"/>
    </row>
    <row r="5429" spans="10:10" x14ac:dyDescent="0.3">
      <c r="J5429" s="1"/>
    </row>
    <row r="5430" spans="10:10" x14ac:dyDescent="0.3">
      <c r="J5430" s="1"/>
    </row>
    <row r="5431" spans="10:10" x14ac:dyDescent="0.3">
      <c r="J5431" s="1"/>
    </row>
    <row r="5432" spans="10:10" x14ac:dyDescent="0.3">
      <c r="J5432" s="1"/>
    </row>
    <row r="5433" spans="10:10" x14ac:dyDescent="0.3">
      <c r="J5433" s="1"/>
    </row>
    <row r="5434" spans="10:10" x14ac:dyDescent="0.3">
      <c r="J5434" s="1"/>
    </row>
    <row r="5435" spans="10:10" x14ac:dyDescent="0.3">
      <c r="J5435" s="1"/>
    </row>
    <row r="5436" spans="10:10" x14ac:dyDescent="0.3">
      <c r="J5436" s="1"/>
    </row>
    <row r="5437" spans="10:10" x14ac:dyDescent="0.3">
      <c r="J5437" s="1"/>
    </row>
    <row r="5438" spans="10:10" x14ac:dyDescent="0.3">
      <c r="J5438" s="1"/>
    </row>
    <row r="5439" spans="10:10" x14ac:dyDescent="0.3">
      <c r="J5439" s="1"/>
    </row>
    <row r="5440" spans="10:10" x14ac:dyDescent="0.3">
      <c r="J5440" s="1"/>
    </row>
    <row r="5441" spans="10:10" x14ac:dyDescent="0.3">
      <c r="J5441" s="1"/>
    </row>
    <row r="5442" spans="10:10" x14ac:dyDescent="0.3">
      <c r="J5442" s="1"/>
    </row>
    <row r="5443" spans="10:10" x14ac:dyDescent="0.3">
      <c r="J5443" s="1"/>
    </row>
    <row r="5444" spans="10:10" x14ac:dyDescent="0.3">
      <c r="J5444" s="1"/>
    </row>
    <row r="5445" spans="10:10" x14ac:dyDescent="0.3">
      <c r="J5445" s="1"/>
    </row>
    <row r="5446" spans="10:10" x14ac:dyDescent="0.3">
      <c r="J5446" s="1"/>
    </row>
    <row r="5447" spans="10:10" x14ac:dyDescent="0.3">
      <c r="J5447" s="1"/>
    </row>
    <row r="5448" spans="10:10" x14ac:dyDescent="0.3">
      <c r="J5448" s="1"/>
    </row>
    <row r="5449" spans="10:10" x14ac:dyDescent="0.3">
      <c r="J5449" s="1"/>
    </row>
    <row r="5450" spans="10:10" x14ac:dyDescent="0.3">
      <c r="J5450" s="1"/>
    </row>
    <row r="5451" spans="10:10" x14ac:dyDescent="0.3">
      <c r="J5451" s="1"/>
    </row>
    <row r="5452" spans="10:10" x14ac:dyDescent="0.3">
      <c r="J5452" s="1"/>
    </row>
    <row r="5453" spans="10:10" x14ac:dyDescent="0.3">
      <c r="J5453" s="1"/>
    </row>
    <row r="5454" spans="10:10" x14ac:dyDescent="0.3">
      <c r="J5454" s="1"/>
    </row>
    <row r="5455" spans="10:10" x14ac:dyDescent="0.3">
      <c r="J5455" s="1"/>
    </row>
    <row r="5456" spans="10:10" x14ac:dyDescent="0.3">
      <c r="J5456" s="1"/>
    </row>
    <row r="5457" spans="10:10" x14ac:dyDescent="0.3">
      <c r="J5457" s="1"/>
    </row>
    <row r="5458" spans="10:10" x14ac:dyDescent="0.3">
      <c r="J5458" s="1"/>
    </row>
    <row r="5459" spans="10:10" x14ac:dyDescent="0.3">
      <c r="J5459" s="1"/>
    </row>
    <row r="5460" spans="10:10" x14ac:dyDescent="0.3">
      <c r="J5460" s="1"/>
    </row>
    <row r="5461" spans="10:10" x14ac:dyDescent="0.3">
      <c r="J5461" s="1"/>
    </row>
    <row r="5462" spans="10:10" x14ac:dyDescent="0.3">
      <c r="J5462" s="1"/>
    </row>
    <row r="5463" spans="10:10" x14ac:dyDescent="0.3">
      <c r="J5463" s="1"/>
    </row>
    <row r="5464" spans="10:10" x14ac:dyDescent="0.3">
      <c r="J5464" s="1"/>
    </row>
    <row r="5465" spans="10:10" x14ac:dyDescent="0.3">
      <c r="J5465" s="1"/>
    </row>
    <row r="5466" spans="10:10" x14ac:dyDescent="0.3">
      <c r="J5466" s="1"/>
    </row>
    <row r="5467" spans="10:10" x14ac:dyDescent="0.3">
      <c r="J5467" s="1"/>
    </row>
    <row r="5468" spans="10:10" x14ac:dyDescent="0.3">
      <c r="J5468" s="1"/>
    </row>
    <row r="5469" spans="10:10" x14ac:dyDescent="0.3">
      <c r="J5469" s="1"/>
    </row>
    <row r="5470" spans="10:10" x14ac:dyDescent="0.3">
      <c r="J5470" s="1"/>
    </row>
    <row r="5471" spans="10:10" x14ac:dyDescent="0.3">
      <c r="J5471" s="1"/>
    </row>
    <row r="5472" spans="10:10" x14ac:dyDescent="0.3">
      <c r="J5472" s="1"/>
    </row>
    <row r="5473" spans="10:10" x14ac:dyDescent="0.3">
      <c r="J5473" s="1"/>
    </row>
    <row r="5474" spans="10:10" x14ac:dyDescent="0.3">
      <c r="J5474" s="1"/>
    </row>
    <row r="5475" spans="10:10" x14ac:dyDescent="0.3">
      <c r="J5475" s="1"/>
    </row>
    <row r="5476" spans="10:10" x14ac:dyDescent="0.3">
      <c r="J5476" s="1"/>
    </row>
    <row r="5477" spans="10:10" x14ac:dyDescent="0.3">
      <c r="J5477" s="1"/>
    </row>
    <row r="5478" spans="10:10" x14ac:dyDescent="0.3">
      <c r="J5478" s="1"/>
    </row>
    <row r="5479" spans="10:10" x14ac:dyDescent="0.3">
      <c r="J5479" s="1"/>
    </row>
    <row r="5480" spans="10:10" x14ac:dyDescent="0.3">
      <c r="J5480" s="1"/>
    </row>
    <row r="5481" spans="10:10" x14ac:dyDescent="0.3">
      <c r="J5481" s="1"/>
    </row>
    <row r="5482" spans="10:10" x14ac:dyDescent="0.3">
      <c r="J5482" s="1"/>
    </row>
    <row r="5483" spans="10:10" x14ac:dyDescent="0.3">
      <c r="J5483" s="1"/>
    </row>
    <row r="5484" spans="10:10" x14ac:dyDescent="0.3">
      <c r="J5484" s="1"/>
    </row>
    <row r="5485" spans="10:10" x14ac:dyDescent="0.3">
      <c r="J5485" s="1"/>
    </row>
    <row r="5486" spans="10:10" x14ac:dyDescent="0.3">
      <c r="J5486" s="1"/>
    </row>
    <row r="5487" spans="10:10" x14ac:dyDescent="0.3">
      <c r="J5487" s="1"/>
    </row>
    <row r="5488" spans="10:10" x14ac:dyDescent="0.3">
      <c r="J5488" s="1"/>
    </row>
    <row r="5489" spans="10:10" x14ac:dyDescent="0.3">
      <c r="J5489" s="1"/>
    </row>
    <row r="5490" spans="10:10" x14ac:dyDescent="0.3">
      <c r="J5490" s="1"/>
    </row>
    <row r="5491" spans="10:10" x14ac:dyDescent="0.3">
      <c r="J5491" s="1"/>
    </row>
    <row r="5492" spans="10:10" x14ac:dyDescent="0.3">
      <c r="J5492" s="1"/>
    </row>
    <row r="5493" spans="10:10" x14ac:dyDescent="0.3">
      <c r="J5493" s="1"/>
    </row>
    <row r="5494" spans="10:10" x14ac:dyDescent="0.3">
      <c r="J5494" s="1"/>
    </row>
    <row r="5495" spans="10:10" x14ac:dyDescent="0.3">
      <c r="J5495" s="1"/>
    </row>
    <row r="5496" spans="10:10" x14ac:dyDescent="0.3">
      <c r="J5496" s="1"/>
    </row>
    <row r="5497" spans="10:10" x14ac:dyDescent="0.3">
      <c r="J5497" s="1"/>
    </row>
    <row r="5498" spans="10:10" x14ac:dyDescent="0.3">
      <c r="J5498" s="1"/>
    </row>
    <row r="5499" spans="10:10" x14ac:dyDescent="0.3">
      <c r="J5499" s="1"/>
    </row>
    <row r="5500" spans="10:10" x14ac:dyDescent="0.3">
      <c r="J5500" s="1"/>
    </row>
    <row r="5501" spans="10:10" x14ac:dyDescent="0.3">
      <c r="J5501" s="1"/>
    </row>
    <row r="5502" spans="10:10" x14ac:dyDescent="0.3">
      <c r="J5502" s="1"/>
    </row>
    <row r="5503" spans="10:10" x14ac:dyDescent="0.3">
      <c r="J5503" s="1"/>
    </row>
    <row r="5504" spans="10:10" x14ac:dyDescent="0.3">
      <c r="J5504" s="1"/>
    </row>
    <row r="5505" spans="10:10" x14ac:dyDescent="0.3">
      <c r="J5505" s="1"/>
    </row>
    <row r="5506" spans="10:10" x14ac:dyDescent="0.3">
      <c r="J5506" s="1"/>
    </row>
    <row r="5507" spans="10:10" x14ac:dyDescent="0.3">
      <c r="J5507" s="1"/>
    </row>
    <row r="5508" spans="10:10" x14ac:dyDescent="0.3">
      <c r="J5508" s="1"/>
    </row>
    <row r="5509" spans="10:10" x14ac:dyDescent="0.3">
      <c r="J5509" s="1"/>
    </row>
    <row r="5510" spans="10:10" x14ac:dyDescent="0.3">
      <c r="J5510" s="1"/>
    </row>
    <row r="5511" spans="10:10" x14ac:dyDescent="0.3">
      <c r="J5511" s="1"/>
    </row>
    <row r="5512" spans="10:10" x14ac:dyDescent="0.3">
      <c r="J5512" s="1"/>
    </row>
    <row r="5513" spans="10:10" x14ac:dyDescent="0.3">
      <c r="J5513" s="1"/>
    </row>
    <row r="5514" spans="10:10" x14ac:dyDescent="0.3">
      <c r="J5514" s="1"/>
    </row>
    <row r="5515" spans="10:10" x14ac:dyDescent="0.3">
      <c r="J5515" s="1"/>
    </row>
    <row r="5516" spans="10:10" x14ac:dyDescent="0.3">
      <c r="J5516" s="1"/>
    </row>
    <row r="5517" spans="10:10" x14ac:dyDescent="0.3">
      <c r="J5517" s="1"/>
    </row>
    <row r="5518" spans="10:10" x14ac:dyDescent="0.3">
      <c r="J5518" s="1"/>
    </row>
    <row r="5519" spans="10:10" x14ac:dyDescent="0.3">
      <c r="J5519" s="1"/>
    </row>
    <row r="5520" spans="10:10" x14ac:dyDescent="0.3">
      <c r="J5520" s="1"/>
    </row>
    <row r="5521" spans="10:10" x14ac:dyDescent="0.3">
      <c r="J5521" s="1"/>
    </row>
    <row r="5522" spans="10:10" x14ac:dyDescent="0.3">
      <c r="J5522" s="1"/>
    </row>
    <row r="5523" spans="10:10" x14ac:dyDescent="0.3">
      <c r="J5523" s="1"/>
    </row>
    <row r="5524" spans="10:10" x14ac:dyDescent="0.3">
      <c r="J5524" s="1"/>
    </row>
    <row r="5525" spans="10:10" x14ac:dyDescent="0.3">
      <c r="J5525" s="1"/>
    </row>
    <row r="5526" spans="10:10" x14ac:dyDescent="0.3">
      <c r="J5526" s="1"/>
    </row>
    <row r="5527" spans="10:10" x14ac:dyDescent="0.3">
      <c r="J5527" s="1"/>
    </row>
    <row r="5528" spans="10:10" x14ac:dyDescent="0.3">
      <c r="J5528" s="1"/>
    </row>
    <row r="5529" spans="10:10" x14ac:dyDescent="0.3">
      <c r="J5529" s="1"/>
    </row>
    <row r="5530" spans="10:10" x14ac:dyDescent="0.3">
      <c r="J5530" s="1"/>
    </row>
    <row r="5531" spans="10:10" x14ac:dyDescent="0.3">
      <c r="J5531" s="1"/>
    </row>
    <row r="5532" spans="10:10" x14ac:dyDescent="0.3">
      <c r="J5532" s="1"/>
    </row>
    <row r="5533" spans="10:10" x14ac:dyDescent="0.3">
      <c r="J5533" s="1"/>
    </row>
    <row r="5534" spans="10:10" x14ac:dyDescent="0.3">
      <c r="J5534" s="1"/>
    </row>
    <row r="5535" spans="10:10" x14ac:dyDescent="0.3">
      <c r="J5535" s="1"/>
    </row>
    <row r="5536" spans="10:10" x14ac:dyDescent="0.3">
      <c r="J5536" s="1"/>
    </row>
    <row r="5537" spans="10:10" x14ac:dyDescent="0.3">
      <c r="J5537" s="1"/>
    </row>
    <row r="5538" spans="10:10" x14ac:dyDescent="0.3">
      <c r="J5538" s="1"/>
    </row>
    <row r="5539" spans="10:10" x14ac:dyDescent="0.3">
      <c r="J5539" s="1"/>
    </row>
    <row r="5540" spans="10:10" x14ac:dyDescent="0.3">
      <c r="J5540" s="1"/>
    </row>
    <row r="5541" spans="10:10" x14ac:dyDescent="0.3">
      <c r="J5541" s="1"/>
    </row>
    <row r="5542" spans="10:10" x14ac:dyDescent="0.3">
      <c r="J5542" s="1"/>
    </row>
    <row r="5543" spans="10:10" x14ac:dyDescent="0.3">
      <c r="J5543" s="1"/>
    </row>
    <row r="5544" spans="10:10" x14ac:dyDescent="0.3">
      <c r="J5544" s="1"/>
    </row>
    <row r="5545" spans="10:10" x14ac:dyDescent="0.3">
      <c r="J5545" s="1"/>
    </row>
    <row r="5546" spans="10:10" x14ac:dyDescent="0.3">
      <c r="J5546" s="1"/>
    </row>
    <row r="5547" spans="10:10" x14ac:dyDescent="0.3">
      <c r="J5547" s="1"/>
    </row>
    <row r="5548" spans="10:10" x14ac:dyDescent="0.3">
      <c r="J5548" s="1"/>
    </row>
    <row r="5549" spans="10:10" x14ac:dyDescent="0.3">
      <c r="J5549" s="1"/>
    </row>
    <row r="5550" spans="10:10" x14ac:dyDescent="0.3">
      <c r="J5550" s="1"/>
    </row>
    <row r="5551" spans="10:10" x14ac:dyDescent="0.3">
      <c r="J5551" s="1"/>
    </row>
    <row r="5552" spans="10:10" x14ac:dyDescent="0.3">
      <c r="J5552" s="1"/>
    </row>
    <row r="5553" spans="10:10" x14ac:dyDescent="0.3">
      <c r="J5553" s="1"/>
    </row>
    <row r="5554" spans="10:10" x14ac:dyDescent="0.3">
      <c r="J5554" s="1"/>
    </row>
    <row r="5555" spans="10:10" x14ac:dyDescent="0.3">
      <c r="J5555" s="1"/>
    </row>
    <row r="5556" spans="10:10" x14ac:dyDescent="0.3">
      <c r="J5556" s="1"/>
    </row>
    <row r="5557" spans="10:10" x14ac:dyDescent="0.3">
      <c r="J5557" s="1"/>
    </row>
    <row r="5558" spans="10:10" x14ac:dyDescent="0.3">
      <c r="J5558" s="1"/>
    </row>
    <row r="5559" spans="10:10" x14ac:dyDescent="0.3">
      <c r="J5559" s="1"/>
    </row>
    <row r="5560" spans="10:10" x14ac:dyDescent="0.3">
      <c r="J5560" s="1"/>
    </row>
    <row r="5561" spans="10:10" x14ac:dyDescent="0.3">
      <c r="J5561" s="1"/>
    </row>
    <row r="5562" spans="10:10" x14ac:dyDescent="0.3">
      <c r="J5562" s="1"/>
    </row>
    <row r="5563" spans="10:10" x14ac:dyDescent="0.3">
      <c r="J5563" s="1"/>
    </row>
    <row r="5564" spans="10:10" x14ac:dyDescent="0.3">
      <c r="J5564" s="1"/>
    </row>
    <row r="5565" spans="10:10" x14ac:dyDescent="0.3">
      <c r="J5565" s="1"/>
    </row>
    <row r="5566" spans="10:10" x14ac:dyDescent="0.3">
      <c r="J5566" s="1"/>
    </row>
    <row r="5567" spans="10:10" x14ac:dyDescent="0.3">
      <c r="J5567" s="1"/>
    </row>
    <row r="5568" spans="10:10" x14ac:dyDescent="0.3">
      <c r="J5568" s="1"/>
    </row>
    <row r="5569" spans="10:10" x14ac:dyDescent="0.3">
      <c r="J5569" s="1"/>
    </row>
    <row r="5570" spans="10:10" x14ac:dyDescent="0.3">
      <c r="J5570" s="1"/>
    </row>
    <row r="5571" spans="10:10" x14ac:dyDescent="0.3">
      <c r="J5571" s="1"/>
    </row>
    <row r="5572" spans="10:10" x14ac:dyDescent="0.3">
      <c r="J5572" s="1"/>
    </row>
    <row r="5573" spans="10:10" x14ac:dyDescent="0.3">
      <c r="J5573" s="1"/>
    </row>
    <row r="5574" spans="10:10" x14ac:dyDescent="0.3">
      <c r="J5574" s="1"/>
    </row>
    <row r="5575" spans="10:10" x14ac:dyDescent="0.3">
      <c r="J5575" s="1"/>
    </row>
    <row r="5576" spans="10:10" x14ac:dyDescent="0.3">
      <c r="J5576" s="1"/>
    </row>
    <row r="5577" spans="10:10" x14ac:dyDescent="0.3">
      <c r="J5577" s="1"/>
    </row>
    <row r="5578" spans="10:10" x14ac:dyDescent="0.3">
      <c r="J5578" s="1"/>
    </row>
    <row r="5579" spans="10:10" x14ac:dyDescent="0.3">
      <c r="J5579" s="1"/>
    </row>
    <row r="5580" spans="10:10" x14ac:dyDescent="0.3">
      <c r="J5580" s="1"/>
    </row>
    <row r="5581" spans="10:10" x14ac:dyDescent="0.3">
      <c r="J5581" s="1"/>
    </row>
    <row r="5582" spans="10:10" x14ac:dyDescent="0.3">
      <c r="J5582" s="1"/>
    </row>
    <row r="5583" spans="10:10" x14ac:dyDescent="0.3">
      <c r="J5583" s="1"/>
    </row>
    <row r="5584" spans="10:10" x14ac:dyDescent="0.3">
      <c r="J5584" s="1"/>
    </row>
    <row r="5585" spans="10:10" x14ac:dyDescent="0.3">
      <c r="J5585" s="1"/>
    </row>
    <row r="5586" spans="10:10" x14ac:dyDescent="0.3">
      <c r="J5586" s="1"/>
    </row>
    <row r="5587" spans="10:10" x14ac:dyDescent="0.3">
      <c r="J5587" s="1"/>
    </row>
    <row r="5588" spans="10:10" x14ac:dyDescent="0.3">
      <c r="J5588" s="1"/>
    </row>
    <row r="5589" spans="10:10" x14ac:dyDescent="0.3">
      <c r="J5589" s="1"/>
    </row>
    <row r="5590" spans="10:10" x14ac:dyDescent="0.3">
      <c r="J5590" s="1"/>
    </row>
    <row r="5591" spans="10:10" x14ac:dyDescent="0.3">
      <c r="J5591" s="1"/>
    </row>
    <row r="5592" spans="10:10" x14ac:dyDescent="0.3">
      <c r="J5592" s="1"/>
    </row>
    <row r="5593" spans="10:10" x14ac:dyDescent="0.3">
      <c r="J5593" s="1"/>
    </row>
    <row r="5594" spans="10:10" x14ac:dyDescent="0.3">
      <c r="J5594" s="1"/>
    </row>
    <row r="5595" spans="10:10" x14ac:dyDescent="0.3">
      <c r="J5595" s="1"/>
    </row>
    <row r="5596" spans="10:10" x14ac:dyDescent="0.3">
      <c r="J5596" s="1"/>
    </row>
    <row r="5597" spans="10:10" x14ac:dyDescent="0.3">
      <c r="J5597" s="1"/>
    </row>
    <row r="5598" spans="10:10" x14ac:dyDescent="0.3">
      <c r="J5598" s="1"/>
    </row>
    <row r="5599" spans="10:10" x14ac:dyDescent="0.3">
      <c r="J5599" s="1"/>
    </row>
    <row r="5600" spans="10:10" x14ac:dyDescent="0.3">
      <c r="J5600" s="1"/>
    </row>
    <row r="5601" spans="10:10" x14ac:dyDescent="0.3">
      <c r="J5601" s="1"/>
    </row>
    <row r="5602" spans="10:10" x14ac:dyDescent="0.3">
      <c r="J5602" s="1"/>
    </row>
    <row r="5603" spans="10:10" x14ac:dyDescent="0.3">
      <c r="J5603" s="1"/>
    </row>
    <row r="5604" spans="10:10" x14ac:dyDescent="0.3">
      <c r="J5604" s="1"/>
    </row>
    <row r="5605" spans="10:10" x14ac:dyDescent="0.3">
      <c r="J5605" s="1"/>
    </row>
    <row r="5606" spans="10:10" x14ac:dyDescent="0.3">
      <c r="J5606" s="1"/>
    </row>
    <row r="5607" spans="10:10" x14ac:dyDescent="0.3">
      <c r="J5607" s="1"/>
    </row>
    <row r="5608" spans="10:10" x14ac:dyDescent="0.3">
      <c r="J5608" s="1"/>
    </row>
    <row r="5609" spans="10:10" x14ac:dyDescent="0.3">
      <c r="J5609" s="1"/>
    </row>
    <row r="5610" spans="10:10" x14ac:dyDescent="0.3">
      <c r="J5610" s="1"/>
    </row>
    <row r="5611" spans="10:10" x14ac:dyDescent="0.3">
      <c r="J5611" s="1"/>
    </row>
    <row r="5612" spans="10:10" x14ac:dyDescent="0.3">
      <c r="J5612" s="1"/>
    </row>
    <row r="5613" spans="10:10" x14ac:dyDescent="0.3">
      <c r="J5613" s="1"/>
    </row>
    <row r="5614" spans="10:10" x14ac:dyDescent="0.3">
      <c r="J5614" s="1"/>
    </row>
    <row r="5615" spans="10:10" x14ac:dyDescent="0.3">
      <c r="J5615" s="1"/>
    </row>
    <row r="5616" spans="10:10" x14ac:dyDescent="0.3">
      <c r="J5616" s="1"/>
    </row>
    <row r="5617" spans="10:10" x14ac:dyDescent="0.3">
      <c r="J5617" s="1"/>
    </row>
    <row r="5618" spans="10:10" x14ac:dyDescent="0.3">
      <c r="J5618" s="1"/>
    </row>
    <row r="5619" spans="10:10" x14ac:dyDescent="0.3">
      <c r="J5619" s="1"/>
    </row>
    <row r="5620" spans="10:10" x14ac:dyDescent="0.3">
      <c r="J5620" s="1"/>
    </row>
    <row r="5621" spans="10:10" x14ac:dyDescent="0.3">
      <c r="J5621" s="1"/>
    </row>
    <row r="5622" spans="10:10" x14ac:dyDescent="0.3">
      <c r="J5622" s="1"/>
    </row>
    <row r="5623" spans="10:10" x14ac:dyDescent="0.3">
      <c r="J5623" s="1"/>
    </row>
    <row r="5624" spans="10:10" x14ac:dyDescent="0.3">
      <c r="J5624" s="1"/>
    </row>
    <row r="5625" spans="10:10" x14ac:dyDescent="0.3">
      <c r="J5625" s="1"/>
    </row>
    <row r="5626" spans="10:10" x14ac:dyDescent="0.3">
      <c r="J5626" s="1"/>
    </row>
    <row r="5627" spans="10:10" x14ac:dyDescent="0.3">
      <c r="J5627" s="1"/>
    </row>
    <row r="5628" spans="10:10" x14ac:dyDescent="0.3">
      <c r="J5628" s="1"/>
    </row>
    <row r="5629" spans="10:10" x14ac:dyDescent="0.3">
      <c r="J5629" s="1"/>
    </row>
    <row r="5630" spans="10:10" x14ac:dyDescent="0.3">
      <c r="J5630" s="1"/>
    </row>
    <row r="5631" spans="10:10" x14ac:dyDescent="0.3">
      <c r="J5631" s="1"/>
    </row>
    <row r="5632" spans="10:10" x14ac:dyDescent="0.3">
      <c r="J5632" s="1"/>
    </row>
    <row r="5633" spans="10:10" x14ac:dyDescent="0.3">
      <c r="J5633" s="1"/>
    </row>
    <row r="5634" spans="10:10" x14ac:dyDescent="0.3">
      <c r="J5634" s="1"/>
    </row>
    <row r="5635" spans="10:10" x14ac:dyDescent="0.3">
      <c r="J5635" s="1"/>
    </row>
    <row r="5636" spans="10:10" x14ac:dyDescent="0.3">
      <c r="J5636" s="1"/>
    </row>
    <row r="5637" spans="10:10" x14ac:dyDescent="0.3">
      <c r="J5637" s="1"/>
    </row>
    <row r="5638" spans="10:10" x14ac:dyDescent="0.3">
      <c r="J5638" s="1"/>
    </row>
    <row r="5639" spans="10:10" x14ac:dyDescent="0.3">
      <c r="J5639" s="1"/>
    </row>
    <row r="5640" spans="10:10" x14ac:dyDescent="0.3">
      <c r="J5640" s="1"/>
    </row>
    <row r="5641" spans="10:10" x14ac:dyDescent="0.3">
      <c r="J5641" s="1"/>
    </row>
    <row r="5642" spans="10:10" x14ac:dyDescent="0.3">
      <c r="J5642" s="1"/>
    </row>
    <row r="5643" spans="10:10" x14ac:dyDescent="0.3">
      <c r="J5643" s="1"/>
    </row>
    <row r="5644" spans="10:10" x14ac:dyDescent="0.3">
      <c r="J5644" s="1"/>
    </row>
    <row r="5645" spans="10:10" x14ac:dyDescent="0.3">
      <c r="J5645" s="1"/>
    </row>
    <row r="5646" spans="10:10" x14ac:dyDescent="0.3">
      <c r="J5646" s="1"/>
    </row>
    <row r="5647" spans="10:10" x14ac:dyDescent="0.3">
      <c r="J5647" s="1"/>
    </row>
    <row r="5648" spans="10:10" x14ac:dyDescent="0.3">
      <c r="J5648" s="1"/>
    </row>
    <row r="5649" spans="10:10" x14ac:dyDescent="0.3">
      <c r="J5649" s="1"/>
    </row>
    <row r="5650" spans="10:10" x14ac:dyDescent="0.3">
      <c r="J5650" s="1"/>
    </row>
    <row r="5651" spans="10:10" x14ac:dyDescent="0.3">
      <c r="J5651" s="1"/>
    </row>
    <row r="5652" spans="10:10" x14ac:dyDescent="0.3">
      <c r="J5652" s="1"/>
    </row>
    <row r="5653" spans="10:10" x14ac:dyDescent="0.3">
      <c r="J5653" s="1"/>
    </row>
    <row r="5654" spans="10:10" x14ac:dyDescent="0.3">
      <c r="J5654" s="1"/>
    </row>
    <row r="5655" spans="10:10" x14ac:dyDescent="0.3">
      <c r="J5655" s="1"/>
    </row>
    <row r="5656" spans="10:10" x14ac:dyDescent="0.3">
      <c r="J5656" s="1"/>
    </row>
    <row r="5657" spans="10:10" x14ac:dyDescent="0.3">
      <c r="J5657" s="1"/>
    </row>
    <row r="5658" spans="10:10" x14ac:dyDescent="0.3">
      <c r="J5658" s="1"/>
    </row>
    <row r="5659" spans="10:10" x14ac:dyDescent="0.3">
      <c r="J5659" s="1"/>
    </row>
    <row r="5660" spans="10:10" x14ac:dyDescent="0.3">
      <c r="J5660" s="1"/>
    </row>
    <row r="5661" spans="10:10" x14ac:dyDescent="0.3">
      <c r="J5661" s="1"/>
    </row>
    <row r="5662" spans="10:10" x14ac:dyDescent="0.3">
      <c r="J5662" s="1"/>
    </row>
    <row r="5663" spans="10:10" x14ac:dyDescent="0.3">
      <c r="J5663" s="1"/>
    </row>
    <row r="5664" spans="10:10" x14ac:dyDescent="0.3">
      <c r="J5664" s="1"/>
    </row>
    <row r="5665" spans="10:10" x14ac:dyDescent="0.3">
      <c r="J5665" s="1"/>
    </row>
    <row r="5666" spans="10:10" x14ac:dyDescent="0.3">
      <c r="J5666" s="1"/>
    </row>
    <row r="5667" spans="10:10" x14ac:dyDescent="0.3">
      <c r="J5667" s="1"/>
    </row>
    <row r="5668" spans="10:10" x14ac:dyDescent="0.3">
      <c r="J5668" s="1"/>
    </row>
    <row r="5669" spans="10:10" x14ac:dyDescent="0.3">
      <c r="J5669" s="1"/>
    </row>
    <row r="5670" spans="10:10" x14ac:dyDescent="0.3">
      <c r="J5670" s="1"/>
    </row>
    <row r="5671" spans="10:10" x14ac:dyDescent="0.3">
      <c r="J5671" s="1"/>
    </row>
    <row r="5672" spans="10:10" x14ac:dyDescent="0.3">
      <c r="J5672" s="1"/>
    </row>
    <row r="5673" spans="10:10" x14ac:dyDescent="0.3">
      <c r="J5673" s="1"/>
    </row>
    <row r="5674" spans="10:10" x14ac:dyDescent="0.3">
      <c r="J5674" s="1"/>
    </row>
    <row r="5675" spans="10:10" x14ac:dyDescent="0.3">
      <c r="J5675" s="1"/>
    </row>
    <row r="5676" spans="10:10" x14ac:dyDescent="0.3">
      <c r="J5676" s="1"/>
    </row>
    <row r="5677" spans="10:10" x14ac:dyDescent="0.3">
      <c r="J5677" s="1"/>
    </row>
    <row r="5678" spans="10:10" x14ac:dyDescent="0.3">
      <c r="J5678" s="1"/>
    </row>
    <row r="5679" spans="10:10" x14ac:dyDescent="0.3">
      <c r="J5679" s="1"/>
    </row>
    <row r="5680" spans="10:10" x14ac:dyDescent="0.3">
      <c r="J5680" s="1"/>
    </row>
    <row r="5681" spans="10:10" x14ac:dyDescent="0.3">
      <c r="J5681" s="1"/>
    </row>
    <row r="5682" spans="10:10" x14ac:dyDescent="0.3">
      <c r="J5682" s="1"/>
    </row>
    <row r="5683" spans="10:10" x14ac:dyDescent="0.3">
      <c r="J5683" s="1"/>
    </row>
    <row r="5684" spans="10:10" x14ac:dyDescent="0.3">
      <c r="J5684" s="1"/>
    </row>
    <row r="5685" spans="10:10" x14ac:dyDescent="0.3">
      <c r="J5685" s="1"/>
    </row>
    <row r="5686" spans="10:10" x14ac:dyDescent="0.3">
      <c r="J5686" s="1"/>
    </row>
    <row r="5687" spans="10:10" x14ac:dyDescent="0.3">
      <c r="J5687" s="1"/>
    </row>
    <row r="5688" spans="10:10" x14ac:dyDescent="0.3">
      <c r="J5688" s="1"/>
    </row>
    <row r="5689" spans="10:10" x14ac:dyDescent="0.3">
      <c r="J5689" s="1"/>
    </row>
    <row r="5690" spans="10:10" x14ac:dyDescent="0.3">
      <c r="J5690" s="1"/>
    </row>
    <row r="5691" spans="10:10" x14ac:dyDescent="0.3">
      <c r="J5691" s="1"/>
    </row>
    <row r="5692" spans="10:10" x14ac:dyDescent="0.3">
      <c r="J5692" s="1"/>
    </row>
    <row r="5693" spans="10:10" x14ac:dyDescent="0.3">
      <c r="J5693" s="1"/>
    </row>
    <row r="5694" spans="10:10" x14ac:dyDescent="0.3">
      <c r="J5694" s="1"/>
    </row>
    <row r="5695" spans="10:10" x14ac:dyDescent="0.3">
      <c r="J5695" s="1"/>
    </row>
    <row r="5696" spans="10:10" x14ac:dyDescent="0.3">
      <c r="J5696" s="1"/>
    </row>
    <row r="5697" spans="10:10" x14ac:dyDescent="0.3">
      <c r="J5697" s="1"/>
    </row>
    <row r="5698" spans="10:10" x14ac:dyDescent="0.3">
      <c r="J5698" s="1"/>
    </row>
    <row r="5699" spans="10:10" x14ac:dyDescent="0.3">
      <c r="J5699" s="1"/>
    </row>
    <row r="5700" spans="10:10" x14ac:dyDescent="0.3">
      <c r="J5700" s="1"/>
    </row>
    <row r="5701" spans="10:10" x14ac:dyDescent="0.3">
      <c r="J5701" s="1"/>
    </row>
    <row r="5702" spans="10:10" x14ac:dyDescent="0.3">
      <c r="J5702" s="1"/>
    </row>
    <row r="5703" spans="10:10" x14ac:dyDescent="0.3">
      <c r="J5703" s="1"/>
    </row>
    <row r="5704" spans="10:10" x14ac:dyDescent="0.3">
      <c r="J5704" s="1"/>
    </row>
    <row r="5705" spans="10:10" x14ac:dyDescent="0.3">
      <c r="J5705" s="1"/>
    </row>
    <row r="5706" spans="10:10" x14ac:dyDescent="0.3">
      <c r="J5706" s="1"/>
    </row>
    <row r="5707" spans="10:10" x14ac:dyDescent="0.3">
      <c r="J5707" s="1"/>
    </row>
    <row r="5708" spans="10:10" x14ac:dyDescent="0.3">
      <c r="J5708" s="1"/>
    </row>
    <row r="5709" spans="10:10" x14ac:dyDescent="0.3">
      <c r="J5709" s="1"/>
    </row>
    <row r="5710" spans="10:10" x14ac:dyDescent="0.3">
      <c r="J5710" s="1"/>
    </row>
    <row r="5711" spans="10:10" x14ac:dyDescent="0.3">
      <c r="J5711" s="1"/>
    </row>
    <row r="5712" spans="10:10" x14ac:dyDescent="0.3">
      <c r="J5712" s="1"/>
    </row>
    <row r="5713" spans="10:10" x14ac:dyDescent="0.3">
      <c r="J5713" s="1"/>
    </row>
    <row r="5714" spans="10:10" x14ac:dyDescent="0.3">
      <c r="J5714" s="1"/>
    </row>
    <row r="5715" spans="10:10" x14ac:dyDescent="0.3">
      <c r="J5715" s="1"/>
    </row>
    <row r="5716" spans="10:10" x14ac:dyDescent="0.3">
      <c r="J5716" s="1"/>
    </row>
    <row r="5717" spans="10:10" x14ac:dyDescent="0.3">
      <c r="J5717" s="1"/>
    </row>
    <row r="5718" spans="10:10" x14ac:dyDescent="0.3">
      <c r="J5718" s="1"/>
    </row>
    <row r="5719" spans="10:10" x14ac:dyDescent="0.3">
      <c r="J5719" s="1"/>
    </row>
    <row r="5720" spans="10:10" x14ac:dyDescent="0.3">
      <c r="J5720" s="1"/>
    </row>
    <row r="5721" spans="10:10" x14ac:dyDescent="0.3">
      <c r="J5721" s="1"/>
    </row>
    <row r="5722" spans="10:10" x14ac:dyDescent="0.3">
      <c r="J5722" s="1"/>
    </row>
    <row r="5723" spans="10:10" x14ac:dyDescent="0.3">
      <c r="J5723" s="1"/>
    </row>
    <row r="5724" spans="10:10" x14ac:dyDescent="0.3">
      <c r="J5724" s="1"/>
    </row>
    <row r="5725" spans="10:10" x14ac:dyDescent="0.3">
      <c r="J5725" s="1"/>
    </row>
    <row r="5726" spans="10:10" x14ac:dyDescent="0.3">
      <c r="J5726" s="1"/>
    </row>
    <row r="5727" spans="10:10" x14ac:dyDescent="0.3">
      <c r="J5727" s="1"/>
    </row>
    <row r="5728" spans="10:10" x14ac:dyDescent="0.3">
      <c r="J5728" s="1"/>
    </row>
    <row r="5729" spans="10:10" x14ac:dyDescent="0.3">
      <c r="J5729" s="1"/>
    </row>
    <row r="5730" spans="10:10" x14ac:dyDescent="0.3">
      <c r="J5730" s="1"/>
    </row>
    <row r="5731" spans="10:10" x14ac:dyDescent="0.3">
      <c r="J5731" s="1"/>
    </row>
    <row r="5732" spans="10:10" x14ac:dyDescent="0.3">
      <c r="J5732" s="1"/>
    </row>
    <row r="5733" spans="10:10" x14ac:dyDescent="0.3">
      <c r="J5733" s="1"/>
    </row>
    <row r="5734" spans="10:10" x14ac:dyDescent="0.3">
      <c r="J5734" s="1"/>
    </row>
    <row r="5735" spans="10:10" x14ac:dyDescent="0.3">
      <c r="J5735" s="1"/>
    </row>
    <row r="5736" spans="10:10" x14ac:dyDescent="0.3">
      <c r="J5736" s="1"/>
    </row>
    <row r="5737" spans="10:10" x14ac:dyDescent="0.3">
      <c r="J5737" s="1"/>
    </row>
    <row r="5738" spans="10:10" x14ac:dyDescent="0.3">
      <c r="J5738" s="1"/>
    </row>
    <row r="5739" spans="10:10" x14ac:dyDescent="0.3">
      <c r="J5739" s="1"/>
    </row>
    <row r="5740" spans="10:10" x14ac:dyDescent="0.3">
      <c r="J5740" s="1"/>
    </row>
    <row r="5741" spans="10:10" x14ac:dyDescent="0.3">
      <c r="J5741" s="1"/>
    </row>
    <row r="5742" spans="10:10" x14ac:dyDescent="0.3">
      <c r="J5742" s="1"/>
    </row>
    <row r="5743" spans="10:10" x14ac:dyDescent="0.3">
      <c r="J5743" s="1"/>
    </row>
    <row r="5744" spans="10:10" x14ac:dyDescent="0.3">
      <c r="J5744" s="1"/>
    </row>
    <row r="5745" spans="10:10" x14ac:dyDescent="0.3">
      <c r="J5745" s="1"/>
    </row>
    <row r="5746" spans="10:10" x14ac:dyDescent="0.3">
      <c r="J5746" s="1"/>
    </row>
    <row r="5747" spans="10:10" x14ac:dyDescent="0.3">
      <c r="J5747" s="1"/>
    </row>
    <row r="5748" spans="10:10" x14ac:dyDescent="0.3">
      <c r="J5748" s="1"/>
    </row>
    <row r="5749" spans="10:10" x14ac:dyDescent="0.3">
      <c r="J5749" s="1"/>
    </row>
    <row r="5750" spans="10:10" x14ac:dyDescent="0.3">
      <c r="J5750" s="1"/>
    </row>
    <row r="5751" spans="10:10" x14ac:dyDescent="0.3">
      <c r="J5751" s="1"/>
    </row>
    <row r="5752" spans="10:10" x14ac:dyDescent="0.3">
      <c r="J5752" s="1"/>
    </row>
    <row r="5753" spans="10:10" x14ac:dyDescent="0.3">
      <c r="J5753" s="1"/>
    </row>
    <row r="5754" spans="10:10" x14ac:dyDescent="0.3">
      <c r="J5754" s="1"/>
    </row>
    <row r="5755" spans="10:10" x14ac:dyDescent="0.3">
      <c r="J5755" s="1"/>
    </row>
    <row r="5756" spans="10:10" x14ac:dyDescent="0.3">
      <c r="J5756" s="1"/>
    </row>
    <row r="5757" spans="10:10" x14ac:dyDescent="0.3">
      <c r="J5757" s="1"/>
    </row>
    <row r="5758" spans="10:10" x14ac:dyDescent="0.3">
      <c r="J5758" s="1"/>
    </row>
    <row r="5759" spans="10:10" x14ac:dyDescent="0.3">
      <c r="J5759" s="1"/>
    </row>
    <row r="5760" spans="10:10" x14ac:dyDescent="0.3">
      <c r="J5760" s="1"/>
    </row>
    <row r="5761" spans="10:10" x14ac:dyDescent="0.3">
      <c r="J5761" s="1"/>
    </row>
    <row r="5762" spans="10:10" x14ac:dyDescent="0.3">
      <c r="J5762" s="1"/>
    </row>
    <row r="5763" spans="10:10" x14ac:dyDescent="0.3">
      <c r="J5763" s="1"/>
    </row>
    <row r="5764" spans="10:10" x14ac:dyDescent="0.3">
      <c r="J5764" s="1"/>
    </row>
    <row r="5765" spans="10:10" x14ac:dyDescent="0.3">
      <c r="J5765" s="1"/>
    </row>
    <row r="5766" spans="10:10" x14ac:dyDescent="0.3">
      <c r="J5766" s="1"/>
    </row>
    <row r="5767" spans="10:10" x14ac:dyDescent="0.3">
      <c r="J5767" s="1"/>
    </row>
    <row r="5768" spans="10:10" x14ac:dyDescent="0.3">
      <c r="J5768" s="1"/>
    </row>
    <row r="5769" spans="10:10" x14ac:dyDescent="0.3">
      <c r="J5769" s="1"/>
    </row>
    <row r="5770" spans="10:10" x14ac:dyDescent="0.3">
      <c r="J5770" s="1"/>
    </row>
    <row r="5771" spans="10:10" x14ac:dyDescent="0.3">
      <c r="J5771" s="1"/>
    </row>
    <row r="5772" spans="10:10" x14ac:dyDescent="0.3">
      <c r="J5772" s="1"/>
    </row>
    <row r="5773" spans="10:10" x14ac:dyDescent="0.3">
      <c r="J5773" s="1"/>
    </row>
    <row r="5774" spans="10:10" x14ac:dyDescent="0.3">
      <c r="J5774" s="1"/>
    </row>
    <row r="5775" spans="10:10" x14ac:dyDescent="0.3">
      <c r="J5775" s="1"/>
    </row>
    <row r="5776" spans="10:10" x14ac:dyDescent="0.3">
      <c r="J5776" s="1"/>
    </row>
    <row r="5777" spans="10:10" x14ac:dyDescent="0.3">
      <c r="J5777" s="1"/>
    </row>
    <row r="5778" spans="10:10" x14ac:dyDescent="0.3">
      <c r="J5778" s="1"/>
    </row>
    <row r="5779" spans="10:10" x14ac:dyDescent="0.3">
      <c r="J5779" s="1"/>
    </row>
    <row r="5780" spans="10:10" x14ac:dyDescent="0.3">
      <c r="J5780" s="1"/>
    </row>
    <row r="5781" spans="10:10" x14ac:dyDescent="0.3">
      <c r="J5781" s="1"/>
    </row>
    <row r="5782" spans="10:10" x14ac:dyDescent="0.3">
      <c r="J5782" s="1"/>
    </row>
    <row r="5783" spans="10:10" x14ac:dyDescent="0.3">
      <c r="J5783" s="1"/>
    </row>
    <row r="5784" spans="10:10" x14ac:dyDescent="0.3">
      <c r="J5784" s="1"/>
    </row>
    <row r="5785" spans="10:10" x14ac:dyDescent="0.3">
      <c r="J5785" s="1"/>
    </row>
    <row r="5786" spans="10:10" x14ac:dyDescent="0.3">
      <c r="J5786" s="1"/>
    </row>
    <row r="5787" spans="10:10" x14ac:dyDescent="0.3">
      <c r="J5787" s="1"/>
    </row>
    <row r="5788" spans="10:10" x14ac:dyDescent="0.3">
      <c r="J5788" s="1"/>
    </row>
    <row r="5789" spans="10:10" x14ac:dyDescent="0.3">
      <c r="J5789" s="1"/>
    </row>
    <row r="5790" spans="10:10" x14ac:dyDescent="0.3">
      <c r="J5790" s="1"/>
    </row>
    <row r="5791" spans="10:10" x14ac:dyDescent="0.3">
      <c r="J5791" s="1"/>
    </row>
    <row r="5792" spans="10:10" x14ac:dyDescent="0.3">
      <c r="J5792" s="1"/>
    </row>
    <row r="5793" spans="10:10" x14ac:dyDescent="0.3">
      <c r="J5793" s="1"/>
    </row>
    <row r="5794" spans="10:10" x14ac:dyDescent="0.3">
      <c r="J5794" s="1"/>
    </row>
    <row r="5795" spans="10:10" x14ac:dyDescent="0.3">
      <c r="J5795" s="1"/>
    </row>
    <row r="5796" spans="10:10" x14ac:dyDescent="0.3">
      <c r="J5796" s="1"/>
    </row>
    <row r="5797" spans="10:10" x14ac:dyDescent="0.3">
      <c r="J5797" s="1"/>
    </row>
    <row r="5798" spans="10:10" x14ac:dyDescent="0.3">
      <c r="J5798" s="1"/>
    </row>
    <row r="5799" spans="10:10" x14ac:dyDescent="0.3">
      <c r="J5799" s="1"/>
    </row>
    <row r="5800" spans="10:10" x14ac:dyDescent="0.3">
      <c r="J5800" s="1"/>
    </row>
    <row r="5801" spans="10:10" x14ac:dyDescent="0.3">
      <c r="J5801" s="1"/>
    </row>
    <row r="5802" spans="10:10" x14ac:dyDescent="0.3">
      <c r="J5802" s="1"/>
    </row>
    <row r="5803" spans="10:10" x14ac:dyDescent="0.3">
      <c r="J5803" s="1"/>
    </row>
    <row r="5804" spans="10:10" x14ac:dyDescent="0.3">
      <c r="J5804" s="1"/>
    </row>
    <row r="5805" spans="10:10" x14ac:dyDescent="0.3">
      <c r="J5805" s="1"/>
    </row>
    <row r="5806" spans="10:10" x14ac:dyDescent="0.3">
      <c r="J5806" s="1"/>
    </row>
    <row r="5807" spans="10:10" x14ac:dyDescent="0.3">
      <c r="J5807" s="1"/>
    </row>
    <row r="5808" spans="10:10" x14ac:dyDescent="0.3">
      <c r="J5808" s="1"/>
    </row>
    <row r="5809" spans="10:10" x14ac:dyDescent="0.3">
      <c r="J5809" s="1"/>
    </row>
    <row r="5810" spans="10:10" x14ac:dyDescent="0.3">
      <c r="J5810" s="1"/>
    </row>
    <row r="5811" spans="10:10" x14ac:dyDescent="0.3">
      <c r="J5811" s="1"/>
    </row>
    <row r="5812" spans="10:10" x14ac:dyDescent="0.3">
      <c r="J5812" s="1"/>
    </row>
    <row r="5813" spans="10:10" x14ac:dyDescent="0.3">
      <c r="J5813" s="1"/>
    </row>
    <row r="5814" spans="10:10" x14ac:dyDescent="0.3">
      <c r="J5814" s="1"/>
    </row>
    <row r="5815" spans="10:10" x14ac:dyDescent="0.3">
      <c r="J5815" s="1"/>
    </row>
    <row r="5816" spans="10:10" x14ac:dyDescent="0.3">
      <c r="J5816" s="1"/>
    </row>
    <row r="5817" spans="10:10" x14ac:dyDescent="0.3">
      <c r="J5817" s="1"/>
    </row>
    <row r="5818" spans="10:10" x14ac:dyDescent="0.3">
      <c r="J5818" s="1"/>
    </row>
    <row r="5819" spans="10:10" x14ac:dyDescent="0.3">
      <c r="J5819" s="1"/>
    </row>
    <row r="5820" spans="10:10" x14ac:dyDescent="0.3">
      <c r="J5820" s="1"/>
    </row>
    <row r="5821" spans="10:10" x14ac:dyDescent="0.3">
      <c r="J5821" s="1"/>
    </row>
    <row r="5822" spans="10:10" x14ac:dyDescent="0.3">
      <c r="J5822" s="1"/>
    </row>
    <row r="5823" spans="10:10" x14ac:dyDescent="0.3">
      <c r="J5823" s="1"/>
    </row>
    <row r="5824" spans="10:10" x14ac:dyDescent="0.3">
      <c r="J5824" s="1"/>
    </row>
    <row r="5825" spans="10:10" x14ac:dyDescent="0.3">
      <c r="J5825" s="1"/>
    </row>
    <row r="5826" spans="10:10" x14ac:dyDescent="0.3">
      <c r="J5826" s="1"/>
    </row>
    <row r="5827" spans="10:10" x14ac:dyDescent="0.3">
      <c r="J5827" s="1"/>
    </row>
    <row r="5828" spans="10:10" x14ac:dyDescent="0.3">
      <c r="J5828" s="1"/>
    </row>
    <row r="5829" spans="10:10" x14ac:dyDescent="0.3">
      <c r="J5829" s="1"/>
    </row>
    <row r="5830" spans="10:10" x14ac:dyDescent="0.3">
      <c r="J5830" s="1"/>
    </row>
    <row r="5831" spans="10:10" x14ac:dyDescent="0.3">
      <c r="J5831" s="1"/>
    </row>
    <row r="5832" spans="10:10" x14ac:dyDescent="0.3">
      <c r="J5832" s="1"/>
    </row>
    <row r="5833" spans="10:10" x14ac:dyDescent="0.3">
      <c r="J5833" s="1"/>
    </row>
    <row r="5834" spans="10:10" x14ac:dyDescent="0.3">
      <c r="J5834" s="1"/>
    </row>
    <row r="5835" spans="10:10" x14ac:dyDescent="0.3">
      <c r="J5835" s="1"/>
    </row>
    <row r="5836" spans="10:10" x14ac:dyDescent="0.3">
      <c r="J5836" s="1"/>
    </row>
    <row r="5837" spans="10:10" x14ac:dyDescent="0.3">
      <c r="J5837" s="1"/>
    </row>
    <row r="5838" spans="10:10" x14ac:dyDescent="0.3">
      <c r="J5838" s="1"/>
    </row>
    <row r="5839" spans="10:10" x14ac:dyDescent="0.3">
      <c r="J5839" s="1"/>
    </row>
    <row r="5840" spans="10:10" x14ac:dyDescent="0.3">
      <c r="J5840" s="1"/>
    </row>
    <row r="5841" spans="10:10" x14ac:dyDescent="0.3">
      <c r="J5841" s="1"/>
    </row>
    <row r="5842" spans="10:10" x14ac:dyDescent="0.3">
      <c r="J5842" s="1"/>
    </row>
    <row r="5843" spans="10:10" x14ac:dyDescent="0.3">
      <c r="J5843" s="1"/>
    </row>
    <row r="5844" spans="10:10" x14ac:dyDescent="0.3">
      <c r="J5844" s="1"/>
    </row>
    <row r="5845" spans="10:10" x14ac:dyDescent="0.3">
      <c r="J5845" s="1"/>
    </row>
    <row r="5846" spans="10:10" x14ac:dyDescent="0.3">
      <c r="J5846" s="1"/>
    </row>
    <row r="5847" spans="10:10" x14ac:dyDescent="0.3">
      <c r="J5847" s="1"/>
    </row>
    <row r="5848" spans="10:10" x14ac:dyDescent="0.3">
      <c r="J5848" s="1"/>
    </row>
    <row r="5849" spans="10:10" x14ac:dyDescent="0.3">
      <c r="J5849" s="1"/>
    </row>
    <row r="5850" spans="10:10" x14ac:dyDescent="0.3">
      <c r="J5850" s="1"/>
    </row>
    <row r="5851" spans="10:10" x14ac:dyDescent="0.3">
      <c r="J5851" s="1"/>
    </row>
    <row r="5852" spans="10:10" x14ac:dyDescent="0.3">
      <c r="J5852" s="1"/>
    </row>
    <row r="5853" spans="10:10" x14ac:dyDescent="0.3">
      <c r="J5853" s="1"/>
    </row>
    <row r="5854" spans="10:10" x14ac:dyDescent="0.3">
      <c r="J5854" s="1"/>
    </row>
    <row r="5855" spans="10:10" x14ac:dyDescent="0.3">
      <c r="J5855" s="1"/>
    </row>
    <row r="5856" spans="10:10" x14ac:dyDescent="0.3">
      <c r="J5856" s="1"/>
    </row>
    <row r="5857" spans="10:10" x14ac:dyDescent="0.3">
      <c r="J5857" s="1"/>
    </row>
    <row r="5858" spans="10:10" x14ac:dyDescent="0.3">
      <c r="J5858" s="1"/>
    </row>
    <row r="5859" spans="10:10" x14ac:dyDescent="0.3">
      <c r="J5859" s="1"/>
    </row>
    <row r="5860" spans="10:10" x14ac:dyDescent="0.3">
      <c r="J5860" s="1"/>
    </row>
    <row r="5861" spans="10:10" x14ac:dyDescent="0.3">
      <c r="J5861" s="1"/>
    </row>
    <row r="5862" spans="10:10" x14ac:dyDescent="0.3">
      <c r="J5862" s="1"/>
    </row>
    <row r="5863" spans="10:10" x14ac:dyDescent="0.3">
      <c r="J5863" s="1"/>
    </row>
    <row r="5864" spans="10:10" x14ac:dyDescent="0.3">
      <c r="J5864" s="1"/>
    </row>
    <row r="5865" spans="10:10" x14ac:dyDescent="0.3">
      <c r="J5865" s="1"/>
    </row>
    <row r="5866" spans="10:10" x14ac:dyDescent="0.3">
      <c r="J5866" s="1"/>
    </row>
    <row r="5867" spans="10:10" x14ac:dyDescent="0.3">
      <c r="J5867" s="1"/>
    </row>
    <row r="5868" spans="10:10" x14ac:dyDescent="0.3">
      <c r="J5868" s="1"/>
    </row>
    <row r="5869" spans="10:10" x14ac:dyDescent="0.3">
      <c r="J5869" s="1"/>
    </row>
    <row r="5870" spans="10:10" x14ac:dyDescent="0.3">
      <c r="J5870" s="1"/>
    </row>
    <row r="5871" spans="10:10" x14ac:dyDescent="0.3">
      <c r="J5871" s="1"/>
    </row>
    <row r="5872" spans="10:10" x14ac:dyDescent="0.3">
      <c r="J5872" s="1"/>
    </row>
    <row r="5873" spans="10:10" x14ac:dyDescent="0.3">
      <c r="J5873" s="1"/>
    </row>
    <row r="5874" spans="10:10" x14ac:dyDescent="0.3">
      <c r="J5874" s="1"/>
    </row>
    <row r="5875" spans="10:10" x14ac:dyDescent="0.3">
      <c r="J5875" s="1"/>
    </row>
    <row r="5876" spans="10:10" x14ac:dyDescent="0.3">
      <c r="J5876" s="1"/>
    </row>
    <row r="5877" spans="10:10" x14ac:dyDescent="0.3">
      <c r="J5877" s="1"/>
    </row>
    <row r="5878" spans="10:10" x14ac:dyDescent="0.3">
      <c r="J5878" s="1"/>
    </row>
    <row r="5879" spans="10:10" x14ac:dyDescent="0.3">
      <c r="J5879" s="1"/>
    </row>
    <row r="5880" spans="10:10" x14ac:dyDescent="0.3">
      <c r="J5880" s="1"/>
    </row>
    <row r="5881" spans="10:10" x14ac:dyDescent="0.3">
      <c r="J5881" s="1"/>
    </row>
    <row r="5882" spans="10:10" x14ac:dyDescent="0.3">
      <c r="J5882" s="1"/>
    </row>
    <row r="5883" spans="10:10" x14ac:dyDescent="0.3">
      <c r="J5883" s="1"/>
    </row>
    <row r="5884" spans="10:10" x14ac:dyDescent="0.3">
      <c r="J5884" s="1"/>
    </row>
    <row r="5885" spans="10:10" x14ac:dyDescent="0.3">
      <c r="J5885" s="1"/>
    </row>
    <row r="5886" spans="10:10" x14ac:dyDescent="0.3">
      <c r="J5886" s="1"/>
    </row>
    <row r="5887" spans="10:10" x14ac:dyDescent="0.3">
      <c r="J5887" s="1"/>
    </row>
    <row r="5888" spans="10:10" x14ac:dyDescent="0.3">
      <c r="J5888" s="1"/>
    </row>
    <row r="5889" spans="10:10" x14ac:dyDescent="0.3">
      <c r="J5889" s="1"/>
    </row>
    <row r="5890" spans="10:10" x14ac:dyDescent="0.3">
      <c r="J5890" s="1"/>
    </row>
    <row r="5891" spans="10:10" x14ac:dyDescent="0.3">
      <c r="J5891" s="1"/>
    </row>
    <row r="5892" spans="10:10" x14ac:dyDescent="0.3">
      <c r="J5892" s="1"/>
    </row>
    <row r="5893" spans="10:10" x14ac:dyDescent="0.3">
      <c r="J5893" s="1"/>
    </row>
    <row r="5894" spans="10:10" x14ac:dyDescent="0.3">
      <c r="J5894" s="1"/>
    </row>
    <row r="5895" spans="10:10" x14ac:dyDescent="0.3">
      <c r="J5895" s="1"/>
    </row>
    <row r="5896" spans="10:10" x14ac:dyDescent="0.3">
      <c r="J5896" s="1"/>
    </row>
    <row r="5897" spans="10:10" x14ac:dyDescent="0.3">
      <c r="J5897" s="1"/>
    </row>
    <row r="5898" spans="10:10" x14ac:dyDescent="0.3">
      <c r="J5898" s="1"/>
    </row>
    <row r="5899" spans="10:10" x14ac:dyDescent="0.3">
      <c r="J5899" s="1"/>
    </row>
    <row r="5900" spans="10:10" x14ac:dyDescent="0.3">
      <c r="J5900" s="1"/>
    </row>
    <row r="5901" spans="10:10" x14ac:dyDescent="0.3">
      <c r="J5901" s="1"/>
    </row>
    <row r="5902" spans="10:10" x14ac:dyDescent="0.3">
      <c r="J5902" s="1"/>
    </row>
    <row r="5903" spans="10:10" x14ac:dyDescent="0.3">
      <c r="J5903" s="1"/>
    </row>
    <row r="5904" spans="10:10" x14ac:dyDescent="0.3">
      <c r="J5904" s="1"/>
    </row>
    <row r="5905" spans="10:10" x14ac:dyDescent="0.3">
      <c r="J5905" s="1"/>
    </row>
    <row r="5906" spans="10:10" x14ac:dyDescent="0.3">
      <c r="J5906" s="1"/>
    </row>
    <row r="5907" spans="10:10" x14ac:dyDescent="0.3">
      <c r="J5907" s="1"/>
    </row>
    <row r="5908" spans="10:10" x14ac:dyDescent="0.3">
      <c r="J5908" s="1"/>
    </row>
    <row r="5909" spans="10:10" x14ac:dyDescent="0.3">
      <c r="J5909" s="1"/>
    </row>
    <row r="5910" spans="10:10" x14ac:dyDescent="0.3">
      <c r="J5910" s="1"/>
    </row>
    <row r="5911" spans="10:10" x14ac:dyDescent="0.3">
      <c r="J5911" s="1"/>
    </row>
    <row r="5912" spans="10:10" x14ac:dyDescent="0.3">
      <c r="J5912" s="1"/>
    </row>
    <row r="5913" spans="10:10" x14ac:dyDescent="0.3">
      <c r="J5913" s="1"/>
    </row>
    <row r="5914" spans="10:10" x14ac:dyDescent="0.3">
      <c r="J5914" s="1"/>
    </row>
    <row r="5915" spans="10:10" x14ac:dyDescent="0.3">
      <c r="J5915" s="1"/>
    </row>
    <row r="5916" spans="10:10" x14ac:dyDescent="0.3">
      <c r="J5916" s="1"/>
    </row>
    <row r="5917" spans="10:10" x14ac:dyDescent="0.3">
      <c r="J5917" s="1"/>
    </row>
    <row r="5918" spans="10:10" x14ac:dyDescent="0.3">
      <c r="J5918" s="1"/>
    </row>
    <row r="5919" spans="10:10" x14ac:dyDescent="0.3">
      <c r="J5919" s="1"/>
    </row>
    <row r="5920" spans="10:10" x14ac:dyDescent="0.3">
      <c r="J5920" s="1"/>
    </row>
    <row r="5921" spans="10:10" x14ac:dyDescent="0.3">
      <c r="J5921" s="1"/>
    </row>
    <row r="5922" spans="10:10" x14ac:dyDescent="0.3">
      <c r="J5922" s="1"/>
    </row>
    <row r="5923" spans="10:10" x14ac:dyDescent="0.3">
      <c r="J5923" s="1"/>
    </row>
    <row r="5924" spans="10:10" x14ac:dyDescent="0.3">
      <c r="J5924" s="1"/>
    </row>
    <row r="5925" spans="10:10" x14ac:dyDescent="0.3">
      <c r="J5925" s="1"/>
    </row>
    <row r="5926" spans="10:10" x14ac:dyDescent="0.3">
      <c r="J5926" s="1"/>
    </row>
    <row r="5927" spans="10:10" x14ac:dyDescent="0.3">
      <c r="J5927" s="1"/>
    </row>
    <row r="5928" spans="10:10" x14ac:dyDescent="0.3">
      <c r="J5928" s="1"/>
    </row>
    <row r="5929" spans="10:10" x14ac:dyDescent="0.3">
      <c r="J5929" s="1"/>
    </row>
    <row r="5930" spans="10:10" x14ac:dyDescent="0.3">
      <c r="J5930" s="1"/>
    </row>
    <row r="5931" spans="10:10" x14ac:dyDescent="0.3">
      <c r="J5931" s="1"/>
    </row>
    <row r="5932" spans="10:10" x14ac:dyDescent="0.3">
      <c r="J5932" s="1"/>
    </row>
    <row r="5933" spans="10:10" x14ac:dyDescent="0.3">
      <c r="J5933" s="1"/>
    </row>
    <row r="5934" spans="10:10" x14ac:dyDescent="0.3">
      <c r="J5934" s="1"/>
    </row>
    <row r="5935" spans="10:10" x14ac:dyDescent="0.3">
      <c r="J5935" s="1"/>
    </row>
    <row r="5936" spans="10:10" x14ac:dyDescent="0.3">
      <c r="J5936" s="1"/>
    </row>
    <row r="5937" spans="10:10" x14ac:dyDescent="0.3">
      <c r="J5937" s="1"/>
    </row>
    <row r="5938" spans="10:10" x14ac:dyDescent="0.3">
      <c r="J5938" s="1"/>
    </row>
    <row r="5939" spans="10:10" x14ac:dyDescent="0.3">
      <c r="J5939" s="1"/>
    </row>
    <row r="5940" spans="10:10" x14ac:dyDescent="0.3">
      <c r="J5940" s="1"/>
    </row>
    <row r="5941" spans="10:10" x14ac:dyDescent="0.3">
      <c r="J5941" s="1"/>
    </row>
    <row r="5942" spans="10:10" x14ac:dyDescent="0.3">
      <c r="J5942" s="1"/>
    </row>
    <row r="5943" spans="10:10" x14ac:dyDescent="0.3">
      <c r="J5943" s="1"/>
    </row>
    <row r="5944" spans="10:10" x14ac:dyDescent="0.3">
      <c r="J5944" s="1"/>
    </row>
    <row r="5945" spans="10:10" x14ac:dyDescent="0.3">
      <c r="J5945" s="1"/>
    </row>
    <row r="5946" spans="10:10" x14ac:dyDescent="0.3">
      <c r="J5946" s="1"/>
    </row>
    <row r="5947" spans="10:10" x14ac:dyDescent="0.3">
      <c r="J5947" s="1"/>
    </row>
    <row r="5948" spans="10:10" x14ac:dyDescent="0.3">
      <c r="J5948" s="1"/>
    </row>
    <row r="5949" spans="10:10" x14ac:dyDescent="0.3">
      <c r="J5949" s="1"/>
    </row>
    <row r="5950" spans="10:10" x14ac:dyDescent="0.3">
      <c r="J5950" s="1"/>
    </row>
    <row r="5951" spans="10:10" x14ac:dyDescent="0.3">
      <c r="J5951" s="1"/>
    </row>
    <row r="5952" spans="10:10" x14ac:dyDescent="0.3">
      <c r="J5952" s="1"/>
    </row>
    <row r="5953" spans="10:10" x14ac:dyDescent="0.3">
      <c r="J5953" s="1"/>
    </row>
    <row r="5954" spans="10:10" x14ac:dyDescent="0.3">
      <c r="J5954" s="1"/>
    </row>
    <row r="5955" spans="10:10" x14ac:dyDescent="0.3">
      <c r="J5955" s="1"/>
    </row>
    <row r="5956" spans="10:10" x14ac:dyDescent="0.3">
      <c r="J5956" s="1"/>
    </row>
    <row r="5957" spans="10:10" x14ac:dyDescent="0.3">
      <c r="J5957" s="1"/>
    </row>
    <row r="5958" spans="10:10" x14ac:dyDescent="0.3">
      <c r="J5958" s="1"/>
    </row>
    <row r="5959" spans="10:10" x14ac:dyDescent="0.3">
      <c r="J5959" s="1"/>
    </row>
    <row r="5960" spans="10:10" x14ac:dyDescent="0.3">
      <c r="J5960" s="1"/>
    </row>
    <row r="5961" spans="10:10" x14ac:dyDescent="0.3">
      <c r="J5961" s="1"/>
    </row>
    <row r="5962" spans="10:10" x14ac:dyDescent="0.3">
      <c r="J5962" s="1"/>
    </row>
    <row r="5963" spans="10:10" x14ac:dyDescent="0.3">
      <c r="J5963" s="1"/>
    </row>
    <row r="5964" spans="10:10" x14ac:dyDescent="0.3">
      <c r="J5964" s="1"/>
    </row>
    <row r="5965" spans="10:10" x14ac:dyDescent="0.3">
      <c r="J5965" s="1"/>
    </row>
    <row r="5966" spans="10:10" x14ac:dyDescent="0.3">
      <c r="J5966" s="1"/>
    </row>
    <row r="5967" spans="10:10" x14ac:dyDescent="0.3">
      <c r="J5967" s="1"/>
    </row>
    <row r="5968" spans="10:10" x14ac:dyDescent="0.3">
      <c r="J5968" s="1"/>
    </row>
    <row r="5969" spans="10:10" x14ac:dyDescent="0.3">
      <c r="J5969" s="1"/>
    </row>
    <row r="5970" spans="10:10" x14ac:dyDescent="0.3">
      <c r="J5970" s="1"/>
    </row>
    <row r="5971" spans="10:10" x14ac:dyDescent="0.3">
      <c r="J5971" s="1"/>
    </row>
    <row r="5972" spans="10:10" x14ac:dyDescent="0.3">
      <c r="J5972" s="1"/>
    </row>
    <row r="5973" spans="10:10" x14ac:dyDescent="0.3">
      <c r="J5973" s="1"/>
    </row>
    <row r="5974" spans="10:10" x14ac:dyDescent="0.3">
      <c r="J5974" s="1"/>
    </row>
    <row r="5975" spans="10:10" x14ac:dyDescent="0.3">
      <c r="J5975" s="1"/>
    </row>
    <row r="5976" spans="10:10" x14ac:dyDescent="0.3">
      <c r="J5976" s="1"/>
    </row>
    <row r="5977" spans="10:10" x14ac:dyDescent="0.3">
      <c r="J5977" s="1"/>
    </row>
    <row r="5978" spans="10:10" x14ac:dyDescent="0.3">
      <c r="J5978" s="1"/>
    </row>
    <row r="5979" spans="10:10" x14ac:dyDescent="0.3">
      <c r="J5979" s="1"/>
    </row>
    <row r="5980" spans="10:10" x14ac:dyDescent="0.3">
      <c r="J5980" s="1"/>
    </row>
    <row r="5981" spans="10:10" x14ac:dyDescent="0.3">
      <c r="J5981" s="1"/>
    </row>
    <row r="5982" spans="10:10" x14ac:dyDescent="0.3">
      <c r="J5982" s="1"/>
    </row>
    <row r="5983" spans="10:10" x14ac:dyDescent="0.3">
      <c r="J5983" s="1"/>
    </row>
    <row r="5984" spans="10:10" x14ac:dyDescent="0.3">
      <c r="J5984" s="1"/>
    </row>
    <row r="5985" spans="10:10" x14ac:dyDescent="0.3">
      <c r="J5985" s="1"/>
    </row>
    <row r="5986" spans="10:10" x14ac:dyDescent="0.3">
      <c r="J5986" s="1"/>
    </row>
    <row r="5987" spans="10:10" x14ac:dyDescent="0.3">
      <c r="J5987" s="1"/>
    </row>
    <row r="5988" spans="10:10" x14ac:dyDescent="0.3">
      <c r="J5988" s="1"/>
    </row>
    <row r="5989" spans="10:10" x14ac:dyDescent="0.3">
      <c r="J5989" s="1"/>
    </row>
    <row r="5990" spans="10:10" x14ac:dyDescent="0.3">
      <c r="J5990" s="1"/>
    </row>
    <row r="5991" spans="10:10" x14ac:dyDescent="0.3">
      <c r="J5991" s="1"/>
    </row>
    <row r="5992" spans="10:10" x14ac:dyDescent="0.3">
      <c r="J5992" s="1"/>
    </row>
    <row r="5993" spans="10:10" x14ac:dyDescent="0.3">
      <c r="J5993" s="1"/>
    </row>
    <row r="5994" spans="10:10" x14ac:dyDescent="0.3">
      <c r="J5994" s="1"/>
    </row>
    <row r="5995" spans="10:10" x14ac:dyDescent="0.3">
      <c r="J5995" s="1"/>
    </row>
    <row r="5996" spans="10:10" x14ac:dyDescent="0.3">
      <c r="J5996" s="1"/>
    </row>
    <row r="5997" spans="10:10" x14ac:dyDescent="0.3">
      <c r="J5997" s="1"/>
    </row>
    <row r="5998" spans="10:10" x14ac:dyDescent="0.3">
      <c r="J5998" s="1"/>
    </row>
    <row r="5999" spans="10:10" x14ac:dyDescent="0.3">
      <c r="J5999" s="1"/>
    </row>
    <row r="6000" spans="10:10" x14ac:dyDescent="0.3">
      <c r="J6000" s="1"/>
    </row>
    <row r="6001" spans="10:10" x14ac:dyDescent="0.3">
      <c r="J6001" s="1"/>
    </row>
    <row r="6002" spans="10:10" x14ac:dyDescent="0.3">
      <c r="J6002" s="1"/>
    </row>
    <row r="6003" spans="10:10" x14ac:dyDescent="0.3">
      <c r="J6003" s="1"/>
    </row>
    <row r="6004" spans="10:10" x14ac:dyDescent="0.3">
      <c r="J6004" s="1"/>
    </row>
    <row r="6005" spans="10:10" x14ac:dyDescent="0.3">
      <c r="J6005" s="1"/>
    </row>
    <row r="6006" spans="10:10" x14ac:dyDescent="0.3">
      <c r="J6006" s="1"/>
    </row>
    <row r="6007" spans="10:10" x14ac:dyDescent="0.3">
      <c r="J6007" s="1"/>
    </row>
    <row r="6008" spans="10:10" x14ac:dyDescent="0.3">
      <c r="J6008" s="1"/>
    </row>
    <row r="6009" spans="10:10" x14ac:dyDescent="0.3">
      <c r="J6009" s="1"/>
    </row>
    <row r="6010" spans="10:10" x14ac:dyDescent="0.3">
      <c r="J6010" s="1"/>
    </row>
    <row r="6011" spans="10:10" x14ac:dyDescent="0.3">
      <c r="J6011" s="1"/>
    </row>
    <row r="6012" spans="10:10" x14ac:dyDescent="0.3">
      <c r="J6012" s="1"/>
    </row>
    <row r="6013" spans="10:10" x14ac:dyDescent="0.3">
      <c r="J6013" s="1"/>
    </row>
    <row r="6014" spans="10:10" x14ac:dyDescent="0.3">
      <c r="J6014" s="1"/>
    </row>
    <row r="6015" spans="10:10" x14ac:dyDescent="0.3">
      <c r="J6015" s="1"/>
    </row>
    <row r="6016" spans="10:10" x14ac:dyDescent="0.3">
      <c r="J6016" s="1"/>
    </row>
    <row r="6017" spans="10:10" x14ac:dyDescent="0.3">
      <c r="J6017" s="1"/>
    </row>
    <row r="6018" spans="10:10" x14ac:dyDescent="0.3">
      <c r="J6018" s="1"/>
    </row>
    <row r="6019" spans="10:10" x14ac:dyDescent="0.3">
      <c r="J6019" s="1"/>
    </row>
    <row r="6020" spans="10:10" x14ac:dyDescent="0.3">
      <c r="J6020" s="1"/>
    </row>
    <row r="6021" spans="10:10" x14ac:dyDescent="0.3">
      <c r="J6021" s="1"/>
    </row>
    <row r="6022" spans="10:10" x14ac:dyDescent="0.3">
      <c r="J6022" s="1"/>
    </row>
    <row r="6023" spans="10:10" x14ac:dyDescent="0.3">
      <c r="J6023" s="1"/>
    </row>
    <row r="6024" spans="10:10" x14ac:dyDescent="0.3">
      <c r="J6024" s="1"/>
    </row>
    <row r="6025" spans="10:10" x14ac:dyDescent="0.3">
      <c r="J6025" s="1"/>
    </row>
    <row r="6026" spans="10:10" x14ac:dyDescent="0.3">
      <c r="J6026" s="1"/>
    </row>
    <row r="6027" spans="10:10" x14ac:dyDescent="0.3">
      <c r="J6027" s="1"/>
    </row>
    <row r="6028" spans="10:10" x14ac:dyDescent="0.3">
      <c r="J6028" s="1"/>
    </row>
    <row r="6029" spans="10:10" x14ac:dyDescent="0.3">
      <c r="J6029" s="1"/>
    </row>
    <row r="6030" spans="10:10" x14ac:dyDescent="0.3">
      <c r="J6030" s="1"/>
    </row>
    <row r="6031" spans="10:10" x14ac:dyDescent="0.3">
      <c r="J6031" s="1"/>
    </row>
    <row r="6032" spans="10:10" x14ac:dyDescent="0.3">
      <c r="J6032" s="1"/>
    </row>
    <row r="6033" spans="10:10" x14ac:dyDescent="0.3">
      <c r="J6033" s="1"/>
    </row>
    <row r="6034" spans="10:10" x14ac:dyDescent="0.3">
      <c r="J6034" s="1"/>
    </row>
    <row r="6035" spans="10:10" x14ac:dyDescent="0.3">
      <c r="J6035" s="1"/>
    </row>
    <row r="6036" spans="10:10" x14ac:dyDescent="0.3">
      <c r="J6036" s="1"/>
    </row>
    <row r="6037" spans="10:10" x14ac:dyDescent="0.3">
      <c r="J6037" s="1"/>
    </row>
    <row r="6038" spans="10:10" x14ac:dyDescent="0.3">
      <c r="J6038" s="1"/>
    </row>
    <row r="6039" spans="10:10" x14ac:dyDescent="0.3">
      <c r="J6039" s="1"/>
    </row>
    <row r="6040" spans="10:10" x14ac:dyDescent="0.3">
      <c r="J6040" s="1"/>
    </row>
    <row r="6041" spans="10:10" x14ac:dyDescent="0.3">
      <c r="J6041" s="1"/>
    </row>
    <row r="6042" spans="10:10" x14ac:dyDescent="0.3">
      <c r="J6042" s="1"/>
    </row>
    <row r="6043" spans="10:10" x14ac:dyDescent="0.3">
      <c r="J6043" s="1"/>
    </row>
    <row r="6044" spans="10:10" x14ac:dyDescent="0.3">
      <c r="J6044" s="1"/>
    </row>
    <row r="6045" spans="10:10" x14ac:dyDescent="0.3">
      <c r="J6045" s="1"/>
    </row>
    <row r="6046" spans="10:10" x14ac:dyDescent="0.3">
      <c r="J6046" s="1"/>
    </row>
    <row r="6047" spans="10:10" x14ac:dyDescent="0.3">
      <c r="J6047" s="1"/>
    </row>
    <row r="6048" spans="10:10" x14ac:dyDescent="0.3">
      <c r="J6048" s="1"/>
    </row>
    <row r="6049" spans="10:10" x14ac:dyDescent="0.3">
      <c r="J6049" s="1"/>
    </row>
    <row r="6050" spans="10:10" x14ac:dyDescent="0.3">
      <c r="J6050" s="1"/>
    </row>
    <row r="6051" spans="10:10" x14ac:dyDescent="0.3">
      <c r="J6051" s="1"/>
    </row>
    <row r="6052" spans="10:10" x14ac:dyDescent="0.3">
      <c r="J6052" s="1"/>
    </row>
    <row r="6053" spans="10:10" x14ac:dyDescent="0.3">
      <c r="J6053" s="1"/>
    </row>
    <row r="6054" spans="10:10" x14ac:dyDescent="0.3">
      <c r="J6054" s="1"/>
    </row>
    <row r="6055" spans="10:10" x14ac:dyDescent="0.3">
      <c r="J6055" s="1"/>
    </row>
    <row r="6056" spans="10:10" x14ac:dyDescent="0.3">
      <c r="J6056" s="1"/>
    </row>
    <row r="6057" spans="10:10" x14ac:dyDescent="0.3">
      <c r="J6057" s="1"/>
    </row>
    <row r="6058" spans="10:10" x14ac:dyDescent="0.3">
      <c r="J6058" s="1"/>
    </row>
    <row r="6059" spans="10:10" x14ac:dyDescent="0.3">
      <c r="J6059" s="1"/>
    </row>
    <row r="6060" spans="10:10" x14ac:dyDescent="0.3">
      <c r="J6060" s="1"/>
    </row>
    <row r="6061" spans="10:10" x14ac:dyDescent="0.3">
      <c r="J6061" s="1"/>
    </row>
    <row r="6062" spans="10:10" x14ac:dyDescent="0.3">
      <c r="J6062" s="1"/>
    </row>
    <row r="6063" spans="10:10" x14ac:dyDescent="0.3">
      <c r="J6063" s="1"/>
    </row>
    <row r="6064" spans="10:10" x14ac:dyDescent="0.3">
      <c r="J6064" s="1"/>
    </row>
    <row r="6065" spans="10:10" x14ac:dyDescent="0.3">
      <c r="J6065" s="1"/>
    </row>
    <row r="6066" spans="10:10" x14ac:dyDescent="0.3">
      <c r="J6066" s="1"/>
    </row>
    <row r="6067" spans="10:10" x14ac:dyDescent="0.3">
      <c r="J6067" s="1"/>
    </row>
    <row r="6068" spans="10:10" x14ac:dyDescent="0.3">
      <c r="J6068" s="1"/>
    </row>
    <row r="6069" spans="10:10" x14ac:dyDescent="0.3">
      <c r="J6069" s="1"/>
    </row>
    <row r="6070" spans="10:10" x14ac:dyDescent="0.3">
      <c r="J6070" s="1"/>
    </row>
    <row r="6071" spans="10:10" x14ac:dyDescent="0.3">
      <c r="J6071" s="1"/>
    </row>
    <row r="6072" spans="10:10" x14ac:dyDescent="0.3">
      <c r="J6072" s="1"/>
    </row>
    <row r="6073" spans="10:10" x14ac:dyDescent="0.3">
      <c r="J6073" s="1"/>
    </row>
    <row r="6074" spans="10:10" x14ac:dyDescent="0.3">
      <c r="J6074" s="1"/>
    </row>
    <row r="6075" spans="10:10" x14ac:dyDescent="0.3">
      <c r="J6075" s="1"/>
    </row>
    <row r="6076" spans="10:10" x14ac:dyDescent="0.3">
      <c r="J6076" s="1"/>
    </row>
    <row r="6077" spans="10:10" x14ac:dyDescent="0.3">
      <c r="J6077" s="1"/>
    </row>
    <row r="6078" spans="10:10" x14ac:dyDescent="0.3">
      <c r="J6078" s="1"/>
    </row>
    <row r="6079" spans="10:10" x14ac:dyDescent="0.3">
      <c r="J6079" s="1"/>
    </row>
    <row r="6080" spans="10:10" x14ac:dyDescent="0.3">
      <c r="J6080" s="1"/>
    </row>
    <row r="6081" spans="10:10" x14ac:dyDescent="0.3">
      <c r="J6081" s="1"/>
    </row>
    <row r="6082" spans="10:10" x14ac:dyDescent="0.3">
      <c r="J6082" s="1"/>
    </row>
    <row r="6083" spans="10:10" x14ac:dyDescent="0.3">
      <c r="J6083" s="1"/>
    </row>
    <row r="6084" spans="10:10" x14ac:dyDescent="0.3">
      <c r="J6084" s="1"/>
    </row>
    <row r="6085" spans="10:10" x14ac:dyDescent="0.3">
      <c r="J6085" s="1"/>
    </row>
    <row r="6086" spans="10:10" x14ac:dyDescent="0.3">
      <c r="J6086" s="1"/>
    </row>
    <row r="6087" spans="10:10" x14ac:dyDescent="0.3">
      <c r="J6087" s="1"/>
    </row>
    <row r="6088" spans="10:10" x14ac:dyDescent="0.3">
      <c r="J6088" s="1"/>
    </row>
    <row r="6089" spans="10:10" x14ac:dyDescent="0.3">
      <c r="J6089" s="1"/>
    </row>
    <row r="6090" spans="10:10" x14ac:dyDescent="0.3">
      <c r="J6090" s="1"/>
    </row>
    <row r="6091" spans="10:10" x14ac:dyDescent="0.3">
      <c r="J6091" s="1"/>
    </row>
    <row r="6092" spans="10:10" x14ac:dyDescent="0.3">
      <c r="J6092" s="1"/>
    </row>
    <row r="6093" spans="10:10" x14ac:dyDescent="0.3">
      <c r="J6093" s="1"/>
    </row>
    <row r="6094" spans="10:10" x14ac:dyDescent="0.3">
      <c r="J6094" s="1"/>
    </row>
    <row r="6095" spans="10:10" x14ac:dyDescent="0.3">
      <c r="J6095" s="1"/>
    </row>
    <row r="6096" spans="10:10" x14ac:dyDescent="0.3">
      <c r="J6096" s="1"/>
    </row>
    <row r="6097" spans="10:10" x14ac:dyDescent="0.3">
      <c r="J6097" s="1"/>
    </row>
    <row r="6098" spans="10:10" x14ac:dyDescent="0.3">
      <c r="J6098" s="1"/>
    </row>
    <row r="6099" spans="10:10" x14ac:dyDescent="0.3">
      <c r="J6099" s="1"/>
    </row>
    <row r="6100" spans="10:10" x14ac:dyDescent="0.3">
      <c r="J6100" s="1"/>
    </row>
    <row r="6101" spans="10:10" x14ac:dyDescent="0.3">
      <c r="J6101" s="1"/>
    </row>
    <row r="6102" spans="10:10" x14ac:dyDescent="0.3">
      <c r="J6102" s="1"/>
    </row>
    <row r="6103" spans="10:10" x14ac:dyDescent="0.3">
      <c r="J6103" s="1"/>
    </row>
    <row r="6104" spans="10:10" x14ac:dyDescent="0.3">
      <c r="J6104" s="1"/>
    </row>
    <row r="6105" spans="10:10" x14ac:dyDescent="0.3">
      <c r="J6105" s="1"/>
    </row>
    <row r="6106" spans="10:10" x14ac:dyDescent="0.3">
      <c r="J6106" s="1"/>
    </row>
    <row r="6107" spans="10:10" x14ac:dyDescent="0.3">
      <c r="J6107" s="1"/>
    </row>
    <row r="6108" spans="10:10" x14ac:dyDescent="0.3">
      <c r="J6108" s="1"/>
    </row>
    <row r="6109" spans="10:10" x14ac:dyDescent="0.3">
      <c r="J6109" s="1"/>
    </row>
    <row r="6110" spans="10:10" x14ac:dyDescent="0.3">
      <c r="J6110" s="1"/>
    </row>
    <row r="6111" spans="10:10" x14ac:dyDescent="0.3">
      <c r="J6111" s="1"/>
    </row>
    <row r="6112" spans="10:10" x14ac:dyDescent="0.3">
      <c r="J6112" s="1"/>
    </row>
    <row r="6113" spans="10:10" x14ac:dyDescent="0.3">
      <c r="J6113" s="1"/>
    </row>
    <row r="6114" spans="10:10" x14ac:dyDescent="0.3">
      <c r="J6114" s="1"/>
    </row>
    <row r="6115" spans="10:10" x14ac:dyDescent="0.3">
      <c r="J6115" s="1"/>
    </row>
    <row r="6116" spans="10:10" x14ac:dyDescent="0.3">
      <c r="J6116" s="1"/>
    </row>
    <row r="6117" spans="10:10" x14ac:dyDescent="0.3">
      <c r="J6117" s="1"/>
    </row>
    <row r="6118" spans="10:10" x14ac:dyDescent="0.3">
      <c r="J6118" s="1"/>
    </row>
    <row r="6119" spans="10:10" x14ac:dyDescent="0.3">
      <c r="J6119" s="1"/>
    </row>
    <row r="6120" spans="10:10" x14ac:dyDescent="0.3">
      <c r="J6120" s="1"/>
    </row>
    <row r="6121" spans="10:10" x14ac:dyDescent="0.3">
      <c r="J6121" s="1"/>
    </row>
    <row r="6122" spans="10:10" x14ac:dyDescent="0.3">
      <c r="J6122" s="1"/>
    </row>
    <row r="6123" spans="10:10" x14ac:dyDescent="0.3">
      <c r="J6123" s="1"/>
    </row>
    <row r="6124" spans="10:10" x14ac:dyDescent="0.3">
      <c r="J6124" s="1"/>
    </row>
    <row r="6125" spans="10:10" x14ac:dyDescent="0.3">
      <c r="J6125" s="1"/>
    </row>
    <row r="6126" spans="10:10" x14ac:dyDescent="0.3">
      <c r="J6126" s="1"/>
    </row>
    <row r="6127" spans="10:10" x14ac:dyDescent="0.3">
      <c r="J6127" s="1"/>
    </row>
    <row r="6128" spans="10:10" x14ac:dyDescent="0.3">
      <c r="J6128" s="1"/>
    </row>
    <row r="6129" spans="10:10" x14ac:dyDescent="0.3">
      <c r="J6129" s="1"/>
    </row>
    <row r="6130" spans="10:10" x14ac:dyDescent="0.3">
      <c r="J6130" s="1"/>
    </row>
    <row r="6131" spans="10:10" x14ac:dyDescent="0.3">
      <c r="J6131" s="1"/>
    </row>
    <row r="6132" spans="10:10" x14ac:dyDescent="0.3">
      <c r="J6132" s="1"/>
    </row>
    <row r="6133" spans="10:10" x14ac:dyDescent="0.3">
      <c r="J6133" s="1"/>
    </row>
    <row r="6134" spans="10:10" x14ac:dyDescent="0.3">
      <c r="J6134" s="1"/>
    </row>
    <row r="6135" spans="10:10" x14ac:dyDescent="0.3">
      <c r="J6135" s="1"/>
    </row>
    <row r="6136" spans="10:10" x14ac:dyDescent="0.3">
      <c r="J6136" s="1"/>
    </row>
    <row r="6137" spans="10:10" x14ac:dyDescent="0.3">
      <c r="J6137" s="1"/>
    </row>
    <row r="6138" spans="10:10" x14ac:dyDescent="0.3">
      <c r="J6138" s="1"/>
    </row>
    <row r="6139" spans="10:10" x14ac:dyDescent="0.3">
      <c r="J6139" s="1"/>
    </row>
    <row r="6140" spans="10:10" x14ac:dyDescent="0.3">
      <c r="J6140" s="1"/>
    </row>
    <row r="6141" spans="10:10" x14ac:dyDescent="0.3">
      <c r="J6141" s="1"/>
    </row>
    <row r="6142" spans="10:10" x14ac:dyDescent="0.3">
      <c r="J6142" s="1"/>
    </row>
    <row r="6143" spans="10:10" x14ac:dyDescent="0.3">
      <c r="J6143" s="1"/>
    </row>
    <row r="6144" spans="10:10" x14ac:dyDescent="0.3">
      <c r="J6144" s="1"/>
    </row>
    <row r="6145" spans="10:10" x14ac:dyDescent="0.3">
      <c r="J6145" s="1"/>
    </row>
    <row r="6146" spans="10:10" x14ac:dyDescent="0.3">
      <c r="J6146" s="1"/>
    </row>
    <row r="6147" spans="10:10" x14ac:dyDescent="0.3">
      <c r="J6147" s="1"/>
    </row>
    <row r="6148" spans="10:10" x14ac:dyDescent="0.3">
      <c r="J6148" s="1"/>
    </row>
    <row r="6149" spans="10:10" x14ac:dyDescent="0.3">
      <c r="J6149" s="1"/>
    </row>
    <row r="6150" spans="10:10" x14ac:dyDescent="0.3">
      <c r="J6150" s="1"/>
    </row>
    <row r="6151" spans="10:10" x14ac:dyDescent="0.3">
      <c r="J6151" s="1"/>
    </row>
    <row r="6152" spans="10:10" x14ac:dyDescent="0.3">
      <c r="J6152" s="1"/>
    </row>
    <row r="6153" spans="10:10" x14ac:dyDescent="0.3">
      <c r="J6153" s="1"/>
    </row>
    <row r="6154" spans="10:10" x14ac:dyDescent="0.3">
      <c r="J6154" s="1"/>
    </row>
    <row r="6155" spans="10:10" x14ac:dyDescent="0.3">
      <c r="J6155" s="1"/>
    </row>
    <row r="6156" spans="10:10" x14ac:dyDescent="0.3">
      <c r="J6156" s="1"/>
    </row>
    <row r="6157" spans="10:10" x14ac:dyDescent="0.3">
      <c r="J6157" s="1"/>
    </row>
    <row r="6158" spans="10:10" x14ac:dyDescent="0.3">
      <c r="J6158" s="1"/>
    </row>
    <row r="6159" spans="10:10" x14ac:dyDescent="0.3">
      <c r="J6159" s="1"/>
    </row>
    <row r="6160" spans="10:10" x14ac:dyDescent="0.3">
      <c r="J6160" s="1"/>
    </row>
    <row r="6161" spans="10:10" x14ac:dyDescent="0.3">
      <c r="J6161" s="1"/>
    </row>
    <row r="6162" spans="10:10" x14ac:dyDescent="0.3">
      <c r="J6162" s="1"/>
    </row>
    <row r="6163" spans="10:10" x14ac:dyDescent="0.3">
      <c r="J6163" s="1"/>
    </row>
    <row r="6164" spans="10:10" x14ac:dyDescent="0.3">
      <c r="J6164" s="1"/>
    </row>
    <row r="6165" spans="10:10" x14ac:dyDescent="0.3">
      <c r="J6165" s="1"/>
    </row>
    <row r="6166" spans="10:10" x14ac:dyDescent="0.3">
      <c r="J6166" s="1"/>
    </row>
    <row r="6167" spans="10:10" x14ac:dyDescent="0.3">
      <c r="J6167" s="1"/>
    </row>
    <row r="6168" spans="10:10" x14ac:dyDescent="0.3">
      <c r="J6168" s="1"/>
    </row>
    <row r="6169" spans="10:10" x14ac:dyDescent="0.3">
      <c r="J6169" s="1"/>
    </row>
    <row r="6170" spans="10:10" x14ac:dyDescent="0.3">
      <c r="J6170" s="1"/>
    </row>
    <row r="6171" spans="10:10" x14ac:dyDescent="0.3">
      <c r="J6171" s="1"/>
    </row>
    <row r="6172" spans="10:10" x14ac:dyDescent="0.3">
      <c r="J6172" s="1"/>
    </row>
    <row r="6173" spans="10:10" x14ac:dyDescent="0.3">
      <c r="J6173" s="1"/>
    </row>
    <row r="6174" spans="10:10" x14ac:dyDescent="0.3">
      <c r="J6174" s="1"/>
    </row>
    <row r="6175" spans="10:10" x14ac:dyDescent="0.3">
      <c r="J6175" s="1"/>
    </row>
    <row r="6176" spans="10:10" x14ac:dyDescent="0.3">
      <c r="J6176" s="1"/>
    </row>
    <row r="6177" spans="10:10" x14ac:dyDescent="0.3">
      <c r="J6177" s="1"/>
    </row>
    <row r="6178" spans="10:10" x14ac:dyDescent="0.3">
      <c r="J6178" s="1"/>
    </row>
    <row r="6179" spans="10:10" x14ac:dyDescent="0.3">
      <c r="J6179" s="1"/>
    </row>
    <row r="6180" spans="10:10" x14ac:dyDescent="0.3">
      <c r="J6180" s="1"/>
    </row>
    <row r="6181" spans="10:10" x14ac:dyDescent="0.3">
      <c r="J6181" s="1"/>
    </row>
    <row r="6182" spans="10:10" x14ac:dyDescent="0.3">
      <c r="J6182" s="1"/>
    </row>
    <row r="6183" spans="10:10" x14ac:dyDescent="0.3">
      <c r="J6183" s="1"/>
    </row>
    <row r="6184" spans="10:10" x14ac:dyDescent="0.3">
      <c r="J6184" s="1"/>
    </row>
    <row r="6185" spans="10:10" x14ac:dyDescent="0.3">
      <c r="J6185" s="1"/>
    </row>
    <row r="6186" spans="10:10" x14ac:dyDescent="0.3">
      <c r="J6186" s="1"/>
    </row>
    <row r="6187" spans="10:10" x14ac:dyDescent="0.3">
      <c r="J6187" s="1"/>
    </row>
    <row r="6188" spans="10:10" x14ac:dyDescent="0.3">
      <c r="J6188" s="1"/>
    </row>
    <row r="6189" spans="10:10" x14ac:dyDescent="0.3">
      <c r="J6189" s="1"/>
    </row>
    <row r="6190" spans="10:10" x14ac:dyDescent="0.3">
      <c r="J6190" s="1"/>
    </row>
    <row r="6191" spans="10:10" x14ac:dyDescent="0.3">
      <c r="J6191" s="1"/>
    </row>
    <row r="6192" spans="10:10" x14ac:dyDescent="0.3">
      <c r="J6192" s="1"/>
    </row>
    <row r="6193" spans="10:10" x14ac:dyDescent="0.3">
      <c r="J6193" s="1"/>
    </row>
    <row r="6194" spans="10:10" x14ac:dyDescent="0.3">
      <c r="J6194" s="1"/>
    </row>
    <row r="6195" spans="10:10" x14ac:dyDescent="0.3">
      <c r="J6195" s="1"/>
    </row>
    <row r="6196" spans="10:10" x14ac:dyDescent="0.3">
      <c r="J6196" s="1"/>
    </row>
    <row r="6197" spans="10:10" x14ac:dyDescent="0.3">
      <c r="J6197" s="1"/>
    </row>
    <row r="6198" spans="10:10" x14ac:dyDescent="0.3">
      <c r="J6198" s="1"/>
    </row>
    <row r="6199" spans="10:10" x14ac:dyDescent="0.3">
      <c r="J6199" s="1"/>
    </row>
    <row r="6200" spans="10:10" x14ac:dyDescent="0.3">
      <c r="J6200" s="1"/>
    </row>
    <row r="6201" spans="10:10" x14ac:dyDescent="0.3">
      <c r="J6201" s="1"/>
    </row>
    <row r="6202" spans="10:10" x14ac:dyDescent="0.3">
      <c r="J6202" s="1"/>
    </row>
    <row r="6203" spans="10:10" x14ac:dyDescent="0.3">
      <c r="J6203" s="1"/>
    </row>
    <row r="6204" spans="10:10" x14ac:dyDescent="0.3">
      <c r="J6204" s="1"/>
    </row>
    <row r="6205" spans="10:10" x14ac:dyDescent="0.3">
      <c r="J6205" s="1"/>
    </row>
    <row r="6206" spans="10:10" x14ac:dyDescent="0.3">
      <c r="J6206" s="1"/>
    </row>
    <row r="6207" spans="10:10" x14ac:dyDescent="0.3">
      <c r="J6207" s="1"/>
    </row>
    <row r="6208" spans="10:10" x14ac:dyDescent="0.3">
      <c r="J6208" s="1"/>
    </row>
    <row r="6209" spans="10:10" x14ac:dyDescent="0.3">
      <c r="J6209" s="1"/>
    </row>
    <row r="6210" spans="10:10" x14ac:dyDescent="0.3">
      <c r="J6210" s="1"/>
    </row>
    <row r="6211" spans="10:10" x14ac:dyDescent="0.3">
      <c r="J6211" s="1"/>
    </row>
    <row r="6212" spans="10:10" x14ac:dyDescent="0.3">
      <c r="J6212" s="1"/>
    </row>
    <row r="6213" spans="10:10" x14ac:dyDescent="0.3">
      <c r="J6213" s="1"/>
    </row>
    <row r="6214" spans="10:10" x14ac:dyDescent="0.3">
      <c r="J6214" s="1"/>
    </row>
    <row r="6215" spans="10:10" x14ac:dyDescent="0.3">
      <c r="J6215" s="1"/>
    </row>
    <row r="6216" spans="10:10" x14ac:dyDescent="0.3">
      <c r="J6216" s="1"/>
    </row>
    <row r="6217" spans="10:10" x14ac:dyDescent="0.3">
      <c r="J6217" s="1"/>
    </row>
    <row r="6218" spans="10:10" x14ac:dyDescent="0.3">
      <c r="J6218" s="1"/>
    </row>
    <row r="6219" spans="10:10" x14ac:dyDescent="0.3">
      <c r="J6219" s="1"/>
    </row>
    <row r="6220" spans="10:10" x14ac:dyDescent="0.3">
      <c r="J6220" s="1"/>
    </row>
    <row r="6221" spans="10:10" x14ac:dyDescent="0.3">
      <c r="J6221" s="1"/>
    </row>
    <row r="6222" spans="10:10" x14ac:dyDescent="0.3">
      <c r="J6222" s="1"/>
    </row>
    <row r="6223" spans="10:10" x14ac:dyDescent="0.3">
      <c r="J6223" s="1"/>
    </row>
    <row r="6224" spans="10:10" x14ac:dyDescent="0.3">
      <c r="J6224" s="1"/>
    </row>
    <row r="6225" spans="10:10" x14ac:dyDescent="0.3">
      <c r="J6225" s="1"/>
    </row>
    <row r="6226" spans="10:10" x14ac:dyDescent="0.3">
      <c r="J6226" s="1"/>
    </row>
    <row r="6227" spans="10:10" x14ac:dyDescent="0.3">
      <c r="J6227" s="1"/>
    </row>
    <row r="6228" spans="10:10" x14ac:dyDescent="0.3">
      <c r="J6228" s="1"/>
    </row>
    <row r="6229" spans="10:10" x14ac:dyDescent="0.3">
      <c r="J6229" s="1"/>
    </row>
    <row r="6230" spans="10:10" x14ac:dyDescent="0.3">
      <c r="J6230" s="1"/>
    </row>
    <row r="6231" spans="10:10" x14ac:dyDescent="0.3">
      <c r="J6231" s="1"/>
    </row>
    <row r="6232" spans="10:10" x14ac:dyDescent="0.3">
      <c r="J6232" s="1"/>
    </row>
    <row r="6233" spans="10:10" x14ac:dyDescent="0.3">
      <c r="J6233" s="1"/>
    </row>
    <row r="6234" spans="10:10" x14ac:dyDescent="0.3">
      <c r="J6234" s="1"/>
    </row>
    <row r="6235" spans="10:10" x14ac:dyDescent="0.3">
      <c r="J6235" s="1"/>
    </row>
    <row r="6236" spans="10:10" x14ac:dyDescent="0.3">
      <c r="J6236" s="1"/>
    </row>
    <row r="6237" spans="10:10" x14ac:dyDescent="0.3">
      <c r="J6237" s="1"/>
    </row>
    <row r="6238" spans="10:10" x14ac:dyDescent="0.3">
      <c r="J6238" s="1"/>
    </row>
    <row r="6239" spans="10:10" x14ac:dyDescent="0.3">
      <c r="J6239" s="1"/>
    </row>
    <row r="6240" spans="10:10" x14ac:dyDescent="0.3">
      <c r="J6240" s="1"/>
    </row>
    <row r="6241" spans="10:10" x14ac:dyDescent="0.3">
      <c r="J6241" s="1"/>
    </row>
    <row r="6242" spans="10:10" x14ac:dyDescent="0.3">
      <c r="J6242" s="1"/>
    </row>
    <row r="6243" spans="10:10" x14ac:dyDescent="0.3">
      <c r="J6243" s="1"/>
    </row>
    <row r="6244" spans="10:10" x14ac:dyDescent="0.3">
      <c r="J6244" s="1"/>
    </row>
    <row r="6245" spans="10:10" x14ac:dyDescent="0.3">
      <c r="J6245" s="1"/>
    </row>
    <row r="6246" spans="10:10" x14ac:dyDescent="0.3">
      <c r="J6246" s="1"/>
    </row>
    <row r="6247" spans="10:10" x14ac:dyDescent="0.3">
      <c r="J6247" s="1"/>
    </row>
    <row r="6248" spans="10:10" x14ac:dyDescent="0.3">
      <c r="J6248" s="1"/>
    </row>
    <row r="6249" spans="10:10" x14ac:dyDescent="0.3">
      <c r="J6249" s="1"/>
    </row>
    <row r="6250" spans="10:10" x14ac:dyDescent="0.3">
      <c r="J6250" s="1"/>
    </row>
    <row r="6251" spans="10:10" x14ac:dyDescent="0.3">
      <c r="J6251" s="1"/>
    </row>
    <row r="6252" spans="10:10" x14ac:dyDescent="0.3">
      <c r="J6252" s="1"/>
    </row>
    <row r="6253" spans="10:10" x14ac:dyDescent="0.3">
      <c r="J6253" s="1"/>
    </row>
    <row r="6254" spans="10:10" x14ac:dyDescent="0.3">
      <c r="J6254" s="1"/>
    </row>
    <row r="6255" spans="10:10" x14ac:dyDescent="0.3">
      <c r="J6255" s="1"/>
    </row>
    <row r="6256" spans="10:10" x14ac:dyDescent="0.3">
      <c r="J6256" s="1"/>
    </row>
    <row r="6257" spans="10:10" x14ac:dyDescent="0.3">
      <c r="J6257" s="1"/>
    </row>
    <row r="6258" spans="10:10" x14ac:dyDescent="0.3">
      <c r="J6258" s="1"/>
    </row>
    <row r="6259" spans="10:10" x14ac:dyDescent="0.3">
      <c r="J6259" s="1"/>
    </row>
    <row r="6260" spans="10:10" x14ac:dyDescent="0.3">
      <c r="J6260" s="1"/>
    </row>
    <row r="6261" spans="10:10" x14ac:dyDescent="0.3">
      <c r="J6261" s="1"/>
    </row>
    <row r="6262" spans="10:10" x14ac:dyDescent="0.3">
      <c r="J6262" s="1"/>
    </row>
    <row r="6263" spans="10:10" x14ac:dyDescent="0.3">
      <c r="J6263" s="1"/>
    </row>
    <row r="6264" spans="10:10" x14ac:dyDescent="0.3">
      <c r="J6264" s="1"/>
    </row>
    <row r="6265" spans="10:10" x14ac:dyDescent="0.3">
      <c r="J6265" s="1"/>
    </row>
    <row r="6266" spans="10:10" x14ac:dyDescent="0.3">
      <c r="J6266" s="1"/>
    </row>
    <row r="6267" spans="10:10" x14ac:dyDescent="0.3">
      <c r="J6267" s="1"/>
    </row>
    <row r="6268" spans="10:10" x14ac:dyDescent="0.3">
      <c r="J6268" s="1"/>
    </row>
    <row r="6269" spans="10:10" x14ac:dyDescent="0.3">
      <c r="J6269" s="1"/>
    </row>
    <row r="6270" spans="10:10" x14ac:dyDescent="0.3">
      <c r="J6270" s="1"/>
    </row>
    <row r="6271" spans="10:10" x14ac:dyDescent="0.3">
      <c r="J6271" s="1"/>
    </row>
    <row r="6272" spans="10:10" x14ac:dyDescent="0.3">
      <c r="J6272" s="1"/>
    </row>
    <row r="6273" spans="10:10" x14ac:dyDescent="0.3">
      <c r="J6273" s="1"/>
    </row>
    <row r="6274" spans="10:10" x14ac:dyDescent="0.3">
      <c r="J6274" s="1"/>
    </row>
    <row r="6275" spans="10:10" x14ac:dyDescent="0.3">
      <c r="J6275" s="1"/>
    </row>
    <row r="6276" spans="10:10" x14ac:dyDescent="0.3">
      <c r="J6276" s="1"/>
    </row>
    <row r="6277" spans="10:10" x14ac:dyDescent="0.3">
      <c r="J6277" s="1"/>
    </row>
    <row r="6278" spans="10:10" x14ac:dyDescent="0.3">
      <c r="J6278" s="1"/>
    </row>
    <row r="6279" spans="10:10" x14ac:dyDescent="0.3">
      <c r="J6279" s="1"/>
    </row>
    <row r="6280" spans="10:10" x14ac:dyDescent="0.3">
      <c r="J6280" s="1"/>
    </row>
    <row r="6281" spans="10:10" x14ac:dyDescent="0.3">
      <c r="J6281" s="1"/>
    </row>
    <row r="6282" spans="10:10" x14ac:dyDescent="0.3">
      <c r="J6282" s="1"/>
    </row>
    <row r="6283" spans="10:10" x14ac:dyDescent="0.3">
      <c r="J6283" s="1"/>
    </row>
    <row r="6284" spans="10:10" x14ac:dyDescent="0.3">
      <c r="J6284" s="1"/>
    </row>
    <row r="6285" spans="10:10" x14ac:dyDescent="0.3">
      <c r="J6285" s="1"/>
    </row>
    <row r="6286" spans="10:10" x14ac:dyDescent="0.3">
      <c r="J6286" s="1"/>
    </row>
    <row r="6287" spans="10:10" x14ac:dyDescent="0.3">
      <c r="J6287" s="1"/>
    </row>
    <row r="6288" spans="10:10" x14ac:dyDescent="0.3">
      <c r="J6288" s="1"/>
    </row>
    <row r="6289" spans="10:10" x14ac:dyDescent="0.3">
      <c r="J6289" s="1"/>
    </row>
    <row r="6290" spans="10:10" x14ac:dyDescent="0.3">
      <c r="J6290" s="1"/>
    </row>
    <row r="6291" spans="10:10" x14ac:dyDescent="0.3">
      <c r="J6291" s="1"/>
    </row>
    <row r="6292" spans="10:10" x14ac:dyDescent="0.3">
      <c r="J6292" s="1"/>
    </row>
    <row r="6293" spans="10:10" x14ac:dyDescent="0.3">
      <c r="J6293" s="1"/>
    </row>
    <row r="6294" spans="10:10" x14ac:dyDescent="0.3">
      <c r="J6294" s="1"/>
    </row>
    <row r="6295" spans="10:10" x14ac:dyDescent="0.3">
      <c r="J6295" s="1"/>
    </row>
    <row r="6296" spans="10:10" x14ac:dyDescent="0.3">
      <c r="J6296" s="1"/>
    </row>
    <row r="6297" spans="10:10" x14ac:dyDescent="0.3">
      <c r="J6297" s="1"/>
    </row>
    <row r="6298" spans="10:10" x14ac:dyDescent="0.3">
      <c r="J6298" s="1"/>
    </row>
    <row r="6299" spans="10:10" x14ac:dyDescent="0.3">
      <c r="J6299" s="1"/>
    </row>
    <row r="6300" spans="10:10" x14ac:dyDescent="0.3">
      <c r="J6300" s="1"/>
    </row>
    <row r="6301" spans="10:10" x14ac:dyDescent="0.3">
      <c r="J6301" s="1"/>
    </row>
    <row r="6302" spans="10:10" x14ac:dyDescent="0.3">
      <c r="J6302" s="1"/>
    </row>
    <row r="6303" spans="10:10" x14ac:dyDescent="0.3">
      <c r="J6303" s="1"/>
    </row>
    <row r="6304" spans="10:10" x14ac:dyDescent="0.3">
      <c r="J6304" s="1"/>
    </row>
    <row r="6305" spans="10:10" x14ac:dyDescent="0.3">
      <c r="J6305" s="1"/>
    </row>
    <row r="6306" spans="10:10" x14ac:dyDescent="0.3">
      <c r="J6306" s="1"/>
    </row>
    <row r="6307" spans="10:10" x14ac:dyDescent="0.3">
      <c r="J6307" s="1"/>
    </row>
    <row r="6308" spans="10:10" x14ac:dyDescent="0.3">
      <c r="J6308" s="1"/>
    </row>
    <row r="6309" spans="10:10" x14ac:dyDescent="0.3">
      <c r="J6309" s="1"/>
    </row>
    <row r="6310" spans="10:10" x14ac:dyDescent="0.3">
      <c r="J6310" s="1"/>
    </row>
    <row r="6311" spans="10:10" x14ac:dyDescent="0.3">
      <c r="J6311" s="1"/>
    </row>
    <row r="6312" spans="10:10" x14ac:dyDescent="0.3">
      <c r="J6312" s="1"/>
    </row>
    <row r="6313" spans="10:10" x14ac:dyDescent="0.3">
      <c r="J6313" s="1"/>
    </row>
    <row r="6314" spans="10:10" x14ac:dyDescent="0.3">
      <c r="J6314" s="1"/>
    </row>
    <row r="6315" spans="10:10" x14ac:dyDescent="0.3">
      <c r="J6315" s="1"/>
    </row>
    <row r="6316" spans="10:10" x14ac:dyDescent="0.3">
      <c r="J6316" s="1"/>
    </row>
    <row r="6317" spans="10:10" x14ac:dyDescent="0.3">
      <c r="J6317" s="1"/>
    </row>
    <row r="6318" spans="10:10" x14ac:dyDescent="0.3">
      <c r="J6318" s="1"/>
    </row>
    <row r="6319" spans="10:10" x14ac:dyDescent="0.3">
      <c r="J6319" s="1"/>
    </row>
    <row r="6320" spans="10:10" x14ac:dyDescent="0.3">
      <c r="J6320" s="1"/>
    </row>
    <row r="6321" spans="10:10" x14ac:dyDescent="0.3">
      <c r="J6321" s="1"/>
    </row>
    <row r="6322" spans="10:10" x14ac:dyDescent="0.3">
      <c r="J6322" s="1"/>
    </row>
    <row r="6323" spans="10:10" x14ac:dyDescent="0.3">
      <c r="J6323" s="1"/>
    </row>
    <row r="6324" spans="10:10" x14ac:dyDescent="0.3">
      <c r="J6324" s="1"/>
    </row>
    <row r="6325" spans="10:10" x14ac:dyDescent="0.3">
      <c r="J6325" s="1"/>
    </row>
    <row r="6326" spans="10:10" x14ac:dyDescent="0.3">
      <c r="J6326" s="1"/>
    </row>
    <row r="6327" spans="10:10" x14ac:dyDescent="0.3">
      <c r="J6327" s="1"/>
    </row>
    <row r="6328" spans="10:10" x14ac:dyDescent="0.3">
      <c r="J6328" s="1"/>
    </row>
    <row r="6329" spans="10:10" x14ac:dyDescent="0.3">
      <c r="J6329" s="1"/>
    </row>
    <row r="6330" spans="10:10" x14ac:dyDescent="0.3">
      <c r="J6330" s="1"/>
    </row>
    <row r="6331" spans="10:10" x14ac:dyDescent="0.3">
      <c r="J6331" s="1"/>
    </row>
    <row r="6332" spans="10:10" x14ac:dyDescent="0.3">
      <c r="J6332" s="1"/>
    </row>
    <row r="6333" spans="10:10" x14ac:dyDescent="0.3">
      <c r="J6333" s="1"/>
    </row>
    <row r="6334" spans="10:10" x14ac:dyDescent="0.3">
      <c r="J6334" s="1"/>
    </row>
    <row r="6335" spans="10:10" x14ac:dyDescent="0.3">
      <c r="J6335" s="1"/>
    </row>
    <row r="6336" spans="10:10" x14ac:dyDescent="0.3">
      <c r="J6336" s="1"/>
    </row>
    <row r="6337" spans="10:10" x14ac:dyDescent="0.3">
      <c r="J6337" s="1"/>
    </row>
    <row r="6338" spans="10:10" x14ac:dyDescent="0.3">
      <c r="J6338" s="1"/>
    </row>
    <row r="6339" spans="10:10" x14ac:dyDescent="0.3">
      <c r="J6339" s="1"/>
    </row>
    <row r="6340" spans="10:10" x14ac:dyDescent="0.3">
      <c r="J6340" s="1"/>
    </row>
    <row r="6341" spans="10:10" x14ac:dyDescent="0.3">
      <c r="J6341" s="1"/>
    </row>
    <row r="6342" spans="10:10" x14ac:dyDescent="0.3">
      <c r="J6342" s="1"/>
    </row>
    <row r="6343" spans="10:10" x14ac:dyDescent="0.3">
      <c r="J6343" s="1"/>
    </row>
    <row r="6344" spans="10:10" x14ac:dyDescent="0.3">
      <c r="J6344" s="1"/>
    </row>
    <row r="6345" spans="10:10" x14ac:dyDescent="0.3">
      <c r="J6345" s="1"/>
    </row>
    <row r="6346" spans="10:10" x14ac:dyDescent="0.3">
      <c r="J6346" s="1"/>
    </row>
    <row r="6347" spans="10:10" x14ac:dyDescent="0.3">
      <c r="J6347" s="1"/>
    </row>
    <row r="6348" spans="10:10" x14ac:dyDescent="0.3">
      <c r="J6348" s="1"/>
    </row>
    <row r="6349" spans="10:10" x14ac:dyDescent="0.3">
      <c r="J6349" s="1"/>
    </row>
    <row r="6350" spans="10:10" x14ac:dyDescent="0.3">
      <c r="J6350" s="1"/>
    </row>
    <row r="6351" spans="10:10" x14ac:dyDescent="0.3">
      <c r="J6351" s="1"/>
    </row>
    <row r="6352" spans="10:10" x14ac:dyDescent="0.3">
      <c r="J6352" s="1"/>
    </row>
    <row r="6353" spans="10:10" x14ac:dyDescent="0.3">
      <c r="J6353" s="1"/>
    </row>
    <row r="6354" spans="10:10" x14ac:dyDescent="0.3">
      <c r="J6354" s="1"/>
    </row>
    <row r="6355" spans="10:10" x14ac:dyDescent="0.3">
      <c r="J6355" s="1"/>
    </row>
    <row r="6356" spans="10:10" x14ac:dyDescent="0.3">
      <c r="J6356" s="1"/>
    </row>
    <row r="6357" spans="10:10" x14ac:dyDescent="0.3">
      <c r="J6357" s="1"/>
    </row>
    <row r="6358" spans="10:10" x14ac:dyDescent="0.3">
      <c r="J6358" s="1"/>
    </row>
    <row r="6359" spans="10:10" x14ac:dyDescent="0.3">
      <c r="J6359" s="1"/>
    </row>
    <row r="6360" spans="10:10" x14ac:dyDescent="0.3">
      <c r="J6360" s="1"/>
    </row>
    <row r="6361" spans="10:10" x14ac:dyDescent="0.3">
      <c r="J6361" s="1"/>
    </row>
    <row r="6362" spans="10:10" x14ac:dyDescent="0.3">
      <c r="J6362" s="1"/>
    </row>
    <row r="6363" spans="10:10" x14ac:dyDescent="0.3">
      <c r="J6363" s="1"/>
    </row>
    <row r="6364" spans="10:10" x14ac:dyDescent="0.3">
      <c r="J6364" s="1"/>
    </row>
    <row r="6365" spans="10:10" x14ac:dyDescent="0.3">
      <c r="J6365" s="1"/>
    </row>
    <row r="6366" spans="10:10" x14ac:dyDescent="0.3">
      <c r="J6366" s="1"/>
    </row>
    <row r="6367" spans="10:10" x14ac:dyDescent="0.3">
      <c r="J6367" s="1"/>
    </row>
    <row r="6368" spans="10:10" x14ac:dyDescent="0.3">
      <c r="J6368" s="1"/>
    </row>
    <row r="6369" spans="10:10" x14ac:dyDescent="0.3">
      <c r="J6369" s="1"/>
    </row>
    <row r="6370" spans="10:10" x14ac:dyDescent="0.3">
      <c r="J6370" s="1"/>
    </row>
    <row r="6371" spans="10:10" x14ac:dyDescent="0.3">
      <c r="J6371" s="1"/>
    </row>
    <row r="6372" spans="10:10" x14ac:dyDescent="0.3">
      <c r="J6372" s="1"/>
    </row>
    <row r="6373" spans="10:10" x14ac:dyDescent="0.3">
      <c r="J6373" s="1"/>
    </row>
    <row r="6374" spans="10:10" x14ac:dyDescent="0.3">
      <c r="J6374" s="1"/>
    </row>
    <row r="6375" spans="10:10" x14ac:dyDescent="0.3">
      <c r="J6375" s="1"/>
    </row>
    <row r="6376" spans="10:10" x14ac:dyDescent="0.3">
      <c r="J6376" s="1"/>
    </row>
    <row r="6377" spans="10:10" x14ac:dyDescent="0.3">
      <c r="J6377" s="1"/>
    </row>
    <row r="6378" spans="10:10" x14ac:dyDescent="0.3">
      <c r="J6378" s="1"/>
    </row>
    <row r="6379" spans="10:10" x14ac:dyDescent="0.3">
      <c r="J6379" s="1"/>
    </row>
    <row r="6380" spans="10:10" x14ac:dyDescent="0.3">
      <c r="J6380" s="1"/>
    </row>
    <row r="6381" spans="10:10" x14ac:dyDescent="0.3">
      <c r="J6381" s="1"/>
    </row>
    <row r="6382" spans="10:10" x14ac:dyDescent="0.3">
      <c r="J6382" s="1"/>
    </row>
    <row r="6383" spans="10:10" x14ac:dyDescent="0.3">
      <c r="J6383" s="1"/>
    </row>
    <row r="6384" spans="10:10" x14ac:dyDescent="0.3">
      <c r="J6384" s="1"/>
    </row>
    <row r="6385" spans="10:10" x14ac:dyDescent="0.3">
      <c r="J6385" s="1"/>
    </row>
    <row r="6386" spans="10:10" x14ac:dyDescent="0.3">
      <c r="J6386" s="1"/>
    </row>
    <row r="6387" spans="10:10" x14ac:dyDescent="0.3">
      <c r="J6387" s="1"/>
    </row>
    <row r="6388" spans="10:10" x14ac:dyDescent="0.3">
      <c r="J6388" s="1"/>
    </row>
    <row r="6389" spans="10:10" x14ac:dyDescent="0.3">
      <c r="J6389" s="1"/>
    </row>
    <row r="6390" spans="10:10" x14ac:dyDescent="0.3">
      <c r="J6390" s="1"/>
    </row>
    <row r="6391" spans="10:10" x14ac:dyDescent="0.3">
      <c r="J6391" s="1"/>
    </row>
    <row r="6392" spans="10:10" x14ac:dyDescent="0.3">
      <c r="J6392" s="1"/>
    </row>
    <row r="6393" spans="10:10" x14ac:dyDescent="0.3">
      <c r="J6393" s="1"/>
    </row>
    <row r="6394" spans="10:10" x14ac:dyDescent="0.3">
      <c r="J6394" s="1"/>
    </row>
    <row r="6395" spans="10:10" x14ac:dyDescent="0.3">
      <c r="J6395" s="1"/>
    </row>
    <row r="6396" spans="10:10" x14ac:dyDescent="0.3">
      <c r="J6396" s="1"/>
    </row>
    <row r="6397" spans="10:10" x14ac:dyDescent="0.3">
      <c r="J6397" s="1"/>
    </row>
    <row r="6398" spans="10:10" x14ac:dyDescent="0.3">
      <c r="J6398" s="1"/>
    </row>
    <row r="6399" spans="10:10" x14ac:dyDescent="0.3">
      <c r="J6399" s="1"/>
    </row>
    <row r="6400" spans="10:10" x14ac:dyDescent="0.3">
      <c r="J6400" s="1"/>
    </row>
    <row r="6401" spans="10:10" x14ac:dyDescent="0.3">
      <c r="J6401" s="1"/>
    </row>
    <row r="6402" spans="10:10" x14ac:dyDescent="0.3">
      <c r="J6402" s="1"/>
    </row>
    <row r="6403" spans="10:10" x14ac:dyDescent="0.3">
      <c r="J6403" s="1"/>
    </row>
    <row r="6404" spans="10:10" x14ac:dyDescent="0.3">
      <c r="J6404" s="1"/>
    </row>
    <row r="6405" spans="10:10" x14ac:dyDescent="0.3">
      <c r="J6405" s="1"/>
    </row>
    <row r="6406" spans="10:10" x14ac:dyDescent="0.3">
      <c r="J6406" s="1"/>
    </row>
    <row r="6407" spans="10:10" x14ac:dyDescent="0.3">
      <c r="J6407" s="1"/>
    </row>
    <row r="6408" spans="10:10" x14ac:dyDescent="0.3">
      <c r="J6408" s="1"/>
    </row>
    <row r="6409" spans="10:10" x14ac:dyDescent="0.3">
      <c r="J6409" s="1"/>
    </row>
    <row r="6410" spans="10:10" x14ac:dyDescent="0.3">
      <c r="J6410" s="1"/>
    </row>
    <row r="6411" spans="10:10" x14ac:dyDescent="0.3">
      <c r="J6411" s="1"/>
    </row>
    <row r="6412" spans="10:10" x14ac:dyDescent="0.3">
      <c r="J6412" s="1"/>
    </row>
    <row r="6413" spans="10:10" x14ac:dyDescent="0.3">
      <c r="J6413" s="1"/>
    </row>
    <row r="6414" spans="10:10" x14ac:dyDescent="0.3">
      <c r="J6414" s="1"/>
    </row>
    <row r="6415" spans="10:10" x14ac:dyDescent="0.3">
      <c r="J6415" s="1"/>
    </row>
    <row r="6416" spans="10:10" x14ac:dyDescent="0.3">
      <c r="J6416" s="1"/>
    </row>
    <row r="6417" spans="10:10" x14ac:dyDescent="0.3">
      <c r="J6417" s="1"/>
    </row>
    <row r="6418" spans="10:10" x14ac:dyDescent="0.3">
      <c r="J6418" s="1"/>
    </row>
    <row r="6419" spans="10:10" x14ac:dyDescent="0.3">
      <c r="J6419" s="1"/>
    </row>
    <row r="6420" spans="10:10" x14ac:dyDescent="0.3">
      <c r="J6420" s="1"/>
    </row>
    <row r="6421" spans="10:10" x14ac:dyDescent="0.3">
      <c r="J6421" s="1"/>
    </row>
    <row r="6422" spans="10:10" x14ac:dyDescent="0.3">
      <c r="J6422" s="1"/>
    </row>
    <row r="6423" spans="10:10" x14ac:dyDescent="0.3">
      <c r="J6423" s="1"/>
    </row>
    <row r="6424" spans="10:10" x14ac:dyDescent="0.3">
      <c r="J6424" s="1"/>
    </row>
    <row r="6425" spans="10:10" x14ac:dyDescent="0.3">
      <c r="J6425" s="1"/>
    </row>
    <row r="6426" spans="10:10" x14ac:dyDescent="0.3">
      <c r="J6426" s="1"/>
    </row>
    <row r="6427" spans="10:10" x14ac:dyDescent="0.3">
      <c r="J6427" s="1"/>
    </row>
    <row r="6428" spans="10:10" x14ac:dyDescent="0.3">
      <c r="J6428" s="1"/>
    </row>
    <row r="6429" spans="10:10" x14ac:dyDescent="0.3">
      <c r="J6429" s="1"/>
    </row>
    <row r="6430" spans="10:10" x14ac:dyDescent="0.3">
      <c r="J6430" s="1"/>
    </row>
    <row r="6431" spans="10:10" x14ac:dyDescent="0.3">
      <c r="J6431" s="1"/>
    </row>
    <row r="6432" spans="10:10" x14ac:dyDescent="0.3">
      <c r="J6432" s="1"/>
    </row>
    <row r="6433" spans="10:10" x14ac:dyDescent="0.3">
      <c r="J6433" s="1"/>
    </row>
    <row r="6434" spans="10:10" x14ac:dyDescent="0.3">
      <c r="J6434" s="1"/>
    </row>
    <row r="6435" spans="10:10" x14ac:dyDescent="0.3">
      <c r="J6435" s="1"/>
    </row>
    <row r="6436" spans="10:10" x14ac:dyDescent="0.3">
      <c r="J6436" s="1"/>
    </row>
    <row r="6437" spans="10:10" x14ac:dyDescent="0.3">
      <c r="J6437" s="1"/>
    </row>
    <row r="6438" spans="10:10" x14ac:dyDescent="0.3">
      <c r="J6438" s="1"/>
    </row>
    <row r="6439" spans="10:10" x14ac:dyDescent="0.3">
      <c r="J6439" s="1"/>
    </row>
    <row r="6440" spans="10:10" x14ac:dyDescent="0.3">
      <c r="J6440" s="1"/>
    </row>
    <row r="6441" spans="10:10" x14ac:dyDescent="0.3">
      <c r="J6441" s="1"/>
    </row>
    <row r="6442" spans="10:10" x14ac:dyDescent="0.3">
      <c r="J6442" s="1"/>
    </row>
    <row r="6443" spans="10:10" x14ac:dyDescent="0.3">
      <c r="J6443" s="1"/>
    </row>
    <row r="6444" spans="10:10" x14ac:dyDescent="0.3">
      <c r="J6444" s="1"/>
    </row>
    <row r="6445" spans="10:10" x14ac:dyDescent="0.3">
      <c r="J6445" s="1"/>
    </row>
    <row r="6446" spans="10:10" x14ac:dyDescent="0.3">
      <c r="J6446" s="1"/>
    </row>
    <row r="6447" spans="10:10" x14ac:dyDescent="0.3">
      <c r="J6447" s="1"/>
    </row>
    <row r="6448" spans="10:10" x14ac:dyDescent="0.3">
      <c r="J6448" s="1"/>
    </row>
    <row r="6449" spans="10:10" x14ac:dyDescent="0.3">
      <c r="J6449" s="1"/>
    </row>
    <row r="6450" spans="10:10" x14ac:dyDescent="0.3">
      <c r="J6450" s="1"/>
    </row>
    <row r="6451" spans="10:10" x14ac:dyDescent="0.3">
      <c r="J6451" s="1"/>
    </row>
    <row r="6452" spans="10:10" x14ac:dyDescent="0.3">
      <c r="J6452" s="1"/>
    </row>
    <row r="6453" spans="10:10" x14ac:dyDescent="0.3">
      <c r="J6453" s="1"/>
    </row>
    <row r="6454" spans="10:10" x14ac:dyDescent="0.3">
      <c r="J6454" s="1"/>
    </row>
    <row r="6455" spans="10:10" x14ac:dyDescent="0.3">
      <c r="J6455" s="1"/>
    </row>
    <row r="6456" spans="10:10" x14ac:dyDescent="0.3">
      <c r="J6456" s="1"/>
    </row>
    <row r="6457" spans="10:10" x14ac:dyDescent="0.3">
      <c r="J6457" s="1"/>
    </row>
    <row r="6458" spans="10:10" x14ac:dyDescent="0.3">
      <c r="J6458" s="1"/>
    </row>
    <row r="6459" spans="10:10" x14ac:dyDescent="0.3">
      <c r="J6459" s="1"/>
    </row>
    <row r="6460" spans="10:10" x14ac:dyDescent="0.3">
      <c r="J6460" s="1"/>
    </row>
    <row r="6461" spans="10:10" x14ac:dyDescent="0.3">
      <c r="J6461" s="1"/>
    </row>
    <row r="6462" spans="10:10" x14ac:dyDescent="0.3">
      <c r="J6462" s="1"/>
    </row>
    <row r="6463" spans="10:10" x14ac:dyDescent="0.3">
      <c r="J6463" s="1"/>
    </row>
    <row r="6464" spans="10:10" x14ac:dyDescent="0.3">
      <c r="J6464" s="1"/>
    </row>
    <row r="6465" spans="10:10" x14ac:dyDescent="0.3">
      <c r="J6465" s="1"/>
    </row>
    <row r="6466" spans="10:10" x14ac:dyDescent="0.3">
      <c r="J6466" s="1"/>
    </row>
    <row r="6467" spans="10:10" x14ac:dyDescent="0.3">
      <c r="J6467" s="1"/>
    </row>
    <row r="6468" spans="10:10" x14ac:dyDescent="0.3">
      <c r="J6468" s="1"/>
    </row>
    <row r="6469" spans="10:10" x14ac:dyDescent="0.3">
      <c r="J6469" s="1"/>
    </row>
    <row r="6470" spans="10:10" x14ac:dyDescent="0.3">
      <c r="J6470" s="1"/>
    </row>
    <row r="6471" spans="10:10" x14ac:dyDescent="0.3">
      <c r="J6471" s="1"/>
    </row>
    <row r="6472" spans="10:10" x14ac:dyDescent="0.3">
      <c r="J6472" s="1"/>
    </row>
    <row r="6473" spans="10:10" x14ac:dyDescent="0.3">
      <c r="J6473" s="1"/>
    </row>
    <row r="6474" spans="10:10" x14ac:dyDescent="0.3">
      <c r="J6474" s="1"/>
    </row>
    <row r="6475" spans="10:10" x14ac:dyDescent="0.3">
      <c r="J6475" s="1"/>
    </row>
    <row r="6476" spans="10:10" x14ac:dyDescent="0.3">
      <c r="J6476" s="1"/>
    </row>
    <row r="6477" spans="10:10" x14ac:dyDescent="0.3">
      <c r="J6477" s="1"/>
    </row>
    <row r="6478" spans="10:10" x14ac:dyDescent="0.3">
      <c r="J6478" s="1"/>
    </row>
    <row r="6479" spans="10:10" x14ac:dyDescent="0.3">
      <c r="J6479" s="1"/>
    </row>
    <row r="6480" spans="10:10" x14ac:dyDescent="0.3">
      <c r="J6480" s="1"/>
    </row>
    <row r="6481" spans="10:10" x14ac:dyDescent="0.3">
      <c r="J6481" s="1"/>
    </row>
    <row r="6482" spans="10:10" x14ac:dyDescent="0.3">
      <c r="J6482" s="1"/>
    </row>
    <row r="6483" spans="10:10" x14ac:dyDescent="0.3">
      <c r="J6483" s="1"/>
    </row>
    <row r="6484" spans="10:10" x14ac:dyDescent="0.3">
      <c r="J6484" s="1"/>
    </row>
    <row r="6485" spans="10:10" x14ac:dyDescent="0.3">
      <c r="J6485" s="1"/>
    </row>
    <row r="6486" spans="10:10" x14ac:dyDescent="0.3">
      <c r="J6486" s="1"/>
    </row>
    <row r="6487" spans="10:10" x14ac:dyDescent="0.3">
      <c r="J6487" s="1"/>
    </row>
    <row r="6488" spans="10:10" x14ac:dyDescent="0.3">
      <c r="J6488" s="1"/>
    </row>
    <row r="6489" spans="10:10" x14ac:dyDescent="0.3">
      <c r="J6489" s="1"/>
    </row>
    <row r="6490" spans="10:10" x14ac:dyDescent="0.3">
      <c r="J6490" s="1"/>
    </row>
    <row r="6491" spans="10:10" x14ac:dyDescent="0.3">
      <c r="J6491" s="1"/>
    </row>
    <row r="6492" spans="10:10" x14ac:dyDescent="0.3">
      <c r="J6492" s="1"/>
    </row>
    <row r="6493" spans="10:10" x14ac:dyDescent="0.3">
      <c r="J6493" s="1"/>
    </row>
    <row r="6494" spans="10:10" x14ac:dyDescent="0.3">
      <c r="J6494" s="1"/>
    </row>
    <row r="6495" spans="10:10" x14ac:dyDescent="0.3">
      <c r="J6495" s="1"/>
    </row>
    <row r="6496" spans="10:10" x14ac:dyDescent="0.3">
      <c r="J6496" s="1"/>
    </row>
    <row r="6497" spans="10:10" x14ac:dyDescent="0.3">
      <c r="J6497" s="1"/>
    </row>
    <row r="6498" spans="10:10" x14ac:dyDescent="0.3">
      <c r="J6498" s="1"/>
    </row>
    <row r="6499" spans="10:10" x14ac:dyDescent="0.3">
      <c r="J6499" s="1"/>
    </row>
    <row r="6500" spans="10:10" x14ac:dyDescent="0.3">
      <c r="J6500" s="1"/>
    </row>
    <row r="6501" spans="10:10" x14ac:dyDescent="0.3">
      <c r="J6501" s="1"/>
    </row>
    <row r="6502" spans="10:10" x14ac:dyDescent="0.3">
      <c r="J6502" s="1"/>
    </row>
    <row r="6503" spans="10:10" x14ac:dyDescent="0.3">
      <c r="J6503" s="1"/>
    </row>
    <row r="6504" spans="10:10" x14ac:dyDescent="0.3">
      <c r="J6504" s="1"/>
    </row>
    <row r="6505" spans="10:10" x14ac:dyDescent="0.3">
      <c r="J6505" s="1"/>
    </row>
    <row r="6506" spans="10:10" x14ac:dyDescent="0.3">
      <c r="J6506" s="1"/>
    </row>
    <row r="6507" spans="10:10" x14ac:dyDescent="0.3">
      <c r="J6507" s="1"/>
    </row>
    <row r="6508" spans="10:10" x14ac:dyDescent="0.3">
      <c r="J6508" s="1"/>
    </row>
    <row r="6509" spans="10:10" x14ac:dyDescent="0.3">
      <c r="J6509" s="1"/>
    </row>
    <row r="6510" spans="10:10" x14ac:dyDescent="0.3">
      <c r="J6510" s="1"/>
    </row>
    <row r="6511" spans="10:10" x14ac:dyDescent="0.3">
      <c r="J6511" s="1"/>
    </row>
    <row r="6512" spans="10:10" x14ac:dyDescent="0.3">
      <c r="J6512" s="1"/>
    </row>
    <row r="6513" spans="10:10" x14ac:dyDescent="0.3">
      <c r="J6513" s="1"/>
    </row>
    <row r="6514" spans="10:10" x14ac:dyDescent="0.3">
      <c r="J6514" s="1"/>
    </row>
    <row r="6515" spans="10:10" x14ac:dyDescent="0.3">
      <c r="J6515" s="1"/>
    </row>
    <row r="6516" spans="10:10" x14ac:dyDescent="0.3">
      <c r="J6516" s="1"/>
    </row>
    <row r="6517" spans="10:10" x14ac:dyDescent="0.3">
      <c r="J6517" s="1"/>
    </row>
    <row r="6518" spans="10:10" x14ac:dyDescent="0.3">
      <c r="J6518" s="1"/>
    </row>
    <row r="6519" spans="10:10" x14ac:dyDescent="0.3">
      <c r="J6519" s="1"/>
    </row>
    <row r="6520" spans="10:10" x14ac:dyDescent="0.3">
      <c r="J6520" s="1"/>
    </row>
    <row r="6521" spans="10:10" x14ac:dyDescent="0.3">
      <c r="J6521" s="1"/>
    </row>
    <row r="6522" spans="10:10" x14ac:dyDescent="0.3">
      <c r="J6522" s="1"/>
    </row>
    <row r="6523" spans="10:10" x14ac:dyDescent="0.3">
      <c r="J6523" s="1"/>
    </row>
    <row r="6524" spans="10:10" x14ac:dyDescent="0.3">
      <c r="J6524" s="1"/>
    </row>
    <row r="6525" spans="10:10" x14ac:dyDescent="0.3">
      <c r="J6525" s="1"/>
    </row>
    <row r="6526" spans="10:10" x14ac:dyDescent="0.3">
      <c r="J6526" s="1"/>
    </row>
    <row r="6527" spans="10:10" x14ac:dyDescent="0.3">
      <c r="J6527" s="1"/>
    </row>
    <row r="6528" spans="10:10" x14ac:dyDescent="0.3">
      <c r="J6528" s="1"/>
    </row>
    <row r="6529" spans="10:10" x14ac:dyDescent="0.3">
      <c r="J6529" s="1"/>
    </row>
    <row r="6530" spans="10:10" x14ac:dyDescent="0.3">
      <c r="J6530" s="1"/>
    </row>
    <row r="6531" spans="10:10" x14ac:dyDescent="0.3">
      <c r="J6531" s="1"/>
    </row>
    <row r="6532" spans="10:10" x14ac:dyDescent="0.3">
      <c r="J6532" s="1"/>
    </row>
    <row r="6533" spans="10:10" x14ac:dyDescent="0.3">
      <c r="J6533" s="1"/>
    </row>
    <row r="6534" spans="10:10" x14ac:dyDescent="0.3">
      <c r="J6534" s="1"/>
    </row>
    <row r="6535" spans="10:10" x14ac:dyDescent="0.3">
      <c r="J6535" s="1"/>
    </row>
    <row r="6536" spans="10:10" x14ac:dyDescent="0.3">
      <c r="J6536" s="1"/>
    </row>
    <row r="6537" spans="10:10" x14ac:dyDescent="0.3">
      <c r="J6537" s="1"/>
    </row>
    <row r="6538" spans="10:10" x14ac:dyDescent="0.3">
      <c r="J6538" s="1"/>
    </row>
    <row r="6539" spans="10:10" x14ac:dyDescent="0.3">
      <c r="J6539" s="1"/>
    </row>
    <row r="6540" spans="10:10" x14ac:dyDescent="0.3">
      <c r="J6540" s="1"/>
    </row>
    <row r="6541" spans="10:10" x14ac:dyDescent="0.3">
      <c r="J6541" s="1"/>
    </row>
    <row r="6542" spans="10:10" x14ac:dyDescent="0.3">
      <c r="J6542" s="1"/>
    </row>
    <row r="6543" spans="10:10" x14ac:dyDescent="0.3">
      <c r="J6543" s="1"/>
    </row>
    <row r="6544" spans="10:10" x14ac:dyDescent="0.3">
      <c r="J6544" s="1"/>
    </row>
    <row r="6545" spans="10:10" x14ac:dyDescent="0.3">
      <c r="J6545" s="1"/>
    </row>
    <row r="6546" spans="10:10" x14ac:dyDescent="0.3">
      <c r="J6546" s="1"/>
    </row>
    <row r="6547" spans="10:10" x14ac:dyDescent="0.3">
      <c r="J6547" s="1"/>
    </row>
    <row r="6548" spans="10:10" x14ac:dyDescent="0.3">
      <c r="J6548" s="1"/>
    </row>
    <row r="6549" spans="10:10" x14ac:dyDescent="0.3">
      <c r="J6549" s="1"/>
    </row>
    <row r="6550" spans="10:10" x14ac:dyDescent="0.3">
      <c r="J6550" s="1"/>
    </row>
    <row r="6551" spans="10:10" x14ac:dyDescent="0.3">
      <c r="J6551" s="1"/>
    </row>
    <row r="6552" spans="10:10" x14ac:dyDescent="0.3">
      <c r="J6552" s="1"/>
    </row>
    <row r="6553" spans="10:10" x14ac:dyDescent="0.3">
      <c r="J6553" s="1"/>
    </row>
    <row r="6554" spans="10:10" x14ac:dyDescent="0.3">
      <c r="J6554" s="1"/>
    </row>
    <row r="6555" spans="10:10" x14ac:dyDescent="0.3">
      <c r="J6555" s="1"/>
    </row>
    <row r="6556" spans="10:10" x14ac:dyDescent="0.3">
      <c r="J6556" s="1"/>
    </row>
    <row r="6557" spans="10:10" x14ac:dyDescent="0.3">
      <c r="J6557" s="1"/>
    </row>
    <row r="6558" spans="10:10" x14ac:dyDescent="0.3">
      <c r="J6558" s="1"/>
    </row>
    <row r="6559" spans="10:10" x14ac:dyDescent="0.3">
      <c r="J6559" s="1"/>
    </row>
    <row r="6560" spans="10:10" x14ac:dyDescent="0.3">
      <c r="J6560" s="1"/>
    </row>
    <row r="6561" spans="10:10" x14ac:dyDescent="0.3">
      <c r="J6561" s="1"/>
    </row>
    <row r="6562" spans="10:10" x14ac:dyDescent="0.3">
      <c r="J6562" s="1"/>
    </row>
    <row r="6563" spans="10:10" x14ac:dyDescent="0.3">
      <c r="J6563" s="1"/>
    </row>
    <row r="6564" spans="10:10" x14ac:dyDescent="0.3">
      <c r="J6564" s="1"/>
    </row>
    <row r="6565" spans="10:10" x14ac:dyDescent="0.3">
      <c r="J6565" s="1"/>
    </row>
    <row r="6566" spans="10:10" x14ac:dyDescent="0.3">
      <c r="J6566" s="1"/>
    </row>
    <row r="6567" spans="10:10" x14ac:dyDescent="0.3">
      <c r="J6567" s="1"/>
    </row>
    <row r="6568" spans="10:10" x14ac:dyDescent="0.3">
      <c r="J6568" s="1"/>
    </row>
    <row r="6569" spans="10:10" x14ac:dyDescent="0.3">
      <c r="J6569" s="1"/>
    </row>
    <row r="6570" spans="10:10" x14ac:dyDescent="0.3">
      <c r="J6570" s="1"/>
    </row>
    <row r="6571" spans="10:10" x14ac:dyDescent="0.3">
      <c r="J6571" s="1"/>
    </row>
    <row r="6572" spans="10:10" x14ac:dyDescent="0.3">
      <c r="J6572" s="1"/>
    </row>
    <row r="6573" spans="10:10" x14ac:dyDescent="0.3">
      <c r="J6573" s="1"/>
    </row>
    <row r="6574" spans="10:10" x14ac:dyDescent="0.3">
      <c r="J6574" s="1"/>
    </row>
    <row r="6575" spans="10:10" x14ac:dyDescent="0.3">
      <c r="J6575" s="1"/>
    </row>
    <row r="6576" spans="10:10" x14ac:dyDescent="0.3">
      <c r="J6576" s="1"/>
    </row>
    <row r="6577" spans="10:10" x14ac:dyDescent="0.3">
      <c r="J6577" s="1"/>
    </row>
    <row r="6578" spans="10:10" x14ac:dyDescent="0.3">
      <c r="J6578" s="1"/>
    </row>
    <row r="6579" spans="10:10" x14ac:dyDescent="0.3">
      <c r="J6579" s="1"/>
    </row>
    <row r="6580" spans="10:10" x14ac:dyDescent="0.3">
      <c r="J6580" s="1"/>
    </row>
    <row r="6581" spans="10:10" x14ac:dyDescent="0.3">
      <c r="J6581" s="1"/>
    </row>
    <row r="6582" spans="10:10" x14ac:dyDescent="0.3">
      <c r="J6582" s="1"/>
    </row>
    <row r="6583" spans="10:10" x14ac:dyDescent="0.3">
      <c r="J6583" s="1"/>
    </row>
    <row r="6584" spans="10:10" x14ac:dyDescent="0.3">
      <c r="J6584" s="1"/>
    </row>
    <row r="6585" spans="10:10" x14ac:dyDescent="0.3">
      <c r="J6585" s="1"/>
    </row>
    <row r="6586" spans="10:10" x14ac:dyDescent="0.3">
      <c r="J6586" s="1"/>
    </row>
    <row r="6587" spans="10:10" x14ac:dyDescent="0.3">
      <c r="J6587" s="1"/>
    </row>
    <row r="6588" spans="10:10" x14ac:dyDescent="0.3">
      <c r="J6588" s="1"/>
    </row>
    <row r="6589" spans="10:10" x14ac:dyDescent="0.3">
      <c r="J6589" s="1"/>
    </row>
    <row r="6590" spans="10:10" x14ac:dyDescent="0.3">
      <c r="J6590" s="1"/>
    </row>
    <row r="6591" spans="10:10" x14ac:dyDescent="0.3">
      <c r="J6591" s="1"/>
    </row>
    <row r="6592" spans="10:10" x14ac:dyDescent="0.3">
      <c r="J6592" s="1"/>
    </row>
    <row r="6593" spans="10:10" x14ac:dyDescent="0.3">
      <c r="J6593" s="1"/>
    </row>
    <row r="6594" spans="10:10" x14ac:dyDescent="0.3">
      <c r="J6594" s="1"/>
    </row>
    <row r="6595" spans="10:10" x14ac:dyDescent="0.3">
      <c r="J6595" s="1"/>
    </row>
    <row r="6596" spans="10:10" x14ac:dyDescent="0.3">
      <c r="J6596" s="1"/>
    </row>
    <row r="6597" spans="10:10" x14ac:dyDescent="0.3">
      <c r="J6597" s="1"/>
    </row>
    <row r="6598" spans="10:10" x14ac:dyDescent="0.3">
      <c r="J6598" s="1"/>
    </row>
    <row r="6599" spans="10:10" x14ac:dyDescent="0.3">
      <c r="J6599" s="1"/>
    </row>
    <row r="6600" spans="10:10" x14ac:dyDescent="0.3">
      <c r="J6600" s="1"/>
    </row>
    <row r="6601" spans="10:10" x14ac:dyDescent="0.3">
      <c r="J6601" s="1"/>
    </row>
    <row r="6602" spans="10:10" x14ac:dyDescent="0.3">
      <c r="J6602" s="1"/>
    </row>
    <row r="6603" spans="10:10" x14ac:dyDescent="0.3">
      <c r="J6603" s="1"/>
    </row>
    <row r="6604" spans="10:10" x14ac:dyDescent="0.3">
      <c r="J6604" s="1"/>
    </row>
    <row r="6605" spans="10:10" x14ac:dyDescent="0.3">
      <c r="J6605" s="1"/>
    </row>
    <row r="6606" spans="10:10" x14ac:dyDescent="0.3">
      <c r="J6606" s="1"/>
    </row>
    <row r="6607" spans="10:10" x14ac:dyDescent="0.3">
      <c r="J6607" s="1"/>
    </row>
    <row r="6608" spans="10:10" x14ac:dyDescent="0.3">
      <c r="J6608" s="1"/>
    </row>
    <row r="6609" spans="10:10" x14ac:dyDescent="0.3">
      <c r="J6609" s="1"/>
    </row>
    <row r="6610" spans="10:10" x14ac:dyDescent="0.3">
      <c r="J6610" s="1"/>
    </row>
    <row r="6611" spans="10:10" x14ac:dyDescent="0.3">
      <c r="J6611" s="1"/>
    </row>
    <row r="6612" spans="10:10" x14ac:dyDescent="0.3">
      <c r="J6612" s="1"/>
    </row>
    <row r="6613" spans="10:10" x14ac:dyDescent="0.3">
      <c r="J6613" s="1"/>
    </row>
    <row r="6614" spans="10:10" x14ac:dyDescent="0.3">
      <c r="J6614" s="1"/>
    </row>
    <row r="6615" spans="10:10" x14ac:dyDescent="0.3">
      <c r="J6615" s="1"/>
    </row>
    <row r="6616" spans="10:10" x14ac:dyDescent="0.3">
      <c r="J6616" s="1"/>
    </row>
    <row r="6617" spans="10:10" x14ac:dyDescent="0.3">
      <c r="J6617" s="1"/>
    </row>
    <row r="6618" spans="10:10" x14ac:dyDescent="0.3">
      <c r="J6618" s="1"/>
    </row>
    <row r="6619" spans="10:10" x14ac:dyDescent="0.3">
      <c r="J6619" s="1"/>
    </row>
    <row r="6620" spans="10:10" x14ac:dyDescent="0.3">
      <c r="J6620" s="1"/>
    </row>
    <row r="6621" spans="10:10" x14ac:dyDescent="0.3">
      <c r="J6621" s="1"/>
    </row>
    <row r="6622" spans="10:10" x14ac:dyDescent="0.3">
      <c r="J6622" s="1"/>
    </row>
    <row r="6623" spans="10:10" x14ac:dyDescent="0.3">
      <c r="J6623" s="1"/>
    </row>
    <row r="6624" spans="10:10" x14ac:dyDescent="0.3">
      <c r="J6624" s="1"/>
    </row>
    <row r="6625" spans="10:10" x14ac:dyDescent="0.3">
      <c r="J6625" s="1"/>
    </row>
    <row r="6626" spans="10:10" x14ac:dyDescent="0.3">
      <c r="J6626" s="1"/>
    </row>
    <row r="6627" spans="10:10" x14ac:dyDescent="0.3">
      <c r="J6627" s="1"/>
    </row>
    <row r="6628" spans="10:10" x14ac:dyDescent="0.3">
      <c r="J6628" s="1"/>
    </row>
    <row r="6629" spans="10:10" x14ac:dyDescent="0.3">
      <c r="J6629" s="1"/>
    </row>
    <row r="6630" spans="10:10" x14ac:dyDescent="0.3">
      <c r="J6630" s="1"/>
    </row>
    <row r="6631" spans="10:10" x14ac:dyDescent="0.3">
      <c r="J6631" s="1"/>
    </row>
    <row r="6632" spans="10:10" x14ac:dyDescent="0.3">
      <c r="J6632" s="1"/>
    </row>
    <row r="6633" spans="10:10" x14ac:dyDescent="0.3">
      <c r="J6633" s="1"/>
    </row>
    <row r="6634" spans="10:10" x14ac:dyDescent="0.3">
      <c r="J6634" s="1"/>
    </row>
    <row r="6635" spans="10:10" x14ac:dyDescent="0.3">
      <c r="J6635" s="1"/>
    </row>
    <row r="6636" spans="10:10" x14ac:dyDescent="0.3">
      <c r="J6636" s="1"/>
    </row>
    <row r="6637" spans="10:10" x14ac:dyDescent="0.3">
      <c r="J6637" s="1"/>
    </row>
    <row r="6638" spans="10:10" x14ac:dyDescent="0.3">
      <c r="J6638" s="1"/>
    </row>
    <row r="6639" spans="10:10" x14ac:dyDescent="0.3">
      <c r="J6639" s="1"/>
    </row>
    <row r="6640" spans="10:10" x14ac:dyDescent="0.3">
      <c r="J6640" s="1"/>
    </row>
    <row r="6641" spans="10:10" x14ac:dyDescent="0.3">
      <c r="J6641" s="1"/>
    </row>
    <row r="6642" spans="10:10" x14ac:dyDescent="0.3">
      <c r="J6642" s="1"/>
    </row>
    <row r="6643" spans="10:10" x14ac:dyDescent="0.3">
      <c r="J6643" s="1"/>
    </row>
    <row r="6644" spans="10:10" x14ac:dyDescent="0.3">
      <c r="J6644" s="1"/>
    </row>
    <row r="6645" spans="10:10" x14ac:dyDescent="0.3">
      <c r="J6645" s="1"/>
    </row>
    <row r="6646" spans="10:10" x14ac:dyDescent="0.3">
      <c r="J6646" s="1"/>
    </row>
    <row r="6647" spans="10:10" x14ac:dyDescent="0.3">
      <c r="J6647" s="1"/>
    </row>
    <row r="6648" spans="10:10" x14ac:dyDescent="0.3">
      <c r="J6648" s="1"/>
    </row>
    <row r="6649" spans="10:10" x14ac:dyDescent="0.3">
      <c r="J6649" s="1"/>
    </row>
    <row r="6650" spans="10:10" x14ac:dyDescent="0.3">
      <c r="J6650" s="1"/>
    </row>
    <row r="6651" spans="10:10" x14ac:dyDescent="0.3">
      <c r="J6651" s="1"/>
    </row>
    <row r="6652" spans="10:10" x14ac:dyDescent="0.3">
      <c r="J6652" s="1"/>
    </row>
    <row r="6653" spans="10:10" x14ac:dyDescent="0.3">
      <c r="J6653" s="1"/>
    </row>
    <row r="6654" spans="10:10" x14ac:dyDescent="0.3">
      <c r="J6654" s="1"/>
    </row>
    <row r="6655" spans="10:10" x14ac:dyDescent="0.3">
      <c r="J6655" s="1"/>
    </row>
    <row r="6656" spans="10:10" x14ac:dyDescent="0.3">
      <c r="J6656" s="1"/>
    </row>
    <row r="6657" spans="10:10" x14ac:dyDescent="0.3">
      <c r="J6657" s="1"/>
    </row>
    <row r="6658" spans="10:10" x14ac:dyDescent="0.3">
      <c r="J6658" s="1"/>
    </row>
    <row r="6659" spans="10:10" x14ac:dyDescent="0.3">
      <c r="J6659" s="1"/>
    </row>
    <row r="6660" spans="10:10" x14ac:dyDescent="0.3">
      <c r="J6660" s="1"/>
    </row>
    <row r="6661" spans="10:10" x14ac:dyDescent="0.3">
      <c r="J6661" s="1"/>
    </row>
    <row r="6662" spans="10:10" x14ac:dyDescent="0.3">
      <c r="J6662" s="1"/>
    </row>
    <row r="6663" spans="10:10" x14ac:dyDescent="0.3">
      <c r="J6663" s="1"/>
    </row>
    <row r="6664" spans="10:10" x14ac:dyDescent="0.3">
      <c r="J6664" s="1"/>
    </row>
    <row r="6665" spans="10:10" x14ac:dyDescent="0.3">
      <c r="J6665" s="1"/>
    </row>
    <row r="6666" spans="10:10" x14ac:dyDescent="0.3">
      <c r="J6666" s="1"/>
    </row>
    <row r="6667" spans="10:10" x14ac:dyDescent="0.3">
      <c r="J6667" s="1"/>
    </row>
    <row r="6668" spans="10:10" x14ac:dyDescent="0.3">
      <c r="J6668" s="1"/>
    </row>
    <row r="6669" spans="10:10" x14ac:dyDescent="0.3">
      <c r="J6669" s="1"/>
    </row>
    <row r="6670" spans="10:10" x14ac:dyDescent="0.3">
      <c r="J6670" s="1"/>
    </row>
    <row r="6671" spans="10:10" x14ac:dyDescent="0.3">
      <c r="J6671" s="1"/>
    </row>
    <row r="6672" spans="10:10" x14ac:dyDescent="0.3">
      <c r="J6672" s="1"/>
    </row>
    <row r="6673" spans="10:10" x14ac:dyDescent="0.3">
      <c r="J6673" s="1"/>
    </row>
    <row r="6674" spans="10:10" x14ac:dyDescent="0.3">
      <c r="J6674" s="1"/>
    </row>
    <row r="6675" spans="10:10" x14ac:dyDescent="0.3">
      <c r="J6675" s="1"/>
    </row>
    <row r="6676" spans="10:10" x14ac:dyDescent="0.3">
      <c r="J6676" s="1"/>
    </row>
    <row r="6677" spans="10:10" x14ac:dyDescent="0.3">
      <c r="J6677" s="1"/>
    </row>
    <row r="6678" spans="10:10" x14ac:dyDescent="0.3">
      <c r="J6678" s="1"/>
    </row>
    <row r="6679" spans="10:10" x14ac:dyDescent="0.3">
      <c r="J6679" s="1"/>
    </row>
    <row r="6680" spans="10:10" x14ac:dyDescent="0.3">
      <c r="J6680" s="1"/>
    </row>
    <row r="6681" spans="10:10" x14ac:dyDescent="0.3">
      <c r="J6681" s="1"/>
    </row>
    <row r="6682" spans="10:10" x14ac:dyDescent="0.3">
      <c r="J6682" s="1"/>
    </row>
    <row r="6683" spans="10:10" x14ac:dyDescent="0.3">
      <c r="J6683" s="1"/>
    </row>
    <row r="6684" spans="10:10" x14ac:dyDescent="0.3">
      <c r="J6684" s="1"/>
    </row>
    <row r="6685" spans="10:10" x14ac:dyDescent="0.3">
      <c r="J6685" s="1"/>
    </row>
    <row r="6686" spans="10:10" x14ac:dyDescent="0.3">
      <c r="J6686" s="1"/>
    </row>
    <row r="6687" spans="10:10" x14ac:dyDescent="0.3">
      <c r="J6687" s="1"/>
    </row>
    <row r="6688" spans="10:10" x14ac:dyDescent="0.3">
      <c r="J6688" s="1"/>
    </row>
    <row r="6689" spans="10:10" x14ac:dyDescent="0.3">
      <c r="J6689" s="1"/>
    </row>
    <row r="6690" spans="10:10" x14ac:dyDescent="0.3">
      <c r="J6690" s="1"/>
    </row>
    <row r="6691" spans="10:10" x14ac:dyDescent="0.3">
      <c r="J6691" s="1"/>
    </row>
    <row r="6692" spans="10:10" x14ac:dyDescent="0.3">
      <c r="J6692" s="1"/>
    </row>
    <row r="6693" spans="10:10" x14ac:dyDescent="0.3">
      <c r="J6693" s="1"/>
    </row>
    <row r="6694" spans="10:10" x14ac:dyDescent="0.3">
      <c r="J6694" s="1"/>
    </row>
    <row r="6695" spans="10:10" x14ac:dyDescent="0.3">
      <c r="J6695" s="1"/>
    </row>
    <row r="6696" spans="10:10" x14ac:dyDescent="0.3">
      <c r="J6696" s="1"/>
    </row>
    <row r="6697" spans="10:10" x14ac:dyDescent="0.3">
      <c r="J6697" s="1"/>
    </row>
    <row r="6698" spans="10:10" x14ac:dyDescent="0.3">
      <c r="J6698" s="1"/>
    </row>
    <row r="6699" spans="10:10" x14ac:dyDescent="0.3">
      <c r="J6699" s="1"/>
    </row>
    <row r="6700" spans="10:10" x14ac:dyDescent="0.3">
      <c r="J6700" s="1"/>
    </row>
    <row r="6701" spans="10:10" x14ac:dyDescent="0.3">
      <c r="J6701" s="1"/>
    </row>
    <row r="6702" spans="10:10" x14ac:dyDescent="0.3">
      <c r="J6702" s="1"/>
    </row>
    <row r="6703" spans="10:10" x14ac:dyDescent="0.3">
      <c r="J6703" s="1"/>
    </row>
    <row r="6704" spans="10:10" x14ac:dyDescent="0.3">
      <c r="J6704" s="1"/>
    </row>
    <row r="6705" spans="10:10" x14ac:dyDescent="0.3">
      <c r="J6705" s="1"/>
    </row>
    <row r="6706" spans="10:10" x14ac:dyDescent="0.3">
      <c r="J6706" s="1"/>
    </row>
    <row r="6707" spans="10:10" x14ac:dyDescent="0.3">
      <c r="J6707" s="1"/>
    </row>
    <row r="6708" spans="10:10" x14ac:dyDescent="0.3">
      <c r="J6708" s="1"/>
    </row>
    <row r="6709" spans="10:10" x14ac:dyDescent="0.3">
      <c r="J6709" s="1"/>
    </row>
    <row r="6710" spans="10:10" x14ac:dyDescent="0.3">
      <c r="J6710" s="1"/>
    </row>
    <row r="6711" spans="10:10" x14ac:dyDescent="0.3">
      <c r="J6711" s="1"/>
    </row>
    <row r="6712" spans="10:10" x14ac:dyDescent="0.3">
      <c r="J6712" s="1"/>
    </row>
    <row r="6713" spans="10:10" x14ac:dyDescent="0.3">
      <c r="J6713" s="1"/>
    </row>
    <row r="6714" spans="10:10" x14ac:dyDescent="0.3">
      <c r="J6714" s="1"/>
    </row>
    <row r="6715" spans="10:10" x14ac:dyDescent="0.3">
      <c r="J6715" s="1"/>
    </row>
    <row r="6716" spans="10:10" x14ac:dyDescent="0.3">
      <c r="J6716" s="1"/>
    </row>
    <row r="6717" spans="10:10" x14ac:dyDescent="0.3">
      <c r="J6717" s="1"/>
    </row>
    <row r="6718" spans="10:10" x14ac:dyDescent="0.3">
      <c r="J6718" s="1"/>
    </row>
    <row r="6719" spans="10:10" x14ac:dyDescent="0.3">
      <c r="J6719" s="1"/>
    </row>
    <row r="6720" spans="10:10" x14ac:dyDescent="0.3">
      <c r="J6720" s="1"/>
    </row>
    <row r="6721" spans="10:10" x14ac:dyDescent="0.3">
      <c r="J6721" s="1"/>
    </row>
    <row r="6722" spans="10:10" x14ac:dyDescent="0.3">
      <c r="J6722" s="1"/>
    </row>
    <row r="6723" spans="10:10" x14ac:dyDescent="0.3">
      <c r="J6723" s="1"/>
    </row>
    <row r="6724" spans="10:10" x14ac:dyDescent="0.3">
      <c r="J6724" s="1"/>
    </row>
    <row r="6725" spans="10:10" x14ac:dyDescent="0.3">
      <c r="J6725" s="1"/>
    </row>
    <row r="6726" spans="10:10" x14ac:dyDescent="0.3">
      <c r="J6726" s="1"/>
    </row>
    <row r="6727" spans="10:10" x14ac:dyDescent="0.3">
      <c r="J6727" s="1"/>
    </row>
    <row r="6728" spans="10:10" x14ac:dyDescent="0.3">
      <c r="J6728" s="1"/>
    </row>
    <row r="6729" spans="10:10" x14ac:dyDescent="0.3">
      <c r="J6729" s="1"/>
    </row>
    <row r="6730" spans="10:10" x14ac:dyDescent="0.3">
      <c r="J6730" s="1"/>
    </row>
    <row r="6731" spans="10:10" x14ac:dyDescent="0.3">
      <c r="J6731" s="1"/>
    </row>
    <row r="6732" spans="10:10" x14ac:dyDescent="0.3">
      <c r="J6732" s="1"/>
    </row>
    <row r="6733" spans="10:10" x14ac:dyDescent="0.3">
      <c r="J6733" s="1"/>
    </row>
    <row r="6734" spans="10:10" x14ac:dyDescent="0.3">
      <c r="J6734" s="1"/>
    </row>
    <row r="6735" spans="10:10" x14ac:dyDescent="0.3">
      <c r="J6735" s="1"/>
    </row>
    <row r="6736" spans="10:10" x14ac:dyDescent="0.3">
      <c r="J6736" s="1"/>
    </row>
    <row r="6737" spans="10:10" x14ac:dyDescent="0.3">
      <c r="J6737" s="1"/>
    </row>
    <row r="6738" spans="10:10" x14ac:dyDescent="0.3">
      <c r="J6738" s="1"/>
    </row>
    <row r="6739" spans="10:10" x14ac:dyDescent="0.3">
      <c r="J6739" s="1"/>
    </row>
    <row r="6740" spans="10:10" x14ac:dyDescent="0.3">
      <c r="J6740" s="1"/>
    </row>
    <row r="6741" spans="10:10" x14ac:dyDescent="0.3">
      <c r="J6741" s="1"/>
    </row>
    <row r="6742" spans="10:10" x14ac:dyDescent="0.3">
      <c r="J6742" s="1"/>
    </row>
    <row r="6743" spans="10:10" x14ac:dyDescent="0.3">
      <c r="J6743" s="1"/>
    </row>
    <row r="6744" spans="10:10" x14ac:dyDescent="0.3">
      <c r="J6744" s="1"/>
    </row>
    <row r="6745" spans="10:10" x14ac:dyDescent="0.3">
      <c r="J6745" s="1"/>
    </row>
    <row r="6746" spans="10:10" x14ac:dyDescent="0.3">
      <c r="J6746" s="1"/>
    </row>
    <row r="6747" spans="10:10" x14ac:dyDescent="0.3">
      <c r="J6747" s="1"/>
    </row>
    <row r="6748" spans="10:10" x14ac:dyDescent="0.3">
      <c r="J6748" s="1"/>
    </row>
    <row r="6749" spans="10:10" x14ac:dyDescent="0.3">
      <c r="J6749" s="1"/>
    </row>
    <row r="6750" spans="10:10" x14ac:dyDescent="0.3">
      <c r="J6750" s="1"/>
    </row>
    <row r="6751" spans="10:10" x14ac:dyDescent="0.3">
      <c r="J6751" s="1"/>
    </row>
    <row r="6752" spans="10:10" x14ac:dyDescent="0.3">
      <c r="J6752" s="1"/>
    </row>
    <row r="6753" spans="10:10" x14ac:dyDescent="0.3">
      <c r="J6753" s="1"/>
    </row>
    <row r="6754" spans="10:10" x14ac:dyDescent="0.3">
      <c r="J6754" s="1"/>
    </row>
    <row r="6755" spans="10:10" x14ac:dyDescent="0.3">
      <c r="J6755" s="1"/>
    </row>
    <row r="6756" spans="10:10" x14ac:dyDescent="0.3">
      <c r="J6756" s="1"/>
    </row>
    <row r="6757" spans="10:10" x14ac:dyDescent="0.3">
      <c r="J6757" s="1"/>
    </row>
    <row r="6758" spans="10:10" x14ac:dyDescent="0.3">
      <c r="J6758" s="1"/>
    </row>
    <row r="6759" spans="10:10" x14ac:dyDescent="0.3">
      <c r="J6759" s="1"/>
    </row>
    <row r="6760" spans="10:10" x14ac:dyDescent="0.3">
      <c r="J6760" s="1"/>
    </row>
    <row r="6761" spans="10:10" x14ac:dyDescent="0.3">
      <c r="J6761" s="1"/>
    </row>
    <row r="6762" spans="10:10" x14ac:dyDescent="0.3">
      <c r="J6762" s="1"/>
    </row>
    <row r="6763" spans="10:10" x14ac:dyDescent="0.3">
      <c r="J6763" s="1"/>
    </row>
    <row r="6764" spans="10:10" x14ac:dyDescent="0.3">
      <c r="J6764" s="1"/>
    </row>
    <row r="6765" spans="10:10" x14ac:dyDescent="0.3">
      <c r="J6765" s="1"/>
    </row>
    <row r="6766" spans="10:10" x14ac:dyDescent="0.3">
      <c r="J6766" s="1"/>
    </row>
    <row r="6767" spans="10:10" x14ac:dyDescent="0.3">
      <c r="J6767" s="1"/>
    </row>
    <row r="6768" spans="10:10" x14ac:dyDescent="0.3">
      <c r="J6768" s="1"/>
    </row>
    <row r="6769" spans="10:10" x14ac:dyDescent="0.3">
      <c r="J6769" s="1"/>
    </row>
    <row r="6770" spans="10:10" x14ac:dyDescent="0.3">
      <c r="J6770" s="1"/>
    </row>
    <row r="6771" spans="10:10" x14ac:dyDescent="0.3">
      <c r="J6771" s="1"/>
    </row>
    <row r="6772" spans="10:10" x14ac:dyDescent="0.3">
      <c r="J6772" s="1"/>
    </row>
    <row r="6773" spans="10:10" x14ac:dyDescent="0.3">
      <c r="J6773" s="1"/>
    </row>
    <row r="6774" spans="10:10" x14ac:dyDescent="0.3">
      <c r="J6774" s="1"/>
    </row>
    <row r="6775" spans="10:10" x14ac:dyDescent="0.3">
      <c r="J6775" s="1"/>
    </row>
    <row r="6776" spans="10:10" x14ac:dyDescent="0.3">
      <c r="J6776" s="1"/>
    </row>
    <row r="6777" spans="10:10" x14ac:dyDescent="0.3">
      <c r="J6777" s="1"/>
    </row>
    <row r="6778" spans="10:10" x14ac:dyDescent="0.3">
      <c r="J6778" s="1"/>
    </row>
    <row r="6779" spans="10:10" x14ac:dyDescent="0.3">
      <c r="J6779" s="1"/>
    </row>
    <row r="6780" spans="10:10" x14ac:dyDescent="0.3">
      <c r="J6780" s="1"/>
    </row>
    <row r="6781" spans="10:10" x14ac:dyDescent="0.3">
      <c r="J6781" s="1"/>
    </row>
    <row r="6782" spans="10:10" x14ac:dyDescent="0.3">
      <c r="J6782" s="1"/>
    </row>
    <row r="6783" spans="10:10" x14ac:dyDescent="0.3">
      <c r="J6783" s="1"/>
    </row>
    <row r="6784" spans="10:10" x14ac:dyDescent="0.3">
      <c r="J6784" s="1"/>
    </row>
    <row r="6785" spans="10:10" x14ac:dyDescent="0.3">
      <c r="J6785" s="1"/>
    </row>
    <row r="6786" spans="10:10" x14ac:dyDescent="0.3">
      <c r="J6786" s="1"/>
    </row>
    <row r="6787" spans="10:10" x14ac:dyDescent="0.3">
      <c r="J6787" s="1"/>
    </row>
    <row r="6788" spans="10:10" x14ac:dyDescent="0.3">
      <c r="J6788" s="1"/>
    </row>
    <row r="6789" spans="10:10" x14ac:dyDescent="0.3">
      <c r="J6789" s="1"/>
    </row>
    <row r="6790" spans="10:10" x14ac:dyDescent="0.3">
      <c r="J6790" s="1"/>
    </row>
    <row r="6791" spans="10:10" x14ac:dyDescent="0.3">
      <c r="J6791" s="1"/>
    </row>
    <row r="6792" spans="10:10" x14ac:dyDescent="0.3">
      <c r="J6792" s="1"/>
    </row>
    <row r="6793" spans="10:10" x14ac:dyDescent="0.3">
      <c r="J6793" s="1"/>
    </row>
    <row r="6794" spans="10:10" x14ac:dyDescent="0.3">
      <c r="J6794" s="1"/>
    </row>
    <row r="6795" spans="10:10" x14ac:dyDescent="0.3">
      <c r="J6795" s="1"/>
    </row>
    <row r="6796" spans="10:10" x14ac:dyDescent="0.3">
      <c r="J6796" s="1"/>
    </row>
    <row r="6797" spans="10:10" x14ac:dyDescent="0.3">
      <c r="J6797" s="1"/>
    </row>
    <row r="6798" spans="10:10" x14ac:dyDescent="0.3">
      <c r="J6798" s="1"/>
    </row>
    <row r="6799" spans="10:10" x14ac:dyDescent="0.3">
      <c r="J6799" s="1"/>
    </row>
    <row r="6800" spans="10:10" x14ac:dyDescent="0.3">
      <c r="J6800" s="1"/>
    </row>
    <row r="6801" spans="10:10" x14ac:dyDescent="0.3">
      <c r="J6801" s="1"/>
    </row>
    <row r="6802" spans="10:10" x14ac:dyDescent="0.3">
      <c r="J6802" s="1"/>
    </row>
    <row r="6803" spans="10:10" x14ac:dyDescent="0.3">
      <c r="J6803" s="1"/>
    </row>
    <row r="6804" spans="10:10" x14ac:dyDescent="0.3">
      <c r="J6804" s="1"/>
    </row>
    <row r="6805" spans="10:10" x14ac:dyDescent="0.3">
      <c r="J6805" s="1"/>
    </row>
    <row r="6806" spans="10:10" x14ac:dyDescent="0.3">
      <c r="J6806" s="1"/>
    </row>
    <row r="6807" spans="10:10" x14ac:dyDescent="0.3">
      <c r="J6807" s="1"/>
    </row>
    <row r="6808" spans="10:10" x14ac:dyDescent="0.3">
      <c r="J6808" s="1"/>
    </row>
    <row r="6809" spans="10:10" x14ac:dyDescent="0.3">
      <c r="J6809" s="1"/>
    </row>
    <row r="6810" spans="10:10" x14ac:dyDescent="0.3">
      <c r="J6810" s="1"/>
    </row>
    <row r="6811" spans="10:10" x14ac:dyDescent="0.3">
      <c r="J6811" s="1"/>
    </row>
    <row r="6812" spans="10:10" x14ac:dyDescent="0.3">
      <c r="J6812" s="1"/>
    </row>
    <row r="6813" spans="10:10" x14ac:dyDescent="0.3">
      <c r="J6813" s="1"/>
    </row>
    <row r="6814" spans="10:10" x14ac:dyDescent="0.3">
      <c r="J6814" s="1"/>
    </row>
    <row r="6815" spans="10:10" x14ac:dyDescent="0.3">
      <c r="J6815" s="1"/>
    </row>
    <row r="6816" spans="10:10" x14ac:dyDescent="0.3">
      <c r="J6816" s="1"/>
    </row>
    <row r="6817" spans="10:10" x14ac:dyDescent="0.3">
      <c r="J6817" s="1"/>
    </row>
    <row r="6818" spans="10:10" x14ac:dyDescent="0.3">
      <c r="J6818" s="1"/>
    </row>
    <row r="6819" spans="10:10" x14ac:dyDescent="0.3">
      <c r="J6819" s="1"/>
    </row>
    <row r="6820" spans="10:10" x14ac:dyDescent="0.3">
      <c r="J6820" s="1"/>
    </row>
    <row r="6821" spans="10:10" x14ac:dyDescent="0.3">
      <c r="J6821" s="1"/>
    </row>
    <row r="6822" spans="10:10" x14ac:dyDescent="0.3">
      <c r="J6822" s="1"/>
    </row>
    <row r="6823" spans="10:10" x14ac:dyDescent="0.3">
      <c r="J6823" s="1"/>
    </row>
    <row r="6824" spans="10:10" x14ac:dyDescent="0.3">
      <c r="J6824" s="1"/>
    </row>
    <row r="6825" spans="10:10" x14ac:dyDescent="0.3">
      <c r="J6825" s="1"/>
    </row>
    <row r="6826" spans="10:10" x14ac:dyDescent="0.3">
      <c r="J6826" s="1"/>
    </row>
    <row r="6827" spans="10:10" x14ac:dyDescent="0.3">
      <c r="J6827" s="1"/>
    </row>
    <row r="6828" spans="10:10" x14ac:dyDescent="0.3">
      <c r="J6828" s="1"/>
    </row>
    <row r="6829" spans="10:10" x14ac:dyDescent="0.3">
      <c r="J6829" s="1"/>
    </row>
    <row r="6830" spans="10:10" x14ac:dyDescent="0.3">
      <c r="J6830" s="1"/>
    </row>
    <row r="6831" spans="10:10" x14ac:dyDescent="0.3">
      <c r="J6831" s="1"/>
    </row>
    <row r="6832" spans="10:10" x14ac:dyDescent="0.3">
      <c r="J6832" s="1"/>
    </row>
    <row r="6833" spans="10:10" x14ac:dyDescent="0.3">
      <c r="J6833" s="1"/>
    </row>
    <row r="6834" spans="10:10" x14ac:dyDescent="0.3">
      <c r="J6834" s="1"/>
    </row>
    <row r="6835" spans="10:10" x14ac:dyDescent="0.3">
      <c r="J6835" s="1"/>
    </row>
    <row r="6836" spans="10:10" x14ac:dyDescent="0.3">
      <c r="J6836" s="1"/>
    </row>
    <row r="6837" spans="10:10" x14ac:dyDescent="0.3">
      <c r="J6837" s="1"/>
    </row>
    <row r="6838" spans="10:10" x14ac:dyDescent="0.3">
      <c r="J6838" s="1"/>
    </row>
    <row r="6839" spans="10:10" x14ac:dyDescent="0.3">
      <c r="J6839" s="1"/>
    </row>
    <row r="6840" spans="10:10" x14ac:dyDescent="0.3">
      <c r="J6840" s="1"/>
    </row>
    <row r="6841" spans="10:10" x14ac:dyDescent="0.3">
      <c r="J6841" s="1"/>
    </row>
    <row r="6842" spans="10:10" x14ac:dyDescent="0.3">
      <c r="J6842" s="1"/>
    </row>
    <row r="6843" spans="10:10" x14ac:dyDescent="0.3">
      <c r="J6843" s="1"/>
    </row>
    <row r="6844" spans="10:10" x14ac:dyDescent="0.3">
      <c r="J6844" s="1"/>
    </row>
    <row r="6845" spans="10:10" x14ac:dyDescent="0.3">
      <c r="J6845" s="1"/>
    </row>
    <row r="6846" spans="10:10" x14ac:dyDescent="0.3">
      <c r="J6846" s="1"/>
    </row>
    <row r="6847" spans="10:10" x14ac:dyDescent="0.3">
      <c r="J6847" s="1"/>
    </row>
    <row r="6848" spans="10:10" x14ac:dyDescent="0.3">
      <c r="J6848" s="1"/>
    </row>
    <row r="6849" spans="10:10" x14ac:dyDescent="0.3">
      <c r="J6849" s="1"/>
    </row>
    <row r="6850" spans="10:10" x14ac:dyDescent="0.3">
      <c r="J6850" s="1"/>
    </row>
    <row r="6851" spans="10:10" x14ac:dyDescent="0.3">
      <c r="J6851" s="1"/>
    </row>
    <row r="6852" spans="10:10" x14ac:dyDescent="0.3">
      <c r="J6852" s="1"/>
    </row>
    <row r="6853" spans="10:10" x14ac:dyDescent="0.3">
      <c r="J6853" s="1"/>
    </row>
    <row r="6854" spans="10:10" x14ac:dyDescent="0.3">
      <c r="J6854" s="1"/>
    </row>
    <row r="6855" spans="10:10" x14ac:dyDescent="0.3">
      <c r="J6855" s="1"/>
    </row>
    <row r="6856" spans="10:10" x14ac:dyDescent="0.3">
      <c r="J6856" s="1"/>
    </row>
    <row r="6857" spans="10:10" x14ac:dyDescent="0.3">
      <c r="J6857" s="1"/>
    </row>
    <row r="6858" spans="10:10" x14ac:dyDescent="0.3">
      <c r="J6858" s="1"/>
    </row>
    <row r="6859" spans="10:10" x14ac:dyDescent="0.3">
      <c r="J6859" s="1"/>
    </row>
    <row r="6860" spans="10:10" x14ac:dyDescent="0.3">
      <c r="J6860" s="1"/>
    </row>
    <row r="6861" spans="10:10" x14ac:dyDescent="0.3">
      <c r="J6861" s="1"/>
    </row>
    <row r="6862" spans="10:10" x14ac:dyDescent="0.3">
      <c r="J6862" s="1"/>
    </row>
    <row r="6863" spans="10:10" x14ac:dyDescent="0.3">
      <c r="J6863" s="1"/>
    </row>
    <row r="6864" spans="10:10" x14ac:dyDescent="0.3">
      <c r="J6864" s="1"/>
    </row>
    <row r="6865" spans="10:10" x14ac:dyDescent="0.3">
      <c r="J6865" s="1"/>
    </row>
    <row r="6866" spans="10:10" x14ac:dyDescent="0.3">
      <c r="J6866" s="1"/>
    </row>
    <row r="6867" spans="10:10" x14ac:dyDescent="0.3">
      <c r="J6867" s="1"/>
    </row>
    <row r="6868" spans="10:10" x14ac:dyDescent="0.3">
      <c r="J6868" s="1"/>
    </row>
    <row r="6869" spans="10:10" x14ac:dyDescent="0.3">
      <c r="J6869" s="1"/>
    </row>
    <row r="6870" spans="10:10" x14ac:dyDescent="0.3">
      <c r="J6870" s="1"/>
    </row>
    <row r="6871" spans="10:10" x14ac:dyDescent="0.3">
      <c r="J6871" s="1"/>
    </row>
    <row r="6872" spans="10:10" x14ac:dyDescent="0.3">
      <c r="J6872" s="1"/>
    </row>
    <row r="6873" spans="10:10" x14ac:dyDescent="0.3">
      <c r="J6873" s="1"/>
    </row>
    <row r="6874" spans="10:10" x14ac:dyDescent="0.3">
      <c r="J6874" s="1"/>
    </row>
    <row r="6875" spans="10:10" x14ac:dyDescent="0.3">
      <c r="J6875" s="1"/>
    </row>
    <row r="6876" spans="10:10" x14ac:dyDescent="0.3">
      <c r="J6876" s="1"/>
    </row>
    <row r="6877" spans="10:10" x14ac:dyDescent="0.3">
      <c r="J6877" s="1"/>
    </row>
    <row r="6878" spans="10:10" x14ac:dyDescent="0.3">
      <c r="J6878" s="1"/>
    </row>
    <row r="6879" spans="10:10" x14ac:dyDescent="0.3">
      <c r="J6879" s="1"/>
    </row>
    <row r="6880" spans="10:10" x14ac:dyDescent="0.3">
      <c r="J6880" s="1"/>
    </row>
    <row r="6881" spans="10:10" x14ac:dyDescent="0.3">
      <c r="J6881" s="1"/>
    </row>
    <row r="6882" spans="10:10" x14ac:dyDescent="0.3">
      <c r="J6882" s="1"/>
    </row>
    <row r="6883" spans="10:10" x14ac:dyDescent="0.3">
      <c r="J6883" s="1"/>
    </row>
    <row r="6884" spans="10:10" x14ac:dyDescent="0.3">
      <c r="J6884" s="1"/>
    </row>
    <row r="6885" spans="10:10" x14ac:dyDescent="0.3">
      <c r="J6885" s="1"/>
    </row>
    <row r="6886" spans="10:10" x14ac:dyDescent="0.3">
      <c r="J6886" s="1"/>
    </row>
    <row r="6887" spans="10:10" x14ac:dyDescent="0.3">
      <c r="J6887" s="1"/>
    </row>
    <row r="6888" spans="10:10" x14ac:dyDescent="0.3">
      <c r="J6888" s="1"/>
    </row>
    <row r="6889" spans="10:10" x14ac:dyDescent="0.3">
      <c r="J6889" s="1"/>
    </row>
    <row r="6890" spans="10:10" x14ac:dyDescent="0.3">
      <c r="J6890" s="1"/>
    </row>
    <row r="6891" spans="10:10" x14ac:dyDescent="0.3">
      <c r="J6891" s="1"/>
    </row>
    <row r="6892" spans="10:10" x14ac:dyDescent="0.3">
      <c r="J6892" s="1"/>
    </row>
    <row r="6893" spans="10:10" x14ac:dyDescent="0.3">
      <c r="J6893" s="1"/>
    </row>
    <row r="6894" spans="10:10" x14ac:dyDescent="0.3">
      <c r="J6894" s="1"/>
    </row>
    <row r="6895" spans="10:10" x14ac:dyDescent="0.3">
      <c r="J6895" s="1"/>
    </row>
    <row r="6896" spans="10:10" x14ac:dyDescent="0.3">
      <c r="J6896" s="1"/>
    </row>
    <row r="6897" spans="10:10" x14ac:dyDescent="0.3">
      <c r="J6897" s="1"/>
    </row>
    <row r="6898" spans="10:10" x14ac:dyDescent="0.3">
      <c r="J6898" s="1"/>
    </row>
    <row r="6899" spans="10:10" x14ac:dyDescent="0.3">
      <c r="J6899" s="1"/>
    </row>
    <row r="6900" spans="10:10" x14ac:dyDescent="0.3">
      <c r="J6900" s="1"/>
    </row>
    <row r="6901" spans="10:10" x14ac:dyDescent="0.3">
      <c r="J6901" s="1"/>
    </row>
    <row r="6902" spans="10:10" x14ac:dyDescent="0.3">
      <c r="J6902" s="1"/>
    </row>
    <row r="6903" spans="10:10" x14ac:dyDescent="0.3">
      <c r="J6903" s="1"/>
    </row>
    <row r="6904" spans="10:10" x14ac:dyDescent="0.3">
      <c r="J6904" s="1"/>
    </row>
    <row r="6905" spans="10:10" x14ac:dyDescent="0.3">
      <c r="J6905" s="1"/>
    </row>
    <row r="6906" spans="10:10" x14ac:dyDescent="0.3">
      <c r="J6906" s="1"/>
    </row>
    <row r="6907" spans="10:10" x14ac:dyDescent="0.3">
      <c r="J6907" s="1"/>
    </row>
    <row r="6908" spans="10:10" x14ac:dyDescent="0.3">
      <c r="J6908" s="1"/>
    </row>
    <row r="6909" spans="10:10" x14ac:dyDescent="0.3">
      <c r="J6909" s="1"/>
    </row>
    <row r="6910" spans="10:10" x14ac:dyDescent="0.3">
      <c r="J6910" s="1"/>
    </row>
    <row r="6911" spans="10:10" x14ac:dyDescent="0.3">
      <c r="J6911" s="1"/>
    </row>
    <row r="6912" spans="10:10" x14ac:dyDescent="0.3">
      <c r="J6912" s="1"/>
    </row>
    <row r="6913" spans="10:10" x14ac:dyDescent="0.3">
      <c r="J6913" s="1"/>
    </row>
    <row r="6914" spans="10:10" x14ac:dyDescent="0.3">
      <c r="J6914" s="1"/>
    </row>
    <row r="6915" spans="10:10" x14ac:dyDescent="0.3">
      <c r="J6915" s="1"/>
    </row>
    <row r="6916" spans="10:10" x14ac:dyDescent="0.3">
      <c r="J6916" s="1"/>
    </row>
    <row r="6917" spans="10:10" x14ac:dyDescent="0.3">
      <c r="J6917" s="1"/>
    </row>
    <row r="6918" spans="10:10" x14ac:dyDescent="0.3">
      <c r="J6918" s="1"/>
    </row>
    <row r="6919" spans="10:10" x14ac:dyDescent="0.3">
      <c r="J6919" s="1"/>
    </row>
    <row r="6920" spans="10:10" x14ac:dyDescent="0.3">
      <c r="J6920" s="1"/>
    </row>
    <row r="6921" spans="10:10" x14ac:dyDescent="0.3">
      <c r="J6921" s="1"/>
    </row>
    <row r="6922" spans="10:10" x14ac:dyDescent="0.3">
      <c r="J6922" s="1"/>
    </row>
    <row r="6923" spans="10:10" x14ac:dyDescent="0.3">
      <c r="J6923" s="1"/>
    </row>
    <row r="6924" spans="10:10" x14ac:dyDescent="0.3">
      <c r="J6924" s="1"/>
    </row>
    <row r="6925" spans="10:10" x14ac:dyDescent="0.3">
      <c r="J6925" s="1"/>
    </row>
    <row r="6926" spans="10:10" x14ac:dyDescent="0.3">
      <c r="J6926" s="1"/>
    </row>
    <row r="6927" spans="10:10" x14ac:dyDescent="0.3">
      <c r="J6927" s="1"/>
    </row>
    <row r="6928" spans="10:10" x14ac:dyDescent="0.3">
      <c r="J6928" s="1"/>
    </row>
    <row r="6929" spans="10:10" x14ac:dyDescent="0.3">
      <c r="J6929" s="1"/>
    </row>
    <row r="6930" spans="10:10" x14ac:dyDescent="0.3">
      <c r="J6930" s="1"/>
    </row>
    <row r="6931" spans="10:10" x14ac:dyDescent="0.3">
      <c r="J6931" s="1"/>
    </row>
    <row r="6932" spans="10:10" x14ac:dyDescent="0.3">
      <c r="J6932" s="1"/>
    </row>
    <row r="6933" spans="10:10" x14ac:dyDescent="0.3">
      <c r="J6933" s="1"/>
    </row>
    <row r="6934" spans="10:10" x14ac:dyDescent="0.3">
      <c r="J6934" s="1"/>
    </row>
    <row r="6935" spans="10:10" x14ac:dyDescent="0.3">
      <c r="J6935" s="1"/>
    </row>
    <row r="6936" spans="10:10" x14ac:dyDescent="0.3">
      <c r="J6936" s="1"/>
    </row>
    <row r="6937" spans="10:10" x14ac:dyDescent="0.3">
      <c r="J6937" s="1"/>
    </row>
    <row r="6938" spans="10:10" x14ac:dyDescent="0.3">
      <c r="J6938" s="1"/>
    </row>
    <row r="6939" spans="10:10" x14ac:dyDescent="0.3">
      <c r="J6939" s="1"/>
    </row>
    <row r="6940" spans="10:10" x14ac:dyDescent="0.3">
      <c r="J6940" s="1"/>
    </row>
    <row r="6941" spans="10:10" x14ac:dyDescent="0.3">
      <c r="J6941" s="1"/>
    </row>
    <row r="6942" spans="10:10" x14ac:dyDescent="0.3">
      <c r="J6942" s="1"/>
    </row>
    <row r="6943" spans="10:10" x14ac:dyDescent="0.3">
      <c r="J6943" s="1"/>
    </row>
    <row r="6944" spans="10:10" x14ac:dyDescent="0.3">
      <c r="J6944" s="1"/>
    </row>
    <row r="6945" spans="10:10" x14ac:dyDescent="0.3">
      <c r="J6945" s="1"/>
    </row>
    <row r="6946" spans="10:10" x14ac:dyDescent="0.3">
      <c r="J6946" s="1"/>
    </row>
    <row r="6947" spans="10:10" x14ac:dyDescent="0.3">
      <c r="J6947" s="1"/>
    </row>
    <row r="6948" spans="10:10" x14ac:dyDescent="0.3">
      <c r="J6948" s="1"/>
    </row>
    <row r="6949" spans="10:10" x14ac:dyDescent="0.3">
      <c r="J6949" s="1"/>
    </row>
    <row r="6950" spans="10:10" x14ac:dyDescent="0.3">
      <c r="J6950" s="1"/>
    </row>
    <row r="6951" spans="10:10" x14ac:dyDescent="0.3">
      <c r="J6951" s="1"/>
    </row>
    <row r="6952" spans="10:10" x14ac:dyDescent="0.3">
      <c r="J6952" s="1"/>
    </row>
    <row r="6953" spans="10:10" x14ac:dyDescent="0.3">
      <c r="J6953" s="1"/>
    </row>
    <row r="6954" spans="10:10" x14ac:dyDescent="0.3">
      <c r="J6954" s="1"/>
    </row>
    <row r="6955" spans="10:10" x14ac:dyDescent="0.3">
      <c r="J6955" s="1"/>
    </row>
    <row r="6956" spans="10:10" x14ac:dyDescent="0.3">
      <c r="J6956" s="1"/>
    </row>
    <row r="6957" spans="10:10" x14ac:dyDescent="0.3">
      <c r="J6957" s="1"/>
    </row>
    <row r="6958" spans="10:10" x14ac:dyDescent="0.3">
      <c r="J6958" s="1"/>
    </row>
    <row r="6959" spans="10:10" x14ac:dyDescent="0.3">
      <c r="J6959" s="1"/>
    </row>
    <row r="6960" spans="10:10" x14ac:dyDescent="0.3">
      <c r="J6960" s="1"/>
    </row>
    <row r="6961" spans="10:10" x14ac:dyDescent="0.3">
      <c r="J6961" s="1"/>
    </row>
    <row r="6962" spans="10:10" x14ac:dyDescent="0.3">
      <c r="J6962" s="1"/>
    </row>
    <row r="6963" spans="10:10" x14ac:dyDescent="0.3">
      <c r="J6963" s="1"/>
    </row>
    <row r="6964" spans="10:10" x14ac:dyDescent="0.3">
      <c r="J6964" s="1"/>
    </row>
    <row r="6965" spans="10:10" x14ac:dyDescent="0.3">
      <c r="J6965" s="1"/>
    </row>
    <row r="6966" spans="10:10" x14ac:dyDescent="0.3">
      <c r="J6966" s="1"/>
    </row>
    <row r="6967" spans="10:10" x14ac:dyDescent="0.3">
      <c r="J6967" s="1"/>
    </row>
    <row r="6968" spans="10:10" x14ac:dyDescent="0.3">
      <c r="J6968" s="1"/>
    </row>
    <row r="6969" spans="10:10" x14ac:dyDescent="0.3">
      <c r="J6969" s="1"/>
    </row>
    <row r="6970" spans="10:10" x14ac:dyDescent="0.3">
      <c r="J6970" s="1"/>
    </row>
    <row r="6971" spans="10:10" x14ac:dyDescent="0.3">
      <c r="J6971" s="1"/>
    </row>
    <row r="6972" spans="10:10" x14ac:dyDescent="0.3">
      <c r="J6972" s="1"/>
    </row>
    <row r="6973" spans="10:10" x14ac:dyDescent="0.3">
      <c r="J6973" s="1"/>
    </row>
    <row r="6974" spans="10:10" x14ac:dyDescent="0.3">
      <c r="J6974" s="1"/>
    </row>
    <row r="6975" spans="10:10" x14ac:dyDescent="0.3">
      <c r="J6975" s="1"/>
    </row>
    <row r="6976" spans="10:10" x14ac:dyDescent="0.3">
      <c r="J6976" s="1"/>
    </row>
    <row r="6977" spans="10:10" x14ac:dyDescent="0.3">
      <c r="J6977" s="1"/>
    </row>
    <row r="6978" spans="10:10" x14ac:dyDescent="0.3">
      <c r="J6978" s="1"/>
    </row>
    <row r="6979" spans="10:10" x14ac:dyDescent="0.3">
      <c r="J6979" s="1"/>
    </row>
    <row r="6980" spans="10:10" x14ac:dyDescent="0.3">
      <c r="J6980" s="1"/>
    </row>
    <row r="6981" spans="10:10" x14ac:dyDescent="0.3">
      <c r="J6981" s="1"/>
    </row>
    <row r="6982" spans="10:10" x14ac:dyDescent="0.3">
      <c r="J6982" s="1"/>
    </row>
    <row r="6983" spans="10:10" x14ac:dyDescent="0.3">
      <c r="J6983" s="1"/>
    </row>
    <row r="6984" spans="10:10" x14ac:dyDescent="0.3">
      <c r="J6984" s="1"/>
    </row>
    <row r="6985" spans="10:10" x14ac:dyDescent="0.3">
      <c r="J6985" s="1"/>
    </row>
    <row r="6986" spans="10:10" x14ac:dyDescent="0.3">
      <c r="J6986" s="1"/>
    </row>
    <row r="6987" spans="10:10" x14ac:dyDescent="0.3">
      <c r="J6987" s="1"/>
    </row>
    <row r="6988" spans="10:10" x14ac:dyDescent="0.3">
      <c r="J6988" s="1"/>
    </row>
    <row r="6989" spans="10:10" x14ac:dyDescent="0.3">
      <c r="J6989" s="1"/>
    </row>
    <row r="6990" spans="10:10" x14ac:dyDescent="0.3">
      <c r="J6990" s="1"/>
    </row>
    <row r="6991" spans="10:10" x14ac:dyDescent="0.3">
      <c r="J6991" s="1"/>
    </row>
    <row r="6992" spans="10:10" x14ac:dyDescent="0.3">
      <c r="J6992" s="1"/>
    </row>
    <row r="6993" spans="10:10" x14ac:dyDescent="0.3">
      <c r="J6993" s="1"/>
    </row>
    <row r="6994" spans="10:10" x14ac:dyDescent="0.3">
      <c r="J6994" s="1"/>
    </row>
    <row r="6995" spans="10:10" x14ac:dyDescent="0.3">
      <c r="J6995" s="1"/>
    </row>
    <row r="6996" spans="10:10" x14ac:dyDescent="0.3">
      <c r="J6996" s="1"/>
    </row>
    <row r="6997" spans="10:10" x14ac:dyDescent="0.3">
      <c r="J6997" s="1"/>
    </row>
    <row r="6998" spans="10:10" x14ac:dyDescent="0.3">
      <c r="J6998" s="1"/>
    </row>
    <row r="6999" spans="10:10" x14ac:dyDescent="0.3">
      <c r="J6999" s="1"/>
    </row>
    <row r="7000" spans="10:10" x14ac:dyDescent="0.3">
      <c r="J7000" s="1"/>
    </row>
    <row r="7001" spans="10:10" x14ac:dyDescent="0.3">
      <c r="J7001" s="1"/>
    </row>
    <row r="7002" spans="10:10" x14ac:dyDescent="0.3">
      <c r="J7002" s="1"/>
    </row>
    <row r="7003" spans="10:10" x14ac:dyDescent="0.3">
      <c r="J7003" s="1"/>
    </row>
    <row r="7004" spans="10:10" x14ac:dyDescent="0.3">
      <c r="J7004" s="1"/>
    </row>
    <row r="7005" spans="10:10" x14ac:dyDescent="0.3">
      <c r="J7005" s="1"/>
    </row>
    <row r="7006" spans="10:10" x14ac:dyDescent="0.3">
      <c r="J7006" s="1"/>
    </row>
    <row r="7007" spans="10:10" x14ac:dyDescent="0.3">
      <c r="J7007" s="1"/>
    </row>
    <row r="7008" spans="10:10" x14ac:dyDescent="0.3">
      <c r="J7008" s="1"/>
    </row>
    <row r="7009" spans="10:10" x14ac:dyDescent="0.3">
      <c r="J7009" s="1"/>
    </row>
    <row r="7010" spans="10:10" x14ac:dyDescent="0.3">
      <c r="J7010" s="1"/>
    </row>
    <row r="7011" spans="10:10" x14ac:dyDescent="0.3">
      <c r="J7011" s="1"/>
    </row>
    <row r="7012" spans="10:10" x14ac:dyDescent="0.3">
      <c r="J7012" s="1"/>
    </row>
    <row r="7013" spans="10:10" x14ac:dyDescent="0.3">
      <c r="J7013" s="1"/>
    </row>
    <row r="7014" spans="10:10" x14ac:dyDescent="0.3">
      <c r="J7014" s="1"/>
    </row>
    <row r="7015" spans="10:10" x14ac:dyDescent="0.3">
      <c r="J7015" s="1"/>
    </row>
    <row r="7016" spans="10:10" x14ac:dyDescent="0.3">
      <c r="J7016" s="1"/>
    </row>
    <row r="7017" spans="10:10" x14ac:dyDescent="0.3">
      <c r="J7017" s="1"/>
    </row>
    <row r="7018" spans="10:10" x14ac:dyDescent="0.3">
      <c r="J7018" s="1"/>
    </row>
    <row r="7019" spans="10:10" x14ac:dyDescent="0.3">
      <c r="J7019" s="1"/>
    </row>
    <row r="7020" spans="10:10" x14ac:dyDescent="0.3">
      <c r="J7020" s="1"/>
    </row>
    <row r="7021" spans="10:10" x14ac:dyDescent="0.3">
      <c r="J7021" s="1"/>
    </row>
    <row r="7022" spans="10:10" x14ac:dyDescent="0.3">
      <c r="J7022" s="1"/>
    </row>
    <row r="7023" spans="10:10" x14ac:dyDescent="0.3">
      <c r="J7023" s="1"/>
    </row>
    <row r="7024" spans="10:10" x14ac:dyDescent="0.3">
      <c r="J7024" s="1"/>
    </row>
    <row r="7025" spans="10:10" x14ac:dyDescent="0.3">
      <c r="J7025" s="1"/>
    </row>
    <row r="7026" spans="10:10" x14ac:dyDescent="0.3">
      <c r="J7026" s="1"/>
    </row>
    <row r="7027" spans="10:10" x14ac:dyDescent="0.3">
      <c r="J7027" s="1"/>
    </row>
    <row r="7028" spans="10:10" x14ac:dyDescent="0.3">
      <c r="J7028" s="1"/>
    </row>
    <row r="7029" spans="10:10" x14ac:dyDescent="0.3">
      <c r="J7029" s="1"/>
    </row>
    <row r="7030" spans="10:10" x14ac:dyDescent="0.3">
      <c r="J7030" s="1"/>
    </row>
    <row r="7031" spans="10:10" x14ac:dyDescent="0.3">
      <c r="J7031" s="1"/>
    </row>
    <row r="7032" spans="10:10" x14ac:dyDescent="0.3">
      <c r="J7032" s="1"/>
    </row>
    <row r="7033" spans="10:10" x14ac:dyDescent="0.3">
      <c r="J7033" s="1"/>
    </row>
    <row r="7034" spans="10:10" x14ac:dyDescent="0.3">
      <c r="J7034" s="1"/>
    </row>
    <row r="7035" spans="10:10" x14ac:dyDescent="0.3">
      <c r="J7035" s="1"/>
    </row>
    <row r="7036" spans="10:10" x14ac:dyDescent="0.3">
      <c r="J7036" s="1"/>
    </row>
    <row r="7037" spans="10:10" x14ac:dyDescent="0.3">
      <c r="J7037" s="1"/>
    </row>
    <row r="7038" spans="10:10" x14ac:dyDescent="0.3">
      <c r="J7038" s="1"/>
    </row>
    <row r="7039" spans="10:10" x14ac:dyDescent="0.3">
      <c r="J7039" s="1"/>
    </row>
    <row r="7040" spans="10:10" x14ac:dyDescent="0.3">
      <c r="J7040" s="1"/>
    </row>
    <row r="7041" spans="10:10" x14ac:dyDescent="0.3">
      <c r="J7041" s="1"/>
    </row>
    <row r="7042" spans="10:10" x14ac:dyDescent="0.3">
      <c r="J7042" s="1"/>
    </row>
    <row r="7043" spans="10:10" x14ac:dyDescent="0.3">
      <c r="J7043" s="1"/>
    </row>
    <row r="7044" spans="10:10" x14ac:dyDescent="0.3">
      <c r="J7044" s="1"/>
    </row>
    <row r="7045" spans="10:10" x14ac:dyDescent="0.3">
      <c r="J7045" s="1"/>
    </row>
    <row r="7046" spans="10:10" x14ac:dyDescent="0.3">
      <c r="J7046" s="1"/>
    </row>
    <row r="7047" spans="10:10" x14ac:dyDescent="0.3">
      <c r="J7047" s="1"/>
    </row>
    <row r="7048" spans="10:10" x14ac:dyDescent="0.3">
      <c r="J7048" s="1"/>
    </row>
    <row r="7049" spans="10:10" x14ac:dyDescent="0.3">
      <c r="J7049" s="1"/>
    </row>
    <row r="7050" spans="10:10" x14ac:dyDescent="0.3">
      <c r="J7050" s="1"/>
    </row>
    <row r="7051" spans="10:10" x14ac:dyDescent="0.3">
      <c r="J7051" s="1"/>
    </row>
    <row r="7052" spans="10:10" x14ac:dyDescent="0.3">
      <c r="J7052" s="1"/>
    </row>
    <row r="7053" spans="10:10" x14ac:dyDescent="0.3">
      <c r="J7053" s="1"/>
    </row>
    <row r="7054" spans="10:10" x14ac:dyDescent="0.3">
      <c r="J7054" s="1"/>
    </row>
    <row r="7055" spans="10:10" x14ac:dyDescent="0.3">
      <c r="J7055" s="1"/>
    </row>
    <row r="7056" spans="10:10" x14ac:dyDescent="0.3">
      <c r="J7056" s="1"/>
    </row>
    <row r="7057" spans="10:10" x14ac:dyDescent="0.3">
      <c r="J7057" s="1"/>
    </row>
    <row r="7058" spans="10:10" x14ac:dyDescent="0.3">
      <c r="J7058" s="1"/>
    </row>
    <row r="7059" spans="10:10" x14ac:dyDescent="0.3">
      <c r="J7059" s="1"/>
    </row>
    <row r="7060" spans="10:10" x14ac:dyDescent="0.3">
      <c r="J7060" s="1"/>
    </row>
    <row r="7061" spans="10:10" x14ac:dyDescent="0.3">
      <c r="J7061" s="1"/>
    </row>
    <row r="7062" spans="10:10" x14ac:dyDescent="0.3">
      <c r="J7062" s="1"/>
    </row>
    <row r="7063" spans="10:10" x14ac:dyDescent="0.3">
      <c r="J7063" s="1"/>
    </row>
    <row r="7064" spans="10:10" x14ac:dyDescent="0.3">
      <c r="J7064" s="1"/>
    </row>
    <row r="7065" spans="10:10" x14ac:dyDescent="0.3">
      <c r="J7065" s="1"/>
    </row>
    <row r="7066" spans="10:10" x14ac:dyDescent="0.3">
      <c r="J7066" s="1"/>
    </row>
    <row r="7067" spans="10:10" x14ac:dyDescent="0.3">
      <c r="J7067" s="1"/>
    </row>
    <row r="7068" spans="10:10" x14ac:dyDescent="0.3">
      <c r="J7068" s="1"/>
    </row>
    <row r="7069" spans="10:10" x14ac:dyDescent="0.3">
      <c r="J7069" s="1"/>
    </row>
    <row r="7070" spans="10:10" x14ac:dyDescent="0.3">
      <c r="J7070" s="1"/>
    </row>
    <row r="7071" spans="10:10" x14ac:dyDescent="0.3">
      <c r="J7071" s="1"/>
    </row>
    <row r="7072" spans="10:10" x14ac:dyDescent="0.3">
      <c r="J7072" s="1"/>
    </row>
    <row r="7073" spans="10:10" x14ac:dyDescent="0.3">
      <c r="J7073" s="1"/>
    </row>
    <row r="7074" spans="10:10" x14ac:dyDescent="0.3">
      <c r="J7074" s="1"/>
    </row>
    <row r="7075" spans="10:10" x14ac:dyDescent="0.3">
      <c r="J7075" s="1"/>
    </row>
    <row r="7076" spans="10:10" x14ac:dyDescent="0.3">
      <c r="J7076" s="1"/>
    </row>
    <row r="7077" spans="10:10" x14ac:dyDescent="0.3">
      <c r="J7077" s="1"/>
    </row>
    <row r="7078" spans="10:10" x14ac:dyDescent="0.3">
      <c r="J7078" s="1"/>
    </row>
    <row r="7079" spans="10:10" x14ac:dyDescent="0.3">
      <c r="J7079" s="1"/>
    </row>
    <row r="7080" spans="10:10" x14ac:dyDescent="0.3">
      <c r="J7080" s="1"/>
    </row>
    <row r="7081" spans="10:10" x14ac:dyDescent="0.3">
      <c r="J7081" s="1"/>
    </row>
    <row r="7082" spans="10:10" x14ac:dyDescent="0.3">
      <c r="J7082" s="1"/>
    </row>
    <row r="7083" spans="10:10" x14ac:dyDescent="0.3">
      <c r="J7083" s="1"/>
    </row>
    <row r="7084" spans="10:10" x14ac:dyDescent="0.3">
      <c r="J7084" s="1"/>
    </row>
    <row r="7085" spans="10:10" x14ac:dyDescent="0.3">
      <c r="J7085" s="1"/>
    </row>
    <row r="7086" spans="10:10" x14ac:dyDescent="0.3">
      <c r="J7086" s="1"/>
    </row>
    <row r="7087" spans="10:10" x14ac:dyDescent="0.3">
      <c r="J7087" s="1"/>
    </row>
    <row r="7088" spans="10:10" x14ac:dyDescent="0.3">
      <c r="J7088" s="1"/>
    </row>
    <row r="7089" spans="10:10" x14ac:dyDescent="0.3">
      <c r="J7089" s="1"/>
    </row>
    <row r="7090" spans="10:10" x14ac:dyDescent="0.3">
      <c r="J7090" s="1"/>
    </row>
    <row r="7091" spans="10:10" x14ac:dyDescent="0.3">
      <c r="J7091" s="1"/>
    </row>
    <row r="7092" spans="10:10" x14ac:dyDescent="0.3">
      <c r="J7092" s="1"/>
    </row>
    <row r="7093" spans="10:10" x14ac:dyDescent="0.3">
      <c r="J7093" s="1"/>
    </row>
    <row r="7094" spans="10:10" x14ac:dyDescent="0.3">
      <c r="J7094" s="1"/>
    </row>
    <row r="7095" spans="10:10" x14ac:dyDescent="0.3">
      <c r="J7095" s="1"/>
    </row>
    <row r="7096" spans="10:10" x14ac:dyDescent="0.3">
      <c r="J7096" s="1"/>
    </row>
    <row r="7097" spans="10:10" x14ac:dyDescent="0.3">
      <c r="J7097" s="1"/>
    </row>
    <row r="7098" spans="10:10" x14ac:dyDescent="0.3">
      <c r="J7098" s="1"/>
    </row>
    <row r="7099" spans="10:10" x14ac:dyDescent="0.3">
      <c r="J7099" s="1"/>
    </row>
    <row r="7100" spans="10:10" x14ac:dyDescent="0.3">
      <c r="J7100" s="1"/>
    </row>
    <row r="7101" spans="10:10" x14ac:dyDescent="0.3">
      <c r="J7101" s="1"/>
    </row>
    <row r="7102" spans="10:10" x14ac:dyDescent="0.3">
      <c r="J7102" s="1"/>
    </row>
    <row r="7103" spans="10:10" x14ac:dyDescent="0.3">
      <c r="J7103" s="1"/>
    </row>
    <row r="7104" spans="10:10" x14ac:dyDescent="0.3">
      <c r="J7104" s="1"/>
    </row>
    <row r="7105" spans="10:10" x14ac:dyDescent="0.3">
      <c r="J7105" s="1"/>
    </row>
    <row r="7106" spans="10:10" x14ac:dyDescent="0.3">
      <c r="J7106" s="1"/>
    </row>
    <row r="7107" spans="10:10" x14ac:dyDescent="0.3">
      <c r="J7107" s="1"/>
    </row>
    <row r="7108" spans="10:10" x14ac:dyDescent="0.3">
      <c r="J7108" s="1"/>
    </row>
    <row r="7109" spans="10:10" x14ac:dyDescent="0.3">
      <c r="J7109" s="1"/>
    </row>
    <row r="7110" spans="10:10" x14ac:dyDescent="0.3">
      <c r="J7110" s="1"/>
    </row>
    <row r="7111" spans="10:10" x14ac:dyDescent="0.3">
      <c r="J7111" s="1"/>
    </row>
    <row r="7112" spans="10:10" x14ac:dyDescent="0.3">
      <c r="J7112" s="1"/>
    </row>
    <row r="7113" spans="10:10" x14ac:dyDescent="0.3">
      <c r="J7113" s="1"/>
    </row>
    <row r="7114" spans="10:10" x14ac:dyDescent="0.3">
      <c r="J7114" s="1"/>
    </row>
    <row r="7115" spans="10:10" x14ac:dyDescent="0.3">
      <c r="J7115" s="1"/>
    </row>
    <row r="7116" spans="10:10" x14ac:dyDescent="0.3">
      <c r="J7116" s="1"/>
    </row>
    <row r="7117" spans="10:10" x14ac:dyDescent="0.3">
      <c r="J7117" s="1"/>
    </row>
    <row r="7118" spans="10:10" x14ac:dyDescent="0.3">
      <c r="J7118" s="1"/>
    </row>
    <row r="7119" spans="10:10" x14ac:dyDescent="0.3">
      <c r="J7119" s="1"/>
    </row>
    <row r="7120" spans="10:10" x14ac:dyDescent="0.3">
      <c r="J7120" s="1"/>
    </row>
    <row r="7121" spans="10:10" x14ac:dyDescent="0.3">
      <c r="J7121" s="1"/>
    </row>
    <row r="7122" spans="10:10" x14ac:dyDescent="0.3">
      <c r="J7122" s="1"/>
    </row>
    <row r="7123" spans="10:10" x14ac:dyDescent="0.3">
      <c r="J7123" s="1"/>
    </row>
    <row r="7124" spans="10:10" x14ac:dyDescent="0.3">
      <c r="J7124" s="1"/>
    </row>
    <row r="7125" spans="10:10" x14ac:dyDescent="0.3">
      <c r="J7125" s="1"/>
    </row>
    <row r="7126" spans="10:10" x14ac:dyDescent="0.3">
      <c r="J7126" s="1"/>
    </row>
    <row r="7127" spans="10:10" x14ac:dyDescent="0.3">
      <c r="J7127" s="1"/>
    </row>
    <row r="7128" spans="10:10" x14ac:dyDescent="0.3">
      <c r="J7128" s="1"/>
    </row>
    <row r="7129" spans="10:10" x14ac:dyDescent="0.3">
      <c r="J7129" s="1"/>
    </row>
    <row r="7130" spans="10:10" x14ac:dyDescent="0.3">
      <c r="J7130" s="1"/>
    </row>
    <row r="7131" spans="10:10" x14ac:dyDescent="0.3">
      <c r="J7131" s="1"/>
    </row>
    <row r="7132" spans="10:10" x14ac:dyDescent="0.3">
      <c r="J7132" s="1"/>
    </row>
    <row r="7133" spans="10:10" x14ac:dyDescent="0.3">
      <c r="J7133" s="1"/>
    </row>
    <row r="7134" spans="10:10" x14ac:dyDescent="0.3">
      <c r="J7134" s="1"/>
    </row>
    <row r="7135" spans="10:10" x14ac:dyDescent="0.3">
      <c r="J7135" s="1"/>
    </row>
    <row r="7136" spans="10:10" x14ac:dyDescent="0.3">
      <c r="J7136" s="1"/>
    </row>
    <row r="7137" spans="10:10" x14ac:dyDescent="0.3">
      <c r="J7137" s="1"/>
    </row>
    <row r="7138" spans="10:10" x14ac:dyDescent="0.3">
      <c r="J7138" s="1"/>
    </row>
    <row r="7139" spans="10:10" x14ac:dyDescent="0.3">
      <c r="J7139" s="1"/>
    </row>
    <row r="7140" spans="10:10" x14ac:dyDescent="0.3">
      <c r="J7140" s="1"/>
    </row>
    <row r="7141" spans="10:10" x14ac:dyDescent="0.3">
      <c r="J7141" s="1"/>
    </row>
    <row r="7142" spans="10:10" x14ac:dyDescent="0.3">
      <c r="J7142" s="1"/>
    </row>
    <row r="7143" spans="10:10" x14ac:dyDescent="0.3">
      <c r="J7143" s="1"/>
    </row>
    <row r="7144" spans="10:10" x14ac:dyDescent="0.3">
      <c r="J7144" s="1"/>
    </row>
    <row r="7145" spans="10:10" x14ac:dyDescent="0.3">
      <c r="J7145" s="1"/>
    </row>
    <row r="7146" spans="10:10" x14ac:dyDescent="0.3">
      <c r="J7146" s="1"/>
    </row>
    <row r="7147" spans="10:10" x14ac:dyDescent="0.3">
      <c r="J7147" s="1"/>
    </row>
    <row r="7148" spans="10:10" x14ac:dyDescent="0.3">
      <c r="J7148" s="1"/>
    </row>
    <row r="7149" spans="10:10" x14ac:dyDescent="0.3">
      <c r="J7149" s="1"/>
    </row>
    <row r="7150" spans="10:10" x14ac:dyDescent="0.3">
      <c r="J7150" s="1"/>
    </row>
    <row r="7151" spans="10:10" x14ac:dyDescent="0.3">
      <c r="J7151" s="1"/>
    </row>
    <row r="7152" spans="10:10" x14ac:dyDescent="0.3">
      <c r="J7152" s="1"/>
    </row>
    <row r="7153" spans="10:10" x14ac:dyDescent="0.3">
      <c r="J7153" s="1"/>
    </row>
    <row r="7154" spans="10:10" x14ac:dyDescent="0.3">
      <c r="J7154" s="1"/>
    </row>
    <row r="7155" spans="10:10" x14ac:dyDescent="0.3">
      <c r="J7155" s="1"/>
    </row>
    <row r="7156" spans="10:10" x14ac:dyDescent="0.3">
      <c r="J7156" s="1"/>
    </row>
    <row r="7157" spans="10:10" x14ac:dyDescent="0.3">
      <c r="J7157" s="1"/>
    </row>
    <row r="7158" spans="10:10" x14ac:dyDescent="0.3">
      <c r="J7158" s="1"/>
    </row>
    <row r="7159" spans="10:10" x14ac:dyDescent="0.3">
      <c r="J7159" s="1"/>
    </row>
    <row r="7160" spans="10:10" x14ac:dyDescent="0.3">
      <c r="J7160" s="1"/>
    </row>
    <row r="7161" spans="10:10" x14ac:dyDescent="0.3">
      <c r="J7161" s="1"/>
    </row>
    <row r="7162" spans="10:10" x14ac:dyDescent="0.3">
      <c r="J7162" s="1"/>
    </row>
    <row r="7163" spans="10:10" x14ac:dyDescent="0.3">
      <c r="J7163" s="1"/>
    </row>
    <row r="7164" spans="10:10" x14ac:dyDescent="0.3">
      <c r="J7164" s="1"/>
    </row>
    <row r="7165" spans="10:10" x14ac:dyDescent="0.3">
      <c r="J7165" s="1"/>
    </row>
    <row r="7166" spans="10:10" x14ac:dyDescent="0.3">
      <c r="J7166" s="1"/>
    </row>
    <row r="7167" spans="10:10" x14ac:dyDescent="0.3">
      <c r="J7167" s="1"/>
    </row>
    <row r="7168" spans="10:10" x14ac:dyDescent="0.3">
      <c r="J7168" s="1"/>
    </row>
    <row r="7169" spans="10:10" x14ac:dyDescent="0.3">
      <c r="J7169" s="1"/>
    </row>
    <row r="7170" spans="10:10" x14ac:dyDescent="0.3">
      <c r="J7170" s="1"/>
    </row>
    <row r="7171" spans="10:10" x14ac:dyDescent="0.3">
      <c r="J7171" s="1"/>
    </row>
    <row r="7172" spans="10:10" x14ac:dyDescent="0.3">
      <c r="J7172" s="1"/>
    </row>
    <row r="7173" spans="10:10" x14ac:dyDescent="0.3">
      <c r="J7173" s="1"/>
    </row>
    <row r="7174" spans="10:10" x14ac:dyDescent="0.3">
      <c r="J7174" s="1"/>
    </row>
    <row r="7175" spans="10:10" x14ac:dyDescent="0.3">
      <c r="J7175" s="1"/>
    </row>
    <row r="7176" spans="10:10" x14ac:dyDescent="0.3">
      <c r="J7176" s="1"/>
    </row>
    <row r="7177" spans="10:10" x14ac:dyDescent="0.3">
      <c r="J7177" s="1"/>
    </row>
    <row r="7178" spans="10:10" x14ac:dyDescent="0.3">
      <c r="J7178" s="1"/>
    </row>
    <row r="7179" spans="10:10" x14ac:dyDescent="0.3">
      <c r="J7179" s="1"/>
    </row>
    <row r="7180" spans="10:10" x14ac:dyDescent="0.3">
      <c r="J7180" s="1"/>
    </row>
    <row r="7181" spans="10:10" x14ac:dyDescent="0.3">
      <c r="J7181" s="1"/>
    </row>
    <row r="7182" spans="10:10" x14ac:dyDescent="0.3">
      <c r="J7182" s="1"/>
    </row>
    <row r="7183" spans="10:10" x14ac:dyDescent="0.3">
      <c r="J7183" s="1"/>
    </row>
    <row r="7184" spans="10:10" x14ac:dyDescent="0.3">
      <c r="J7184" s="1"/>
    </row>
    <row r="7185" spans="10:10" x14ac:dyDescent="0.3">
      <c r="J7185" s="1"/>
    </row>
    <row r="7186" spans="10:10" x14ac:dyDescent="0.3">
      <c r="J7186" s="1"/>
    </row>
    <row r="7187" spans="10:10" x14ac:dyDescent="0.3">
      <c r="J7187" s="1"/>
    </row>
    <row r="7188" spans="10:10" x14ac:dyDescent="0.3">
      <c r="J7188" s="1"/>
    </row>
    <row r="7189" spans="10:10" x14ac:dyDescent="0.3">
      <c r="J7189" s="1"/>
    </row>
    <row r="7190" spans="10:10" x14ac:dyDescent="0.3">
      <c r="J7190" s="1"/>
    </row>
    <row r="7191" spans="10:10" x14ac:dyDescent="0.3">
      <c r="J7191" s="1"/>
    </row>
    <row r="7192" spans="10:10" x14ac:dyDescent="0.3">
      <c r="J7192" s="1"/>
    </row>
    <row r="7193" spans="10:10" x14ac:dyDescent="0.3">
      <c r="J7193" s="1"/>
    </row>
    <row r="7194" spans="10:10" x14ac:dyDescent="0.3">
      <c r="J7194" s="1"/>
    </row>
    <row r="7195" spans="10:10" x14ac:dyDescent="0.3">
      <c r="J7195" s="1"/>
    </row>
    <row r="7196" spans="10:10" x14ac:dyDescent="0.3">
      <c r="J7196" s="1"/>
    </row>
    <row r="7197" spans="10:10" x14ac:dyDescent="0.3">
      <c r="J7197" s="1"/>
    </row>
    <row r="7198" spans="10:10" x14ac:dyDescent="0.3">
      <c r="J7198" s="1"/>
    </row>
    <row r="7199" spans="10:10" x14ac:dyDescent="0.3">
      <c r="J7199" s="1"/>
    </row>
    <row r="7200" spans="10:10" x14ac:dyDescent="0.3">
      <c r="J7200" s="1"/>
    </row>
    <row r="7201" spans="10:10" x14ac:dyDescent="0.3">
      <c r="J7201" s="1"/>
    </row>
    <row r="7202" spans="10:10" x14ac:dyDescent="0.3">
      <c r="J7202" s="1"/>
    </row>
    <row r="7203" spans="10:10" x14ac:dyDescent="0.3">
      <c r="J7203" s="1"/>
    </row>
    <row r="7204" spans="10:10" x14ac:dyDescent="0.3">
      <c r="J7204" s="1"/>
    </row>
    <row r="7205" spans="10:10" x14ac:dyDescent="0.3">
      <c r="J7205" s="1"/>
    </row>
    <row r="7206" spans="10:10" x14ac:dyDescent="0.3">
      <c r="J7206" s="1"/>
    </row>
    <row r="7207" spans="10:10" x14ac:dyDescent="0.3">
      <c r="J7207" s="1"/>
    </row>
    <row r="7208" spans="10:10" x14ac:dyDescent="0.3">
      <c r="J7208" s="1"/>
    </row>
    <row r="7209" spans="10:10" x14ac:dyDescent="0.3">
      <c r="J7209" s="1"/>
    </row>
    <row r="7210" spans="10:10" x14ac:dyDescent="0.3">
      <c r="J7210" s="1"/>
    </row>
    <row r="7211" spans="10:10" x14ac:dyDescent="0.3">
      <c r="J7211" s="1"/>
    </row>
    <row r="7212" spans="10:10" x14ac:dyDescent="0.3">
      <c r="J7212" s="1"/>
    </row>
    <row r="7213" spans="10:10" x14ac:dyDescent="0.3">
      <c r="J7213" s="1"/>
    </row>
    <row r="7214" spans="10:10" x14ac:dyDescent="0.3">
      <c r="J7214" s="1"/>
    </row>
    <row r="7215" spans="10:10" x14ac:dyDescent="0.3">
      <c r="J7215" s="1"/>
    </row>
    <row r="7216" spans="10:10" x14ac:dyDescent="0.3">
      <c r="J7216" s="1"/>
    </row>
    <row r="7217" spans="10:10" x14ac:dyDescent="0.3">
      <c r="J7217" s="1"/>
    </row>
    <row r="7218" spans="10:10" x14ac:dyDescent="0.3">
      <c r="J7218" s="1"/>
    </row>
    <row r="7219" spans="10:10" x14ac:dyDescent="0.3">
      <c r="J7219" s="1"/>
    </row>
    <row r="7220" spans="10:10" x14ac:dyDescent="0.3">
      <c r="J7220" s="1"/>
    </row>
    <row r="7221" spans="10:10" x14ac:dyDescent="0.3">
      <c r="J7221" s="1"/>
    </row>
    <row r="7222" spans="10:10" x14ac:dyDescent="0.3">
      <c r="J7222" s="1"/>
    </row>
    <row r="7223" spans="10:10" x14ac:dyDescent="0.3">
      <c r="J7223" s="1"/>
    </row>
    <row r="7224" spans="10:10" x14ac:dyDescent="0.3">
      <c r="J7224" s="1"/>
    </row>
    <row r="7225" spans="10:10" x14ac:dyDescent="0.3">
      <c r="J7225" s="1"/>
    </row>
    <row r="7226" spans="10:10" x14ac:dyDescent="0.3">
      <c r="J7226" s="1"/>
    </row>
    <row r="7227" spans="10:10" x14ac:dyDescent="0.3">
      <c r="J7227" s="1"/>
    </row>
    <row r="7228" spans="10:10" x14ac:dyDescent="0.3">
      <c r="J7228" s="1"/>
    </row>
    <row r="7229" spans="10:10" x14ac:dyDescent="0.3">
      <c r="J7229" s="1"/>
    </row>
    <row r="7230" spans="10:10" x14ac:dyDescent="0.3">
      <c r="J7230" s="1"/>
    </row>
    <row r="7231" spans="10:10" x14ac:dyDescent="0.3">
      <c r="J7231" s="1"/>
    </row>
    <row r="7232" spans="10:10" x14ac:dyDescent="0.3">
      <c r="J7232" s="1"/>
    </row>
    <row r="7233" spans="10:10" x14ac:dyDescent="0.3">
      <c r="J7233" s="1"/>
    </row>
    <row r="7234" spans="10:10" x14ac:dyDescent="0.3">
      <c r="J7234" s="1"/>
    </row>
    <row r="7235" spans="10:10" x14ac:dyDescent="0.3">
      <c r="J7235" s="1"/>
    </row>
    <row r="7236" spans="10:10" x14ac:dyDescent="0.3">
      <c r="J7236" s="1"/>
    </row>
    <row r="7237" spans="10:10" x14ac:dyDescent="0.3">
      <c r="J7237" s="1"/>
    </row>
    <row r="7238" spans="10:10" x14ac:dyDescent="0.3">
      <c r="J7238" s="1"/>
    </row>
    <row r="7239" spans="10:10" x14ac:dyDescent="0.3">
      <c r="J7239" s="1"/>
    </row>
    <row r="7240" spans="10:10" x14ac:dyDescent="0.3">
      <c r="J7240" s="1"/>
    </row>
    <row r="7241" spans="10:10" x14ac:dyDescent="0.3">
      <c r="J7241" s="1"/>
    </row>
    <row r="7242" spans="10:10" x14ac:dyDescent="0.3">
      <c r="J7242" s="1"/>
    </row>
    <row r="7243" spans="10:10" x14ac:dyDescent="0.3">
      <c r="J7243" s="1"/>
    </row>
    <row r="7244" spans="10:10" x14ac:dyDescent="0.3">
      <c r="J7244" s="1"/>
    </row>
    <row r="7245" spans="10:10" x14ac:dyDescent="0.3">
      <c r="J7245" s="1"/>
    </row>
    <row r="7246" spans="10:10" x14ac:dyDescent="0.3">
      <c r="J7246" s="1"/>
    </row>
    <row r="7247" spans="10:10" x14ac:dyDescent="0.3">
      <c r="J7247" s="1"/>
    </row>
    <row r="7248" spans="10:10" x14ac:dyDescent="0.3">
      <c r="J7248" s="1"/>
    </row>
    <row r="7249" spans="10:10" x14ac:dyDescent="0.3">
      <c r="J7249" s="1"/>
    </row>
    <row r="7250" spans="10:10" x14ac:dyDescent="0.3">
      <c r="J7250" s="1"/>
    </row>
    <row r="7251" spans="10:10" x14ac:dyDescent="0.3">
      <c r="J7251" s="1"/>
    </row>
    <row r="7252" spans="10:10" x14ac:dyDescent="0.3">
      <c r="J7252" s="1"/>
    </row>
    <row r="7253" spans="10:10" x14ac:dyDescent="0.3">
      <c r="J7253" s="1"/>
    </row>
    <row r="7254" spans="10:10" x14ac:dyDescent="0.3">
      <c r="J7254" s="1"/>
    </row>
    <row r="7255" spans="10:10" x14ac:dyDescent="0.3">
      <c r="J7255" s="1"/>
    </row>
    <row r="7256" spans="10:10" x14ac:dyDescent="0.3">
      <c r="J7256" s="1"/>
    </row>
    <row r="7257" spans="10:10" x14ac:dyDescent="0.3">
      <c r="J7257" s="1"/>
    </row>
    <row r="7258" spans="10:10" x14ac:dyDescent="0.3">
      <c r="J7258" s="1"/>
    </row>
    <row r="7259" spans="10:10" x14ac:dyDescent="0.3">
      <c r="J7259" s="1"/>
    </row>
    <row r="7260" spans="10:10" x14ac:dyDescent="0.3">
      <c r="J7260" s="1"/>
    </row>
    <row r="7261" spans="10:10" x14ac:dyDescent="0.3">
      <c r="J7261" s="1"/>
    </row>
    <row r="7262" spans="10:10" x14ac:dyDescent="0.3">
      <c r="J7262" s="1"/>
    </row>
    <row r="7263" spans="10:10" x14ac:dyDescent="0.3">
      <c r="J7263" s="1"/>
    </row>
    <row r="7264" spans="10:10" x14ac:dyDescent="0.3">
      <c r="J7264" s="1"/>
    </row>
    <row r="7265" spans="10:10" x14ac:dyDescent="0.3">
      <c r="J7265" s="1"/>
    </row>
    <row r="7266" spans="10:10" x14ac:dyDescent="0.3">
      <c r="J7266" s="1"/>
    </row>
    <row r="7267" spans="10:10" x14ac:dyDescent="0.3">
      <c r="J7267" s="1"/>
    </row>
    <row r="7268" spans="10:10" x14ac:dyDescent="0.3">
      <c r="J7268" s="1"/>
    </row>
    <row r="7269" spans="10:10" x14ac:dyDescent="0.3">
      <c r="J7269" s="1"/>
    </row>
    <row r="7270" spans="10:10" x14ac:dyDescent="0.3">
      <c r="J7270" s="1"/>
    </row>
    <row r="7271" spans="10:10" x14ac:dyDescent="0.3">
      <c r="J7271" s="1"/>
    </row>
    <row r="7272" spans="10:10" x14ac:dyDescent="0.3">
      <c r="J7272" s="1"/>
    </row>
    <row r="7273" spans="10:10" x14ac:dyDescent="0.3">
      <c r="J7273" s="1"/>
    </row>
    <row r="7274" spans="10:10" x14ac:dyDescent="0.3">
      <c r="J7274" s="1"/>
    </row>
    <row r="7275" spans="10:10" x14ac:dyDescent="0.3">
      <c r="J7275" s="1"/>
    </row>
    <row r="7276" spans="10:10" x14ac:dyDescent="0.3">
      <c r="J7276" s="1"/>
    </row>
    <row r="7277" spans="10:10" x14ac:dyDescent="0.3">
      <c r="J7277" s="1"/>
    </row>
    <row r="7278" spans="10:10" x14ac:dyDescent="0.3">
      <c r="J7278" s="1"/>
    </row>
    <row r="7279" spans="10:10" x14ac:dyDescent="0.3">
      <c r="J7279" s="1"/>
    </row>
    <row r="7280" spans="10:10" x14ac:dyDescent="0.3">
      <c r="J7280" s="1"/>
    </row>
    <row r="7281" spans="10:10" x14ac:dyDescent="0.3">
      <c r="J7281" s="1"/>
    </row>
    <row r="7282" spans="10:10" x14ac:dyDescent="0.3">
      <c r="J7282" s="1"/>
    </row>
    <row r="7283" spans="10:10" x14ac:dyDescent="0.3">
      <c r="J7283" s="1"/>
    </row>
    <row r="7284" spans="10:10" x14ac:dyDescent="0.3">
      <c r="J7284" s="1"/>
    </row>
    <row r="7285" spans="10:10" x14ac:dyDescent="0.3">
      <c r="J7285" s="1"/>
    </row>
    <row r="7286" spans="10:10" x14ac:dyDescent="0.3">
      <c r="J7286" s="1"/>
    </row>
    <row r="7287" spans="10:10" x14ac:dyDescent="0.3">
      <c r="J7287" s="1"/>
    </row>
    <row r="7288" spans="10:10" x14ac:dyDescent="0.3">
      <c r="J7288" s="1"/>
    </row>
    <row r="7289" spans="10:10" x14ac:dyDescent="0.3">
      <c r="J7289" s="1"/>
    </row>
    <row r="7290" spans="10:10" x14ac:dyDescent="0.3">
      <c r="J7290" s="1"/>
    </row>
    <row r="7291" spans="10:10" x14ac:dyDescent="0.3">
      <c r="J7291" s="1"/>
    </row>
    <row r="7292" spans="10:10" x14ac:dyDescent="0.3">
      <c r="J7292" s="1"/>
    </row>
    <row r="7293" spans="10:10" x14ac:dyDescent="0.3">
      <c r="J7293" s="1"/>
    </row>
    <row r="7294" spans="10:10" x14ac:dyDescent="0.3">
      <c r="J7294" s="1"/>
    </row>
    <row r="7295" spans="10:10" x14ac:dyDescent="0.3">
      <c r="J7295" s="1"/>
    </row>
    <row r="7296" spans="10:10" x14ac:dyDescent="0.3">
      <c r="J7296" s="1"/>
    </row>
    <row r="7297" spans="10:10" x14ac:dyDescent="0.3">
      <c r="J7297" s="1"/>
    </row>
    <row r="7298" spans="10:10" x14ac:dyDescent="0.3">
      <c r="J7298" s="1"/>
    </row>
    <row r="7299" spans="10:10" x14ac:dyDescent="0.3">
      <c r="J7299" s="1"/>
    </row>
    <row r="7300" spans="10:10" x14ac:dyDescent="0.3">
      <c r="J7300" s="1"/>
    </row>
    <row r="7301" spans="10:10" x14ac:dyDescent="0.3">
      <c r="J7301" s="1"/>
    </row>
    <row r="7302" spans="10:10" x14ac:dyDescent="0.3">
      <c r="J7302" s="1"/>
    </row>
    <row r="7303" spans="10:10" x14ac:dyDescent="0.3">
      <c r="J7303" s="1"/>
    </row>
    <row r="7304" spans="10:10" x14ac:dyDescent="0.3">
      <c r="J7304" s="1"/>
    </row>
    <row r="7305" spans="10:10" x14ac:dyDescent="0.3">
      <c r="J7305" s="1"/>
    </row>
    <row r="7306" spans="10:10" x14ac:dyDescent="0.3">
      <c r="J7306" s="1"/>
    </row>
    <row r="7307" spans="10:10" x14ac:dyDescent="0.3">
      <c r="J7307" s="1"/>
    </row>
    <row r="7308" spans="10:10" x14ac:dyDescent="0.3">
      <c r="J7308" s="1"/>
    </row>
    <row r="7309" spans="10:10" x14ac:dyDescent="0.3">
      <c r="J7309" s="1"/>
    </row>
    <row r="7310" spans="10:10" x14ac:dyDescent="0.3">
      <c r="J7310" s="1"/>
    </row>
    <row r="7311" spans="10:10" x14ac:dyDescent="0.3">
      <c r="J7311" s="1"/>
    </row>
    <row r="7312" spans="10:10" x14ac:dyDescent="0.3">
      <c r="J7312" s="1"/>
    </row>
    <row r="7313" spans="10:10" x14ac:dyDescent="0.3">
      <c r="J7313" s="1"/>
    </row>
    <row r="7314" spans="10:10" x14ac:dyDescent="0.3">
      <c r="J7314" s="1"/>
    </row>
    <row r="7315" spans="10:10" x14ac:dyDescent="0.3">
      <c r="J7315" s="1"/>
    </row>
    <row r="7316" spans="10:10" x14ac:dyDescent="0.3">
      <c r="J7316" s="1"/>
    </row>
    <row r="7317" spans="10:10" x14ac:dyDescent="0.3">
      <c r="J7317" s="1"/>
    </row>
    <row r="7318" spans="10:10" x14ac:dyDescent="0.3">
      <c r="J7318" s="1"/>
    </row>
    <row r="7319" spans="10:10" x14ac:dyDescent="0.3">
      <c r="J7319" s="1"/>
    </row>
    <row r="7320" spans="10:10" x14ac:dyDescent="0.3">
      <c r="J7320" s="1"/>
    </row>
    <row r="7321" spans="10:10" x14ac:dyDescent="0.3">
      <c r="J7321" s="1"/>
    </row>
    <row r="7322" spans="10:10" x14ac:dyDescent="0.3">
      <c r="J7322" s="1"/>
    </row>
    <row r="7323" spans="10:10" x14ac:dyDescent="0.3">
      <c r="J7323" s="1"/>
    </row>
    <row r="7324" spans="10:10" x14ac:dyDescent="0.3">
      <c r="J7324" s="1"/>
    </row>
    <row r="7325" spans="10:10" x14ac:dyDescent="0.3">
      <c r="J7325" s="1"/>
    </row>
    <row r="7326" spans="10:10" x14ac:dyDescent="0.3">
      <c r="J7326" s="1"/>
    </row>
    <row r="7327" spans="10:10" x14ac:dyDescent="0.3">
      <c r="J7327" s="1"/>
    </row>
    <row r="7328" spans="10:10" x14ac:dyDescent="0.3">
      <c r="J7328" s="1"/>
    </row>
    <row r="7329" spans="10:10" x14ac:dyDescent="0.3">
      <c r="J7329" s="1"/>
    </row>
    <row r="7330" spans="10:10" x14ac:dyDescent="0.3">
      <c r="J7330" s="1"/>
    </row>
    <row r="7331" spans="10:10" x14ac:dyDescent="0.3">
      <c r="J7331" s="1"/>
    </row>
    <row r="7332" spans="10:10" x14ac:dyDescent="0.3">
      <c r="J7332" s="1"/>
    </row>
    <row r="7333" spans="10:10" x14ac:dyDescent="0.3">
      <c r="J7333" s="1"/>
    </row>
    <row r="7334" spans="10:10" x14ac:dyDescent="0.3">
      <c r="J7334" s="1"/>
    </row>
    <row r="7335" spans="10:10" x14ac:dyDescent="0.3">
      <c r="J7335" s="1"/>
    </row>
    <row r="7336" spans="10:10" x14ac:dyDescent="0.3">
      <c r="J7336" s="1"/>
    </row>
    <row r="7337" spans="10:10" x14ac:dyDescent="0.3">
      <c r="J7337" s="1"/>
    </row>
    <row r="7338" spans="10:10" x14ac:dyDescent="0.3">
      <c r="J7338" s="1"/>
    </row>
    <row r="7339" spans="10:10" x14ac:dyDescent="0.3">
      <c r="J7339" s="1"/>
    </row>
    <row r="7340" spans="10:10" x14ac:dyDescent="0.3">
      <c r="J7340" s="1"/>
    </row>
    <row r="7341" spans="10:10" x14ac:dyDescent="0.3">
      <c r="J7341" s="1"/>
    </row>
    <row r="7342" spans="10:10" x14ac:dyDescent="0.3">
      <c r="J7342" s="1"/>
    </row>
    <row r="7343" spans="10:10" x14ac:dyDescent="0.3">
      <c r="J7343" s="1"/>
    </row>
    <row r="7344" spans="10:10" x14ac:dyDescent="0.3">
      <c r="J7344" s="1"/>
    </row>
    <row r="7345" spans="10:10" x14ac:dyDescent="0.3">
      <c r="J7345" s="1"/>
    </row>
    <row r="7346" spans="10:10" x14ac:dyDescent="0.3">
      <c r="J7346" s="1"/>
    </row>
    <row r="7347" spans="10:10" x14ac:dyDescent="0.3">
      <c r="J7347" s="1"/>
    </row>
    <row r="7348" spans="10:10" x14ac:dyDescent="0.3">
      <c r="J7348" s="1"/>
    </row>
    <row r="7349" spans="10:10" x14ac:dyDescent="0.3">
      <c r="J7349" s="1"/>
    </row>
    <row r="7350" spans="10:10" x14ac:dyDescent="0.3">
      <c r="J7350" s="1"/>
    </row>
    <row r="7351" spans="10:10" x14ac:dyDescent="0.3">
      <c r="J7351" s="1"/>
    </row>
    <row r="7352" spans="10:10" x14ac:dyDescent="0.3">
      <c r="J7352" s="1"/>
    </row>
    <row r="7353" spans="10:10" x14ac:dyDescent="0.3">
      <c r="J7353" s="1"/>
    </row>
    <row r="7354" spans="10:10" x14ac:dyDescent="0.3">
      <c r="J7354" s="1"/>
    </row>
    <row r="7355" spans="10:10" x14ac:dyDescent="0.3">
      <c r="J7355" s="1"/>
    </row>
    <row r="7356" spans="10:10" x14ac:dyDescent="0.3">
      <c r="J7356" s="1"/>
    </row>
    <row r="7357" spans="10:10" x14ac:dyDescent="0.3">
      <c r="J7357" s="1"/>
    </row>
    <row r="7358" spans="10:10" x14ac:dyDescent="0.3">
      <c r="J7358" s="1"/>
    </row>
    <row r="7359" spans="10:10" x14ac:dyDescent="0.3">
      <c r="J7359" s="1"/>
    </row>
    <row r="7360" spans="10:10" x14ac:dyDescent="0.3">
      <c r="J7360" s="1"/>
    </row>
    <row r="7361" spans="10:10" x14ac:dyDescent="0.3">
      <c r="J7361" s="1"/>
    </row>
    <row r="7362" spans="10:10" x14ac:dyDescent="0.3">
      <c r="J7362" s="1"/>
    </row>
    <row r="7363" spans="10:10" x14ac:dyDescent="0.3">
      <c r="J7363" s="1"/>
    </row>
    <row r="7364" spans="10:10" x14ac:dyDescent="0.3">
      <c r="J7364" s="1"/>
    </row>
    <row r="7365" spans="10:10" x14ac:dyDescent="0.3">
      <c r="J7365" s="1"/>
    </row>
    <row r="7366" spans="10:10" x14ac:dyDescent="0.3">
      <c r="J7366" s="1"/>
    </row>
    <row r="7367" spans="10:10" x14ac:dyDescent="0.3">
      <c r="J7367" s="1"/>
    </row>
    <row r="7368" spans="10:10" x14ac:dyDescent="0.3">
      <c r="J7368" s="1"/>
    </row>
    <row r="7369" spans="10:10" x14ac:dyDescent="0.3">
      <c r="J7369" s="1"/>
    </row>
    <row r="7370" spans="10:10" x14ac:dyDescent="0.3">
      <c r="J7370" s="1"/>
    </row>
    <row r="7371" spans="10:10" x14ac:dyDescent="0.3">
      <c r="J7371" s="1"/>
    </row>
    <row r="7372" spans="10:10" x14ac:dyDescent="0.3">
      <c r="J7372" s="1"/>
    </row>
    <row r="7373" spans="10:10" x14ac:dyDescent="0.3">
      <c r="J7373" s="1"/>
    </row>
    <row r="7374" spans="10:10" x14ac:dyDescent="0.3">
      <c r="J7374" s="1"/>
    </row>
    <row r="7375" spans="10:10" x14ac:dyDescent="0.3">
      <c r="J7375" s="1"/>
    </row>
    <row r="7376" spans="10:10" x14ac:dyDescent="0.3">
      <c r="J7376" s="1"/>
    </row>
    <row r="7377" spans="10:10" x14ac:dyDescent="0.3">
      <c r="J7377" s="1"/>
    </row>
    <row r="7378" spans="10:10" x14ac:dyDescent="0.3">
      <c r="J7378" s="1"/>
    </row>
    <row r="7379" spans="10:10" x14ac:dyDescent="0.3">
      <c r="J7379" s="1"/>
    </row>
    <row r="7380" spans="10:10" x14ac:dyDescent="0.3">
      <c r="J7380" s="1"/>
    </row>
    <row r="7381" spans="10:10" x14ac:dyDescent="0.3">
      <c r="J7381" s="1"/>
    </row>
    <row r="7382" spans="10:10" x14ac:dyDescent="0.3">
      <c r="J7382" s="1"/>
    </row>
    <row r="7383" spans="10:10" x14ac:dyDescent="0.3">
      <c r="J7383" s="1"/>
    </row>
    <row r="7384" spans="10:10" x14ac:dyDescent="0.3">
      <c r="J7384" s="1"/>
    </row>
    <row r="7385" spans="10:10" x14ac:dyDescent="0.3">
      <c r="J7385" s="1"/>
    </row>
    <row r="7386" spans="10:10" x14ac:dyDescent="0.3">
      <c r="J7386" s="1"/>
    </row>
    <row r="7387" spans="10:10" x14ac:dyDescent="0.3">
      <c r="J7387" s="1"/>
    </row>
    <row r="7388" spans="10:10" x14ac:dyDescent="0.3">
      <c r="J7388" s="1"/>
    </row>
    <row r="7389" spans="10:10" x14ac:dyDescent="0.3">
      <c r="J7389" s="1"/>
    </row>
    <row r="7390" spans="10:10" x14ac:dyDescent="0.3">
      <c r="J7390" s="1"/>
    </row>
    <row r="7391" spans="10:10" x14ac:dyDescent="0.3">
      <c r="J7391" s="1"/>
    </row>
    <row r="7392" spans="10:10" x14ac:dyDescent="0.3">
      <c r="J7392" s="1"/>
    </row>
    <row r="7393" spans="10:10" x14ac:dyDescent="0.3">
      <c r="J7393" s="1"/>
    </row>
    <row r="7394" spans="10:10" x14ac:dyDescent="0.3">
      <c r="J7394" s="1"/>
    </row>
    <row r="7395" spans="10:10" x14ac:dyDescent="0.3">
      <c r="J7395" s="1"/>
    </row>
    <row r="7396" spans="10:10" x14ac:dyDescent="0.3">
      <c r="J7396" s="1"/>
    </row>
    <row r="7397" spans="10:10" x14ac:dyDescent="0.3">
      <c r="J7397" s="1"/>
    </row>
    <row r="7398" spans="10:10" x14ac:dyDescent="0.3">
      <c r="J7398" s="1"/>
    </row>
    <row r="7399" spans="10:10" x14ac:dyDescent="0.3">
      <c r="J7399" s="1"/>
    </row>
    <row r="7400" spans="10:10" x14ac:dyDescent="0.3">
      <c r="J7400" s="1"/>
    </row>
    <row r="7401" spans="10:10" x14ac:dyDescent="0.3">
      <c r="J7401" s="1"/>
    </row>
    <row r="7402" spans="10:10" x14ac:dyDescent="0.3">
      <c r="J7402" s="1"/>
    </row>
    <row r="7403" spans="10:10" x14ac:dyDescent="0.3">
      <c r="J7403" s="1"/>
    </row>
    <row r="7404" spans="10:10" x14ac:dyDescent="0.3">
      <c r="J7404" s="1"/>
    </row>
    <row r="7405" spans="10:10" x14ac:dyDescent="0.3">
      <c r="J7405" s="1"/>
    </row>
    <row r="7406" spans="10:10" x14ac:dyDescent="0.3">
      <c r="J7406" s="1"/>
    </row>
    <row r="7407" spans="10:10" x14ac:dyDescent="0.3">
      <c r="J7407" s="1"/>
    </row>
    <row r="7408" spans="10:10" x14ac:dyDescent="0.3">
      <c r="J7408" s="1"/>
    </row>
    <row r="7409" spans="10:10" x14ac:dyDescent="0.3">
      <c r="J7409" s="1"/>
    </row>
    <row r="7410" spans="10:10" x14ac:dyDescent="0.3">
      <c r="J7410" s="1"/>
    </row>
    <row r="7411" spans="10:10" x14ac:dyDescent="0.3">
      <c r="J7411" s="1"/>
    </row>
    <row r="7412" spans="10:10" x14ac:dyDescent="0.3">
      <c r="J7412" s="1"/>
    </row>
    <row r="7413" spans="10:10" x14ac:dyDescent="0.3">
      <c r="J7413" s="1"/>
    </row>
    <row r="7414" spans="10:10" x14ac:dyDescent="0.3">
      <c r="J7414" s="1"/>
    </row>
    <row r="7415" spans="10:10" x14ac:dyDescent="0.3">
      <c r="J7415" s="1"/>
    </row>
    <row r="7416" spans="10:10" x14ac:dyDescent="0.3">
      <c r="J7416" s="1"/>
    </row>
    <row r="7417" spans="10:10" x14ac:dyDescent="0.3">
      <c r="J7417" s="1"/>
    </row>
    <row r="7418" spans="10:10" x14ac:dyDescent="0.3">
      <c r="J7418" s="1"/>
    </row>
    <row r="7419" spans="10:10" x14ac:dyDescent="0.3">
      <c r="J7419" s="1"/>
    </row>
    <row r="7420" spans="10:10" x14ac:dyDescent="0.3">
      <c r="J7420" s="1"/>
    </row>
    <row r="7421" spans="10:10" x14ac:dyDescent="0.3">
      <c r="J7421" s="1"/>
    </row>
    <row r="7422" spans="10:10" x14ac:dyDescent="0.3">
      <c r="J7422" s="1"/>
    </row>
    <row r="7423" spans="10:10" x14ac:dyDescent="0.3">
      <c r="J7423" s="1"/>
    </row>
    <row r="7424" spans="10:10" x14ac:dyDescent="0.3">
      <c r="J7424" s="1"/>
    </row>
    <row r="7425" spans="10:10" x14ac:dyDescent="0.3">
      <c r="J7425" s="1"/>
    </row>
    <row r="7426" spans="10:10" x14ac:dyDescent="0.3">
      <c r="J7426" s="1"/>
    </row>
    <row r="7427" spans="10:10" x14ac:dyDescent="0.3">
      <c r="J7427" s="1"/>
    </row>
    <row r="7428" spans="10:10" x14ac:dyDescent="0.3">
      <c r="J7428" s="1"/>
    </row>
    <row r="7429" spans="10:10" x14ac:dyDescent="0.3">
      <c r="J7429" s="1"/>
    </row>
    <row r="7430" spans="10:10" x14ac:dyDescent="0.3">
      <c r="J7430" s="1"/>
    </row>
    <row r="7431" spans="10:10" x14ac:dyDescent="0.3">
      <c r="J7431" s="1"/>
    </row>
    <row r="7432" spans="10:10" x14ac:dyDescent="0.3">
      <c r="J7432" s="1"/>
    </row>
    <row r="7433" spans="10:10" x14ac:dyDescent="0.3">
      <c r="J7433" s="1"/>
    </row>
    <row r="7434" spans="10:10" x14ac:dyDescent="0.3">
      <c r="J7434" s="1"/>
    </row>
    <row r="7435" spans="10:10" x14ac:dyDescent="0.3">
      <c r="J7435" s="1"/>
    </row>
    <row r="7436" spans="10:10" x14ac:dyDescent="0.3">
      <c r="J7436" s="1"/>
    </row>
    <row r="7437" spans="10:10" x14ac:dyDescent="0.3">
      <c r="J7437" s="1"/>
    </row>
    <row r="7438" spans="10:10" x14ac:dyDescent="0.3">
      <c r="J7438" s="1"/>
    </row>
    <row r="7439" spans="10:10" x14ac:dyDescent="0.3">
      <c r="J7439" s="1"/>
    </row>
    <row r="7440" spans="10:10" x14ac:dyDescent="0.3">
      <c r="J7440" s="1"/>
    </row>
    <row r="7441" spans="10:10" x14ac:dyDescent="0.3">
      <c r="J7441" s="1"/>
    </row>
    <row r="7442" spans="10:10" x14ac:dyDescent="0.3">
      <c r="J7442" s="1"/>
    </row>
    <row r="7443" spans="10:10" x14ac:dyDescent="0.3">
      <c r="J7443" s="1"/>
    </row>
    <row r="7444" spans="10:10" x14ac:dyDescent="0.3">
      <c r="J7444" s="1"/>
    </row>
    <row r="7445" spans="10:10" x14ac:dyDescent="0.3">
      <c r="J7445" s="1"/>
    </row>
    <row r="7446" spans="10:10" x14ac:dyDescent="0.3">
      <c r="J7446" s="1"/>
    </row>
    <row r="7447" spans="10:10" x14ac:dyDescent="0.3">
      <c r="J7447" s="1"/>
    </row>
    <row r="7448" spans="10:10" x14ac:dyDescent="0.3">
      <c r="J7448" s="1"/>
    </row>
    <row r="7449" spans="10:10" x14ac:dyDescent="0.3">
      <c r="J7449" s="1"/>
    </row>
    <row r="7450" spans="10:10" x14ac:dyDescent="0.3">
      <c r="J7450" s="1"/>
    </row>
    <row r="7451" spans="10:10" x14ac:dyDescent="0.3">
      <c r="J7451" s="1"/>
    </row>
    <row r="7452" spans="10:10" x14ac:dyDescent="0.3">
      <c r="J7452" s="1"/>
    </row>
    <row r="7453" spans="10:10" x14ac:dyDescent="0.3">
      <c r="J7453" s="1"/>
    </row>
    <row r="7454" spans="10:10" x14ac:dyDescent="0.3">
      <c r="J7454" s="1"/>
    </row>
    <row r="7455" spans="10:10" x14ac:dyDescent="0.3">
      <c r="J7455" s="1"/>
    </row>
    <row r="7456" spans="10:10" x14ac:dyDescent="0.3">
      <c r="J7456" s="1"/>
    </row>
    <row r="7457" spans="10:10" x14ac:dyDescent="0.3">
      <c r="J7457" s="1"/>
    </row>
    <row r="7458" spans="10:10" x14ac:dyDescent="0.3">
      <c r="J7458" s="1"/>
    </row>
    <row r="7459" spans="10:10" x14ac:dyDescent="0.3">
      <c r="J7459" s="1"/>
    </row>
    <row r="7460" spans="10:10" x14ac:dyDescent="0.3">
      <c r="J7460" s="1"/>
    </row>
    <row r="7461" spans="10:10" x14ac:dyDescent="0.3">
      <c r="J7461" s="1"/>
    </row>
    <row r="7462" spans="10:10" x14ac:dyDescent="0.3">
      <c r="J7462" s="1"/>
    </row>
    <row r="7463" spans="10:10" x14ac:dyDescent="0.3">
      <c r="J7463" s="1"/>
    </row>
    <row r="7464" spans="10:10" x14ac:dyDescent="0.3">
      <c r="J7464" s="1"/>
    </row>
    <row r="7465" spans="10:10" x14ac:dyDescent="0.3">
      <c r="J7465" s="1"/>
    </row>
    <row r="7466" spans="10:10" x14ac:dyDescent="0.3">
      <c r="J7466" s="1"/>
    </row>
    <row r="7467" spans="10:10" x14ac:dyDescent="0.3">
      <c r="J7467" s="1"/>
    </row>
    <row r="7468" spans="10:10" x14ac:dyDescent="0.3">
      <c r="J7468" s="1"/>
    </row>
    <row r="7469" spans="10:10" x14ac:dyDescent="0.3">
      <c r="J7469" s="1"/>
    </row>
    <row r="7470" spans="10:10" x14ac:dyDescent="0.3">
      <c r="J7470" s="1"/>
    </row>
    <row r="7471" spans="10:10" x14ac:dyDescent="0.3">
      <c r="J7471" s="1"/>
    </row>
    <row r="7472" spans="10:10" x14ac:dyDescent="0.3">
      <c r="J7472" s="1"/>
    </row>
    <row r="7473" spans="10:10" x14ac:dyDescent="0.3">
      <c r="J7473" s="1"/>
    </row>
    <row r="7474" spans="10:10" x14ac:dyDescent="0.3">
      <c r="J7474" s="1"/>
    </row>
    <row r="7475" spans="10:10" x14ac:dyDescent="0.3">
      <c r="J7475" s="1"/>
    </row>
    <row r="7476" spans="10:10" x14ac:dyDescent="0.3">
      <c r="J7476" s="1"/>
    </row>
    <row r="7477" spans="10:10" x14ac:dyDescent="0.3">
      <c r="J7477" s="1"/>
    </row>
    <row r="7478" spans="10:10" x14ac:dyDescent="0.3">
      <c r="J7478" s="1"/>
    </row>
    <row r="7479" spans="10:10" x14ac:dyDescent="0.3">
      <c r="J7479" s="1"/>
    </row>
    <row r="7480" spans="10:10" x14ac:dyDescent="0.3">
      <c r="J7480" s="1"/>
    </row>
    <row r="7481" spans="10:10" x14ac:dyDescent="0.3">
      <c r="J7481" s="1"/>
    </row>
    <row r="7482" spans="10:10" x14ac:dyDescent="0.3">
      <c r="J7482" s="1"/>
    </row>
    <row r="7483" spans="10:10" x14ac:dyDescent="0.3">
      <c r="J7483" s="1"/>
    </row>
    <row r="7484" spans="10:10" x14ac:dyDescent="0.3">
      <c r="J7484" s="1"/>
    </row>
    <row r="7485" spans="10:10" x14ac:dyDescent="0.3">
      <c r="J7485" s="1"/>
    </row>
    <row r="7486" spans="10:10" x14ac:dyDescent="0.3">
      <c r="J7486" s="1"/>
    </row>
    <row r="7487" spans="10:10" x14ac:dyDescent="0.3">
      <c r="J7487" s="1"/>
    </row>
    <row r="7488" spans="10:10" x14ac:dyDescent="0.3">
      <c r="J7488" s="1"/>
    </row>
    <row r="7489" spans="10:10" x14ac:dyDescent="0.3">
      <c r="J7489" s="1"/>
    </row>
    <row r="7490" spans="10:10" x14ac:dyDescent="0.3">
      <c r="J7490" s="1"/>
    </row>
    <row r="7491" spans="10:10" x14ac:dyDescent="0.3">
      <c r="J7491" s="1"/>
    </row>
    <row r="7492" spans="10:10" x14ac:dyDescent="0.3">
      <c r="J7492" s="1"/>
    </row>
    <row r="7493" spans="10:10" x14ac:dyDescent="0.3">
      <c r="J7493" s="1"/>
    </row>
    <row r="7494" spans="10:10" x14ac:dyDescent="0.3">
      <c r="J7494" s="1"/>
    </row>
    <row r="7495" spans="10:10" x14ac:dyDescent="0.3">
      <c r="J7495" s="1"/>
    </row>
    <row r="7496" spans="10:10" x14ac:dyDescent="0.3">
      <c r="J7496" s="1"/>
    </row>
    <row r="7497" spans="10:10" x14ac:dyDescent="0.3">
      <c r="J7497" s="1"/>
    </row>
    <row r="7498" spans="10:10" x14ac:dyDescent="0.3">
      <c r="J7498" s="1"/>
    </row>
    <row r="7499" spans="10:10" x14ac:dyDescent="0.3">
      <c r="J7499" s="1"/>
    </row>
    <row r="7500" spans="10:10" x14ac:dyDescent="0.3">
      <c r="J7500" s="1"/>
    </row>
    <row r="7501" spans="10:10" x14ac:dyDescent="0.3">
      <c r="J7501" s="1"/>
    </row>
    <row r="7502" spans="10:10" x14ac:dyDescent="0.3">
      <c r="J7502" s="1"/>
    </row>
    <row r="7503" spans="10:10" x14ac:dyDescent="0.3">
      <c r="J7503" s="1"/>
    </row>
    <row r="7504" spans="10:10" x14ac:dyDescent="0.3">
      <c r="J7504" s="1"/>
    </row>
    <row r="7505" spans="10:10" x14ac:dyDescent="0.3">
      <c r="J7505" s="1"/>
    </row>
    <row r="7506" spans="10:10" x14ac:dyDescent="0.3">
      <c r="J7506" s="1"/>
    </row>
    <row r="7507" spans="10:10" x14ac:dyDescent="0.3">
      <c r="J7507" s="1"/>
    </row>
    <row r="7508" spans="10:10" x14ac:dyDescent="0.3">
      <c r="J7508" s="1"/>
    </row>
    <row r="7509" spans="10:10" x14ac:dyDescent="0.3">
      <c r="J7509" s="1"/>
    </row>
    <row r="7510" spans="10:10" x14ac:dyDescent="0.3">
      <c r="J7510" s="1"/>
    </row>
    <row r="7511" spans="10:10" x14ac:dyDescent="0.3">
      <c r="J7511" s="1"/>
    </row>
    <row r="7512" spans="10:10" x14ac:dyDescent="0.3">
      <c r="J7512" s="1"/>
    </row>
    <row r="7513" spans="10:10" x14ac:dyDescent="0.3">
      <c r="J7513" s="1"/>
    </row>
    <row r="7514" spans="10:10" x14ac:dyDescent="0.3">
      <c r="J7514" s="1"/>
    </row>
    <row r="7515" spans="10:10" x14ac:dyDescent="0.3">
      <c r="J7515" s="1"/>
    </row>
    <row r="7516" spans="10:10" x14ac:dyDescent="0.3">
      <c r="J7516" s="1"/>
    </row>
    <row r="7517" spans="10:10" x14ac:dyDescent="0.3">
      <c r="J7517" s="1"/>
    </row>
    <row r="7518" spans="10:10" x14ac:dyDescent="0.3">
      <c r="J7518" s="1"/>
    </row>
    <row r="7519" spans="10:10" x14ac:dyDescent="0.3">
      <c r="J7519" s="1"/>
    </row>
    <row r="7520" spans="10:10" x14ac:dyDescent="0.3">
      <c r="J7520" s="1"/>
    </row>
    <row r="7521" spans="10:10" x14ac:dyDescent="0.3">
      <c r="J7521" s="1"/>
    </row>
    <row r="7522" spans="10:10" x14ac:dyDescent="0.3">
      <c r="J7522" s="1"/>
    </row>
    <row r="7523" spans="10:10" x14ac:dyDescent="0.3">
      <c r="J7523" s="1"/>
    </row>
    <row r="7524" spans="10:10" x14ac:dyDescent="0.3">
      <c r="J7524" s="1"/>
    </row>
    <row r="7525" spans="10:10" x14ac:dyDescent="0.3">
      <c r="J7525" s="1"/>
    </row>
    <row r="7526" spans="10:10" x14ac:dyDescent="0.3">
      <c r="J7526" s="1"/>
    </row>
    <row r="7527" spans="10:10" x14ac:dyDescent="0.3">
      <c r="J7527" s="1"/>
    </row>
    <row r="7528" spans="10:10" x14ac:dyDescent="0.3">
      <c r="J7528" s="1"/>
    </row>
    <row r="7529" spans="10:10" x14ac:dyDescent="0.3">
      <c r="J7529" s="1"/>
    </row>
    <row r="7530" spans="10:10" x14ac:dyDescent="0.3">
      <c r="J7530" s="1"/>
    </row>
    <row r="7531" spans="10:10" x14ac:dyDescent="0.3">
      <c r="J7531" s="1"/>
    </row>
    <row r="7532" spans="10:10" x14ac:dyDescent="0.3">
      <c r="J7532" s="1"/>
    </row>
    <row r="7533" spans="10:10" x14ac:dyDescent="0.3">
      <c r="J7533" s="1"/>
    </row>
    <row r="7534" spans="10:10" x14ac:dyDescent="0.3">
      <c r="J7534" s="1"/>
    </row>
    <row r="7535" spans="10:10" x14ac:dyDescent="0.3">
      <c r="J7535" s="1"/>
    </row>
    <row r="7536" spans="10:10" x14ac:dyDescent="0.3">
      <c r="J7536" s="1"/>
    </row>
    <row r="7537" spans="10:10" x14ac:dyDescent="0.3">
      <c r="J7537" s="1"/>
    </row>
    <row r="7538" spans="10:10" x14ac:dyDescent="0.3">
      <c r="J7538" s="1"/>
    </row>
    <row r="7539" spans="10:10" x14ac:dyDescent="0.3">
      <c r="J7539" s="1"/>
    </row>
    <row r="7540" spans="10:10" x14ac:dyDescent="0.3">
      <c r="J7540" s="1"/>
    </row>
    <row r="7541" spans="10:10" x14ac:dyDescent="0.3">
      <c r="J7541" s="1"/>
    </row>
    <row r="7542" spans="10:10" x14ac:dyDescent="0.3">
      <c r="J7542" s="1"/>
    </row>
    <row r="7543" spans="10:10" x14ac:dyDescent="0.3">
      <c r="J7543" s="1"/>
    </row>
    <row r="7544" spans="10:10" x14ac:dyDescent="0.3">
      <c r="J7544" s="1"/>
    </row>
    <row r="7545" spans="10:10" x14ac:dyDescent="0.3">
      <c r="J7545" s="1"/>
    </row>
    <row r="7546" spans="10:10" x14ac:dyDescent="0.3">
      <c r="J7546" s="1"/>
    </row>
    <row r="7547" spans="10:10" x14ac:dyDescent="0.3">
      <c r="J7547" s="1"/>
    </row>
    <row r="7548" spans="10:10" x14ac:dyDescent="0.3">
      <c r="J7548" s="1"/>
    </row>
    <row r="7549" spans="10:10" x14ac:dyDescent="0.3">
      <c r="J7549" s="1"/>
    </row>
    <row r="7550" spans="10:10" x14ac:dyDescent="0.3">
      <c r="J7550" s="1"/>
    </row>
    <row r="7551" spans="10:10" x14ac:dyDescent="0.3">
      <c r="J7551" s="1"/>
    </row>
    <row r="7552" spans="10:10" x14ac:dyDescent="0.3">
      <c r="J7552" s="1"/>
    </row>
    <row r="7553" spans="10:10" x14ac:dyDescent="0.3">
      <c r="J7553" s="1"/>
    </row>
    <row r="7554" spans="10:10" x14ac:dyDescent="0.3">
      <c r="J7554" s="1"/>
    </row>
    <row r="7555" spans="10:10" x14ac:dyDescent="0.3">
      <c r="J7555" s="1"/>
    </row>
    <row r="7556" spans="10:10" x14ac:dyDescent="0.3">
      <c r="J7556" s="1"/>
    </row>
    <row r="7557" spans="10:10" x14ac:dyDescent="0.3">
      <c r="J7557" s="1"/>
    </row>
    <row r="7558" spans="10:10" x14ac:dyDescent="0.3">
      <c r="J7558" s="1"/>
    </row>
    <row r="7559" spans="10:10" x14ac:dyDescent="0.3">
      <c r="J7559" s="1"/>
    </row>
    <row r="7560" spans="10:10" x14ac:dyDescent="0.3">
      <c r="J7560" s="1"/>
    </row>
    <row r="7561" spans="10:10" x14ac:dyDescent="0.3">
      <c r="J7561" s="1"/>
    </row>
    <row r="7562" spans="10:10" x14ac:dyDescent="0.3">
      <c r="J7562" s="1"/>
    </row>
    <row r="7563" spans="10:10" x14ac:dyDescent="0.3">
      <c r="J7563" s="1"/>
    </row>
    <row r="7564" spans="10:10" x14ac:dyDescent="0.3">
      <c r="J7564" s="1"/>
    </row>
    <row r="7565" spans="10:10" x14ac:dyDescent="0.3">
      <c r="J7565" s="1"/>
    </row>
    <row r="7566" spans="10:10" x14ac:dyDescent="0.3">
      <c r="J7566" s="1"/>
    </row>
    <row r="7567" spans="10:10" x14ac:dyDescent="0.3">
      <c r="J7567" s="1"/>
    </row>
    <row r="7568" spans="10:10" x14ac:dyDescent="0.3">
      <c r="J7568" s="1"/>
    </row>
    <row r="7569" spans="10:10" x14ac:dyDescent="0.3">
      <c r="J7569" s="1"/>
    </row>
    <row r="7570" spans="10:10" x14ac:dyDescent="0.3">
      <c r="J7570" s="1"/>
    </row>
    <row r="7571" spans="10:10" x14ac:dyDescent="0.3">
      <c r="J7571" s="1"/>
    </row>
    <row r="7572" spans="10:10" x14ac:dyDescent="0.3">
      <c r="J7572" s="1"/>
    </row>
    <row r="7573" spans="10:10" x14ac:dyDescent="0.3">
      <c r="J7573" s="1"/>
    </row>
    <row r="7574" spans="10:10" x14ac:dyDescent="0.3">
      <c r="J7574" s="1"/>
    </row>
    <row r="7575" spans="10:10" x14ac:dyDescent="0.3">
      <c r="J7575" s="1"/>
    </row>
    <row r="7576" spans="10:10" x14ac:dyDescent="0.3">
      <c r="J7576" s="1"/>
    </row>
    <row r="7577" spans="10:10" x14ac:dyDescent="0.3">
      <c r="J7577" s="1"/>
    </row>
    <row r="7578" spans="10:10" x14ac:dyDescent="0.3">
      <c r="J7578" s="1"/>
    </row>
    <row r="7579" spans="10:10" x14ac:dyDescent="0.3">
      <c r="J7579" s="1"/>
    </row>
    <row r="7580" spans="10:10" x14ac:dyDescent="0.3">
      <c r="J7580" s="1"/>
    </row>
    <row r="7581" spans="10:10" x14ac:dyDescent="0.3">
      <c r="J7581" s="1"/>
    </row>
    <row r="7582" spans="10:10" x14ac:dyDescent="0.3">
      <c r="J7582" s="1"/>
    </row>
    <row r="7583" spans="10:10" x14ac:dyDescent="0.3">
      <c r="J7583" s="1"/>
    </row>
    <row r="7584" spans="10:10" x14ac:dyDescent="0.3">
      <c r="J7584" s="1"/>
    </row>
    <row r="7585" spans="10:10" x14ac:dyDescent="0.3">
      <c r="J7585" s="1"/>
    </row>
    <row r="7586" spans="10:10" x14ac:dyDescent="0.3">
      <c r="J7586" s="1"/>
    </row>
    <row r="7587" spans="10:10" x14ac:dyDescent="0.3">
      <c r="J7587" s="1"/>
    </row>
    <row r="7588" spans="10:10" x14ac:dyDescent="0.3">
      <c r="J7588" s="1"/>
    </row>
    <row r="7589" spans="10:10" x14ac:dyDescent="0.3">
      <c r="J7589" s="1"/>
    </row>
    <row r="7590" spans="10:10" x14ac:dyDescent="0.3">
      <c r="J7590" s="1"/>
    </row>
    <row r="7591" spans="10:10" x14ac:dyDescent="0.3">
      <c r="J7591" s="1"/>
    </row>
    <row r="7592" spans="10:10" x14ac:dyDescent="0.3">
      <c r="J7592" s="1"/>
    </row>
    <row r="7593" spans="10:10" x14ac:dyDescent="0.3">
      <c r="J7593" s="1"/>
    </row>
    <row r="7594" spans="10:10" x14ac:dyDescent="0.3">
      <c r="J7594" s="1"/>
    </row>
    <row r="7595" spans="10:10" x14ac:dyDescent="0.3">
      <c r="J7595" s="1"/>
    </row>
    <row r="7596" spans="10:10" x14ac:dyDescent="0.3">
      <c r="J7596" s="1"/>
    </row>
    <row r="7597" spans="10:10" x14ac:dyDescent="0.3">
      <c r="J7597" s="1"/>
    </row>
    <row r="7598" spans="10:10" x14ac:dyDescent="0.3">
      <c r="J7598" s="1"/>
    </row>
    <row r="7599" spans="10:10" x14ac:dyDescent="0.3">
      <c r="J7599" s="1"/>
    </row>
    <row r="7600" spans="10:10" x14ac:dyDescent="0.3">
      <c r="J7600" s="1"/>
    </row>
    <row r="7601" spans="10:10" x14ac:dyDescent="0.3">
      <c r="J7601" s="1"/>
    </row>
    <row r="7602" spans="10:10" x14ac:dyDescent="0.3">
      <c r="J7602" s="1"/>
    </row>
    <row r="7603" spans="10:10" x14ac:dyDescent="0.3">
      <c r="J7603" s="1"/>
    </row>
    <row r="7604" spans="10:10" x14ac:dyDescent="0.3">
      <c r="J7604" s="1"/>
    </row>
    <row r="7605" spans="10:10" x14ac:dyDescent="0.3">
      <c r="J7605" s="1"/>
    </row>
    <row r="7606" spans="10:10" x14ac:dyDescent="0.3">
      <c r="J7606" s="1"/>
    </row>
    <row r="7607" spans="10:10" x14ac:dyDescent="0.3">
      <c r="J7607" s="1"/>
    </row>
    <row r="7608" spans="10:10" x14ac:dyDescent="0.3">
      <c r="J7608" s="1"/>
    </row>
    <row r="7609" spans="10:10" x14ac:dyDescent="0.3">
      <c r="J7609" s="1"/>
    </row>
    <row r="7610" spans="10:10" x14ac:dyDescent="0.3">
      <c r="J7610" s="1"/>
    </row>
    <row r="7611" spans="10:10" x14ac:dyDescent="0.3">
      <c r="J7611" s="1"/>
    </row>
    <row r="7612" spans="10:10" x14ac:dyDescent="0.3">
      <c r="J7612" s="1"/>
    </row>
    <row r="7613" spans="10:10" x14ac:dyDescent="0.3">
      <c r="J7613" s="1"/>
    </row>
    <row r="7614" spans="10:10" x14ac:dyDescent="0.3">
      <c r="J7614" s="1"/>
    </row>
    <row r="7615" spans="10:10" x14ac:dyDescent="0.3">
      <c r="J7615" s="1"/>
    </row>
    <row r="7616" spans="10:10" x14ac:dyDescent="0.3">
      <c r="J7616" s="1"/>
    </row>
    <row r="7617" spans="10:10" x14ac:dyDescent="0.3">
      <c r="J7617" s="1"/>
    </row>
    <row r="7618" spans="10:10" x14ac:dyDescent="0.3">
      <c r="J7618" s="1"/>
    </row>
    <row r="7619" spans="10:10" x14ac:dyDescent="0.3">
      <c r="J7619" s="1"/>
    </row>
    <row r="7620" spans="10:10" x14ac:dyDescent="0.3">
      <c r="J7620" s="1"/>
    </row>
    <row r="7621" spans="10:10" x14ac:dyDescent="0.3">
      <c r="J7621" s="1"/>
    </row>
    <row r="7622" spans="10:10" x14ac:dyDescent="0.3">
      <c r="J7622" s="1"/>
    </row>
    <row r="7623" spans="10:10" x14ac:dyDescent="0.3">
      <c r="J7623" s="1"/>
    </row>
    <row r="7624" spans="10:10" x14ac:dyDescent="0.3">
      <c r="J7624" s="1"/>
    </row>
    <row r="7625" spans="10:10" x14ac:dyDescent="0.3">
      <c r="J7625" s="1"/>
    </row>
    <row r="7626" spans="10:10" x14ac:dyDescent="0.3">
      <c r="J7626" s="1"/>
    </row>
    <row r="7627" spans="10:10" x14ac:dyDescent="0.3">
      <c r="J7627" s="1"/>
    </row>
    <row r="7628" spans="10:10" x14ac:dyDescent="0.3">
      <c r="J7628" s="1"/>
    </row>
    <row r="7629" spans="10:10" x14ac:dyDescent="0.3">
      <c r="J7629" s="1"/>
    </row>
    <row r="7630" spans="10:10" x14ac:dyDescent="0.3">
      <c r="J7630" s="1"/>
    </row>
    <row r="7631" spans="10:10" x14ac:dyDescent="0.3">
      <c r="J7631" s="1"/>
    </row>
    <row r="7632" spans="10:10" x14ac:dyDescent="0.3">
      <c r="J7632" s="1"/>
    </row>
    <row r="7633" spans="10:10" x14ac:dyDescent="0.3">
      <c r="J7633" s="1"/>
    </row>
    <row r="7634" spans="10:10" x14ac:dyDescent="0.3">
      <c r="J7634" s="1"/>
    </row>
    <row r="7635" spans="10:10" x14ac:dyDescent="0.3">
      <c r="J7635" s="1"/>
    </row>
    <row r="7636" spans="10:10" x14ac:dyDescent="0.3">
      <c r="J7636" s="1"/>
    </row>
    <row r="7637" spans="10:10" x14ac:dyDescent="0.3">
      <c r="J7637" s="1"/>
    </row>
    <row r="7638" spans="10:10" x14ac:dyDescent="0.3">
      <c r="J7638" s="1"/>
    </row>
    <row r="7639" spans="10:10" x14ac:dyDescent="0.3">
      <c r="J7639" s="1"/>
    </row>
    <row r="7640" spans="10:10" x14ac:dyDescent="0.3">
      <c r="J7640" s="1"/>
    </row>
    <row r="7641" spans="10:10" x14ac:dyDescent="0.3">
      <c r="J7641" s="1"/>
    </row>
    <row r="7642" spans="10:10" x14ac:dyDescent="0.3">
      <c r="J7642" s="1"/>
    </row>
    <row r="7643" spans="10:10" x14ac:dyDescent="0.3">
      <c r="J7643" s="1"/>
    </row>
    <row r="7644" spans="10:10" x14ac:dyDescent="0.3">
      <c r="J7644" s="1"/>
    </row>
    <row r="7645" spans="10:10" x14ac:dyDescent="0.3">
      <c r="J7645" s="1"/>
    </row>
    <row r="7646" spans="10:10" x14ac:dyDescent="0.3">
      <c r="J7646" s="1"/>
    </row>
    <row r="7647" spans="10:10" x14ac:dyDescent="0.3">
      <c r="J7647" s="1"/>
    </row>
    <row r="7648" spans="10:10" x14ac:dyDescent="0.3">
      <c r="J7648" s="1"/>
    </row>
    <row r="7649" spans="10:10" x14ac:dyDescent="0.3">
      <c r="J7649" s="1"/>
    </row>
    <row r="7650" spans="10:10" x14ac:dyDescent="0.3">
      <c r="J7650" s="1"/>
    </row>
    <row r="7651" spans="10:10" x14ac:dyDescent="0.3">
      <c r="J7651" s="1"/>
    </row>
    <row r="7652" spans="10:10" x14ac:dyDescent="0.3">
      <c r="J7652" s="1"/>
    </row>
    <row r="7653" spans="10:10" x14ac:dyDescent="0.3">
      <c r="J7653" s="1"/>
    </row>
    <row r="7654" spans="10:10" x14ac:dyDescent="0.3">
      <c r="J7654" s="1"/>
    </row>
    <row r="7655" spans="10:10" x14ac:dyDescent="0.3">
      <c r="J7655" s="1"/>
    </row>
    <row r="7656" spans="10:10" x14ac:dyDescent="0.3">
      <c r="J7656" s="1"/>
    </row>
    <row r="7657" spans="10:10" x14ac:dyDescent="0.3">
      <c r="J7657" s="1"/>
    </row>
    <row r="7658" spans="10:10" x14ac:dyDescent="0.3">
      <c r="J7658" s="1"/>
    </row>
    <row r="7659" spans="10:10" x14ac:dyDescent="0.3">
      <c r="J7659" s="1"/>
    </row>
    <row r="7660" spans="10:10" x14ac:dyDescent="0.3">
      <c r="J7660" s="1"/>
    </row>
    <row r="7661" spans="10:10" x14ac:dyDescent="0.3">
      <c r="J7661" s="1"/>
    </row>
    <row r="7662" spans="10:10" x14ac:dyDescent="0.3">
      <c r="J7662" s="1"/>
    </row>
    <row r="7663" spans="10:10" x14ac:dyDescent="0.3">
      <c r="J7663" s="1"/>
    </row>
    <row r="7664" spans="10:10" x14ac:dyDescent="0.3">
      <c r="J7664" s="1"/>
    </row>
    <row r="7665" spans="10:10" x14ac:dyDescent="0.3">
      <c r="J7665" s="1"/>
    </row>
    <row r="7666" spans="10:10" x14ac:dyDescent="0.3">
      <c r="J7666" s="1"/>
    </row>
    <row r="7667" spans="10:10" x14ac:dyDescent="0.3">
      <c r="J7667" s="1"/>
    </row>
    <row r="7668" spans="10:10" x14ac:dyDescent="0.3">
      <c r="J7668" s="1"/>
    </row>
    <row r="7669" spans="10:10" x14ac:dyDescent="0.3">
      <c r="J7669" s="1"/>
    </row>
    <row r="7670" spans="10:10" x14ac:dyDescent="0.3">
      <c r="J7670" s="1"/>
    </row>
    <row r="7671" spans="10:10" x14ac:dyDescent="0.3">
      <c r="J7671" s="1"/>
    </row>
    <row r="7672" spans="10:10" x14ac:dyDescent="0.3">
      <c r="J7672" s="1"/>
    </row>
    <row r="7673" spans="10:10" x14ac:dyDescent="0.3">
      <c r="J7673" s="1"/>
    </row>
    <row r="7674" spans="10:10" x14ac:dyDescent="0.3">
      <c r="J7674" s="1"/>
    </row>
    <row r="7675" spans="10:10" x14ac:dyDescent="0.3">
      <c r="J7675" s="1"/>
    </row>
    <row r="7676" spans="10:10" x14ac:dyDescent="0.3">
      <c r="J7676" s="1"/>
    </row>
    <row r="7677" spans="10:10" x14ac:dyDescent="0.3">
      <c r="J7677" s="1"/>
    </row>
    <row r="7678" spans="10:10" x14ac:dyDescent="0.3">
      <c r="J7678" s="1"/>
    </row>
    <row r="7679" spans="10:10" x14ac:dyDescent="0.3">
      <c r="J7679" s="1"/>
    </row>
    <row r="7680" spans="10:10" x14ac:dyDescent="0.3">
      <c r="J7680" s="1"/>
    </row>
    <row r="7681" spans="10:10" x14ac:dyDescent="0.3">
      <c r="J7681" s="1"/>
    </row>
    <row r="7682" spans="10:10" x14ac:dyDescent="0.3">
      <c r="J7682" s="1"/>
    </row>
    <row r="7683" spans="10:10" x14ac:dyDescent="0.3">
      <c r="J7683" s="1"/>
    </row>
    <row r="7684" spans="10:10" x14ac:dyDescent="0.3">
      <c r="J7684" s="1"/>
    </row>
    <row r="7685" spans="10:10" x14ac:dyDescent="0.3">
      <c r="J7685" s="1"/>
    </row>
    <row r="7686" spans="10:10" x14ac:dyDescent="0.3">
      <c r="J7686" s="1"/>
    </row>
    <row r="7687" spans="10:10" x14ac:dyDescent="0.3">
      <c r="J7687" s="1"/>
    </row>
    <row r="7688" spans="10:10" x14ac:dyDescent="0.3">
      <c r="J7688" s="1"/>
    </row>
    <row r="7689" spans="10:10" x14ac:dyDescent="0.3">
      <c r="J7689" s="1"/>
    </row>
    <row r="7690" spans="10:10" x14ac:dyDescent="0.3">
      <c r="J7690" s="1"/>
    </row>
    <row r="7691" spans="10:10" x14ac:dyDescent="0.3">
      <c r="J7691" s="1"/>
    </row>
    <row r="7692" spans="10:10" x14ac:dyDescent="0.3">
      <c r="J7692" s="1"/>
    </row>
    <row r="7693" spans="10:10" x14ac:dyDescent="0.3">
      <c r="J7693" s="1"/>
    </row>
    <row r="7694" spans="10:10" x14ac:dyDescent="0.3">
      <c r="J7694" s="1"/>
    </row>
    <row r="7695" spans="10:10" x14ac:dyDescent="0.3">
      <c r="J7695" s="1"/>
    </row>
    <row r="7696" spans="10:10" x14ac:dyDescent="0.3">
      <c r="J7696" s="1"/>
    </row>
    <row r="7697" spans="10:10" x14ac:dyDescent="0.3">
      <c r="J7697" s="1"/>
    </row>
    <row r="7698" spans="10:10" x14ac:dyDescent="0.3">
      <c r="J7698" s="1"/>
    </row>
    <row r="7699" spans="10:10" x14ac:dyDescent="0.3">
      <c r="J7699" s="1"/>
    </row>
    <row r="7700" spans="10:10" x14ac:dyDescent="0.3">
      <c r="J7700" s="1"/>
    </row>
    <row r="7701" spans="10:10" x14ac:dyDescent="0.3">
      <c r="J7701" s="1"/>
    </row>
    <row r="7702" spans="10:10" x14ac:dyDescent="0.3">
      <c r="J7702" s="1"/>
    </row>
    <row r="7703" spans="10:10" x14ac:dyDescent="0.3">
      <c r="J7703" s="1"/>
    </row>
    <row r="7704" spans="10:10" x14ac:dyDescent="0.3">
      <c r="J7704" s="1"/>
    </row>
    <row r="7705" spans="10:10" x14ac:dyDescent="0.3">
      <c r="J7705" s="1"/>
    </row>
    <row r="7706" spans="10:10" x14ac:dyDescent="0.3">
      <c r="J7706" s="1"/>
    </row>
    <row r="7707" spans="10:10" x14ac:dyDescent="0.3">
      <c r="J7707" s="1"/>
    </row>
    <row r="7708" spans="10:10" x14ac:dyDescent="0.3">
      <c r="J7708" s="1"/>
    </row>
    <row r="7709" spans="10:10" x14ac:dyDescent="0.3">
      <c r="J7709" s="1"/>
    </row>
    <row r="7710" spans="10:10" x14ac:dyDescent="0.3">
      <c r="J7710" s="1"/>
    </row>
    <row r="7711" spans="10:10" x14ac:dyDescent="0.3">
      <c r="J7711" s="1"/>
    </row>
    <row r="7712" spans="10:10" x14ac:dyDescent="0.3">
      <c r="J7712" s="1"/>
    </row>
    <row r="7713" spans="10:10" x14ac:dyDescent="0.3">
      <c r="J7713" s="1"/>
    </row>
    <row r="7714" spans="10:10" x14ac:dyDescent="0.3">
      <c r="J7714" s="1"/>
    </row>
    <row r="7715" spans="10:10" x14ac:dyDescent="0.3">
      <c r="J7715" s="1"/>
    </row>
    <row r="7716" spans="10:10" x14ac:dyDescent="0.3">
      <c r="J7716" s="1"/>
    </row>
    <row r="7717" spans="10:10" x14ac:dyDescent="0.3">
      <c r="J7717" s="1"/>
    </row>
    <row r="7718" spans="10:10" x14ac:dyDescent="0.3">
      <c r="J7718" s="1"/>
    </row>
    <row r="7719" spans="10:10" x14ac:dyDescent="0.3">
      <c r="J7719" s="1"/>
    </row>
    <row r="7720" spans="10:10" x14ac:dyDescent="0.3">
      <c r="J7720" s="1"/>
    </row>
    <row r="7721" spans="10:10" x14ac:dyDescent="0.3">
      <c r="J7721" s="1"/>
    </row>
    <row r="7722" spans="10:10" x14ac:dyDescent="0.3">
      <c r="J7722" s="1"/>
    </row>
    <row r="7723" spans="10:10" x14ac:dyDescent="0.3">
      <c r="J7723" s="1"/>
    </row>
    <row r="7724" spans="10:10" x14ac:dyDescent="0.3">
      <c r="J7724" s="1"/>
    </row>
    <row r="7725" spans="10:10" x14ac:dyDescent="0.3">
      <c r="J7725" s="1"/>
    </row>
    <row r="7726" spans="10:10" x14ac:dyDescent="0.3">
      <c r="J7726" s="1"/>
    </row>
    <row r="7727" spans="10:10" x14ac:dyDescent="0.3">
      <c r="J7727" s="1"/>
    </row>
    <row r="7728" spans="10:10" x14ac:dyDescent="0.3">
      <c r="J7728" s="1"/>
    </row>
    <row r="7729" spans="10:10" x14ac:dyDescent="0.3">
      <c r="J7729" s="1"/>
    </row>
    <row r="7730" spans="10:10" x14ac:dyDescent="0.3">
      <c r="J7730" s="1"/>
    </row>
    <row r="7731" spans="10:10" x14ac:dyDescent="0.3">
      <c r="J7731" s="1"/>
    </row>
    <row r="7732" spans="10:10" x14ac:dyDescent="0.3">
      <c r="J7732" s="1"/>
    </row>
    <row r="7733" spans="10:10" x14ac:dyDescent="0.3">
      <c r="J7733" s="1"/>
    </row>
    <row r="7734" spans="10:10" x14ac:dyDescent="0.3">
      <c r="J7734" s="1"/>
    </row>
    <row r="7735" spans="10:10" x14ac:dyDescent="0.3">
      <c r="J7735" s="1"/>
    </row>
    <row r="7736" spans="10:10" x14ac:dyDescent="0.3">
      <c r="J7736" s="1"/>
    </row>
    <row r="7737" spans="10:10" x14ac:dyDescent="0.3">
      <c r="J7737" s="1"/>
    </row>
    <row r="7738" spans="10:10" x14ac:dyDescent="0.3">
      <c r="J7738" s="1"/>
    </row>
    <row r="7739" spans="10:10" x14ac:dyDescent="0.3">
      <c r="J7739" s="1"/>
    </row>
    <row r="7740" spans="10:10" x14ac:dyDescent="0.3">
      <c r="J7740" s="1"/>
    </row>
    <row r="7741" spans="10:10" x14ac:dyDescent="0.3">
      <c r="J7741" s="1"/>
    </row>
    <row r="7742" spans="10:10" x14ac:dyDescent="0.3">
      <c r="J7742" s="1"/>
    </row>
    <row r="7743" spans="10:10" x14ac:dyDescent="0.3">
      <c r="J7743" s="1"/>
    </row>
    <row r="7744" spans="10:10" x14ac:dyDescent="0.3">
      <c r="J7744" s="1"/>
    </row>
    <row r="7745" spans="10:10" x14ac:dyDescent="0.3">
      <c r="J7745" s="1"/>
    </row>
    <row r="7746" spans="10:10" x14ac:dyDescent="0.3">
      <c r="J7746" s="1"/>
    </row>
    <row r="7747" spans="10:10" x14ac:dyDescent="0.3">
      <c r="J7747" s="1"/>
    </row>
    <row r="7748" spans="10:10" x14ac:dyDescent="0.3">
      <c r="J7748" s="1"/>
    </row>
    <row r="7749" spans="10:10" x14ac:dyDescent="0.3">
      <c r="J7749" s="1"/>
    </row>
    <row r="7750" spans="10:10" x14ac:dyDescent="0.3">
      <c r="J7750" s="1"/>
    </row>
    <row r="7751" spans="10:10" x14ac:dyDescent="0.3">
      <c r="J7751" s="1"/>
    </row>
    <row r="7752" spans="10:10" x14ac:dyDescent="0.3">
      <c r="J7752" s="1"/>
    </row>
    <row r="7753" spans="10:10" x14ac:dyDescent="0.3">
      <c r="J7753" s="1"/>
    </row>
    <row r="7754" spans="10:10" x14ac:dyDescent="0.3">
      <c r="J7754" s="1"/>
    </row>
    <row r="7755" spans="10:10" x14ac:dyDescent="0.3">
      <c r="J7755" s="1"/>
    </row>
    <row r="7756" spans="10:10" x14ac:dyDescent="0.3">
      <c r="J7756" s="1"/>
    </row>
    <row r="7757" spans="10:10" x14ac:dyDescent="0.3">
      <c r="J7757" s="1"/>
    </row>
    <row r="7758" spans="10:10" x14ac:dyDescent="0.3">
      <c r="J7758" s="1"/>
    </row>
    <row r="7759" spans="10:10" x14ac:dyDescent="0.3">
      <c r="J7759" s="1"/>
    </row>
    <row r="7760" spans="10:10" x14ac:dyDescent="0.3">
      <c r="J7760" s="1"/>
    </row>
    <row r="7761" spans="10:10" x14ac:dyDescent="0.3">
      <c r="J7761" s="1"/>
    </row>
    <row r="7762" spans="10:10" x14ac:dyDescent="0.3">
      <c r="J7762" s="1"/>
    </row>
    <row r="7763" spans="10:10" x14ac:dyDescent="0.3">
      <c r="J7763" s="1"/>
    </row>
    <row r="7764" spans="10:10" x14ac:dyDescent="0.3">
      <c r="J7764" s="1"/>
    </row>
    <row r="7765" spans="10:10" x14ac:dyDescent="0.3">
      <c r="J7765" s="1"/>
    </row>
    <row r="7766" spans="10:10" x14ac:dyDescent="0.3">
      <c r="J7766" s="1"/>
    </row>
    <row r="7767" spans="10:10" x14ac:dyDescent="0.3">
      <c r="J7767" s="1"/>
    </row>
    <row r="7768" spans="10:10" x14ac:dyDescent="0.3">
      <c r="J7768" s="1"/>
    </row>
    <row r="7769" spans="10:10" x14ac:dyDescent="0.3">
      <c r="J7769" s="1"/>
    </row>
    <row r="7770" spans="10:10" x14ac:dyDescent="0.3">
      <c r="J7770" s="1"/>
    </row>
    <row r="7771" spans="10:10" x14ac:dyDescent="0.3">
      <c r="J7771" s="1"/>
    </row>
    <row r="7772" spans="10:10" x14ac:dyDescent="0.3">
      <c r="J7772" s="1"/>
    </row>
    <row r="7773" spans="10:10" x14ac:dyDescent="0.3">
      <c r="J7773" s="1"/>
    </row>
    <row r="7774" spans="10:10" x14ac:dyDescent="0.3">
      <c r="J7774" s="1"/>
    </row>
    <row r="7775" spans="10:10" x14ac:dyDescent="0.3">
      <c r="J7775" s="1"/>
    </row>
    <row r="7776" spans="10:10" x14ac:dyDescent="0.3">
      <c r="J7776" s="1"/>
    </row>
    <row r="7777" spans="10:10" x14ac:dyDescent="0.3">
      <c r="J7777" s="1"/>
    </row>
    <row r="7778" spans="10:10" x14ac:dyDescent="0.3">
      <c r="J7778" s="1"/>
    </row>
    <row r="7779" spans="10:10" x14ac:dyDescent="0.3">
      <c r="J7779" s="1"/>
    </row>
    <row r="7780" spans="10:10" x14ac:dyDescent="0.3">
      <c r="J7780" s="1"/>
    </row>
    <row r="7781" spans="10:10" x14ac:dyDescent="0.3">
      <c r="J7781" s="1"/>
    </row>
    <row r="7782" spans="10:10" x14ac:dyDescent="0.3">
      <c r="J7782" s="1"/>
    </row>
    <row r="7783" spans="10:10" x14ac:dyDescent="0.3">
      <c r="J7783" s="1"/>
    </row>
    <row r="7784" spans="10:10" x14ac:dyDescent="0.3">
      <c r="J7784" s="1"/>
    </row>
    <row r="7785" spans="10:10" x14ac:dyDescent="0.3">
      <c r="J7785" s="1"/>
    </row>
    <row r="7786" spans="10:10" x14ac:dyDescent="0.3">
      <c r="J7786" s="1"/>
    </row>
    <row r="7787" spans="10:10" x14ac:dyDescent="0.3">
      <c r="J7787" s="1"/>
    </row>
    <row r="7788" spans="10:10" x14ac:dyDescent="0.3">
      <c r="J7788" s="1"/>
    </row>
    <row r="7789" spans="10:10" x14ac:dyDescent="0.3">
      <c r="J7789" s="1"/>
    </row>
    <row r="7790" spans="10:10" x14ac:dyDescent="0.3">
      <c r="J7790" s="1"/>
    </row>
    <row r="7791" spans="10:10" x14ac:dyDescent="0.3">
      <c r="J7791" s="1"/>
    </row>
    <row r="7792" spans="10:10" x14ac:dyDescent="0.3">
      <c r="J7792" s="1"/>
    </row>
    <row r="7793" spans="10:10" x14ac:dyDescent="0.3">
      <c r="J7793" s="1"/>
    </row>
    <row r="7794" spans="10:10" x14ac:dyDescent="0.3">
      <c r="J7794" s="1"/>
    </row>
    <row r="7795" spans="10:10" x14ac:dyDescent="0.3">
      <c r="J7795" s="1"/>
    </row>
    <row r="7796" spans="10:10" x14ac:dyDescent="0.3">
      <c r="J7796" s="1"/>
    </row>
    <row r="7797" spans="10:10" x14ac:dyDescent="0.3">
      <c r="J7797" s="1"/>
    </row>
    <row r="7798" spans="10:10" x14ac:dyDescent="0.3">
      <c r="J7798" s="1"/>
    </row>
    <row r="7799" spans="10:10" x14ac:dyDescent="0.3">
      <c r="J7799" s="1"/>
    </row>
    <row r="7800" spans="10:10" x14ac:dyDescent="0.3">
      <c r="J7800" s="1"/>
    </row>
    <row r="7801" spans="10:10" x14ac:dyDescent="0.3">
      <c r="J7801" s="1"/>
    </row>
    <row r="7802" spans="10:10" x14ac:dyDescent="0.3">
      <c r="J7802" s="1"/>
    </row>
    <row r="7803" spans="10:10" x14ac:dyDescent="0.3">
      <c r="J7803" s="1"/>
    </row>
    <row r="7804" spans="10:10" x14ac:dyDescent="0.3">
      <c r="J7804" s="1"/>
    </row>
    <row r="7805" spans="10:10" x14ac:dyDescent="0.3">
      <c r="J7805" s="1"/>
    </row>
    <row r="7806" spans="10:10" x14ac:dyDescent="0.3">
      <c r="J7806" s="1"/>
    </row>
    <row r="7807" spans="10:10" x14ac:dyDescent="0.3">
      <c r="J7807" s="1"/>
    </row>
    <row r="7808" spans="10:10" x14ac:dyDescent="0.3">
      <c r="J7808" s="1"/>
    </row>
    <row r="7809" spans="10:10" x14ac:dyDescent="0.3">
      <c r="J7809" s="1"/>
    </row>
    <row r="7810" spans="10:10" x14ac:dyDescent="0.3">
      <c r="J7810" s="1"/>
    </row>
    <row r="7811" spans="10:10" x14ac:dyDescent="0.3">
      <c r="J7811" s="1"/>
    </row>
    <row r="7812" spans="10:10" x14ac:dyDescent="0.3">
      <c r="J7812" s="1"/>
    </row>
    <row r="7813" spans="10:10" x14ac:dyDescent="0.3">
      <c r="J7813" s="1"/>
    </row>
    <row r="7814" spans="10:10" x14ac:dyDescent="0.3">
      <c r="J7814" s="1"/>
    </row>
    <row r="7815" spans="10:10" x14ac:dyDescent="0.3">
      <c r="J7815" s="1"/>
    </row>
    <row r="7816" spans="10:10" x14ac:dyDescent="0.3">
      <c r="J7816" s="1"/>
    </row>
    <row r="7817" spans="10:10" x14ac:dyDescent="0.3">
      <c r="J7817" s="1"/>
    </row>
    <row r="7818" spans="10:10" x14ac:dyDescent="0.3">
      <c r="J7818" s="1"/>
    </row>
    <row r="7819" spans="10:10" x14ac:dyDescent="0.3">
      <c r="J7819" s="1"/>
    </row>
    <row r="7820" spans="10:10" x14ac:dyDescent="0.3">
      <c r="J7820" s="1"/>
    </row>
    <row r="7821" spans="10:10" x14ac:dyDescent="0.3">
      <c r="J7821" s="1"/>
    </row>
    <row r="7822" spans="10:10" x14ac:dyDescent="0.3">
      <c r="J7822" s="1"/>
    </row>
    <row r="7823" spans="10:10" x14ac:dyDescent="0.3">
      <c r="J7823" s="1"/>
    </row>
    <row r="7824" spans="10:10" x14ac:dyDescent="0.3">
      <c r="J7824" s="1"/>
    </row>
    <row r="7825" spans="10:10" x14ac:dyDescent="0.3">
      <c r="J7825" s="1"/>
    </row>
    <row r="7826" spans="10:10" x14ac:dyDescent="0.3">
      <c r="J7826" s="1"/>
    </row>
    <row r="7827" spans="10:10" x14ac:dyDescent="0.3">
      <c r="J7827" s="1"/>
    </row>
    <row r="7828" spans="10:10" x14ac:dyDescent="0.3">
      <c r="J7828" s="1"/>
    </row>
    <row r="7829" spans="10:10" x14ac:dyDescent="0.3">
      <c r="J7829" s="1"/>
    </row>
    <row r="7830" spans="10:10" x14ac:dyDescent="0.3">
      <c r="J7830" s="1"/>
    </row>
    <row r="7831" spans="10:10" x14ac:dyDescent="0.3">
      <c r="J7831" s="1"/>
    </row>
    <row r="7832" spans="10:10" x14ac:dyDescent="0.3">
      <c r="J7832" s="1"/>
    </row>
    <row r="7833" spans="10:10" x14ac:dyDescent="0.3">
      <c r="J7833" s="1"/>
    </row>
    <row r="7834" spans="10:10" x14ac:dyDescent="0.3">
      <c r="J7834" s="1"/>
    </row>
    <row r="7835" spans="10:10" x14ac:dyDescent="0.3">
      <c r="J7835" s="1"/>
    </row>
    <row r="7836" spans="10:10" x14ac:dyDescent="0.3">
      <c r="J7836" s="1"/>
    </row>
    <row r="7837" spans="10:10" x14ac:dyDescent="0.3">
      <c r="J7837" s="1"/>
    </row>
    <row r="7838" spans="10:10" x14ac:dyDescent="0.3">
      <c r="J7838" s="1"/>
    </row>
    <row r="7839" spans="10:10" x14ac:dyDescent="0.3">
      <c r="J7839" s="1"/>
    </row>
    <row r="7840" spans="10:10" x14ac:dyDescent="0.3">
      <c r="J7840" s="1"/>
    </row>
    <row r="7841" spans="10:10" x14ac:dyDescent="0.3">
      <c r="J7841" s="1"/>
    </row>
    <row r="7842" spans="10:10" x14ac:dyDescent="0.3">
      <c r="J7842" s="1"/>
    </row>
    <row r="7843" spans="10:10" x14ac:dyDescent="0.3">
      <c r="J7843" s="1"/>
    </row>
    <row r="7844" spans="10:10" x14ac:dyDescent="0.3">
      <c r="J7844" s="1"/>
    </row>
    <row r="7845" spans="10:10" x14ac:dyDescent="0.3">
      <c r="J7845" s="1"/>
    </row>
    <row r="7846" spans="10:10" x14ac:dyDescent="0.3">
      <c r="J7846" s="1"/>
    </row>
    <row r="7847" spans="10:10" x14ac:dyDescent="0.3">
      <c r="J7847" s="1"/>
    </row>
    <row r="7848" spans="10:10" x14ac:dyDescent="0.3">
      <c r="J7848" s="1"/>
    </row>
    <row r="7849" spans="10:10" x14ac:dyDescent="0.3">
      <c r="J7849" s="1"/>
    </row>
    <row r="7850" spans="10:10" x14ac:dyDescent="0.3">
      <c r="J7850" s="1"/>
    </row>
    <row r="7851" spans="10:10" x14ac:dyDescent="0.3">
      <c r="J7851" s="1"/>
    </row>
    <row r="7852" spans="10:10" x14ac:dyDescent="0.3">
      <c r="J7852" s="1"/>
    </row>
    <row r="7853" spans="10:10" x14ac:dyDescent="0.3">
      <c r="J7853" s="1"/>
    </row>
    <row r="7854" spans="10:10" x14ac:dyDescent="0.3">
      <c r="J7854" s="1"/>
    </row>
    <row r="7855" spans="10:10" x14ac:dyDescent="0.3">
      <c r="J7855" s="1"/>
    </row>
    <row r="7856" spans="10:10" x14ac:dyDescent="0.3">
      <c r="J7856" s="1"/>
    </row>
    <row r="7857" spans="10:10" x14ac:dyDescent="0.3">
      <c r="J7857" s="1"/>
    </row>
    <row r="7858" spans="10:10" x14ac:dyDescent="0.3">
      <c r="J7858" s="1"/>
    </row>
    <row r="7859" spans="10:10" x14ac:dyDescent="0.3">
      <c r="J7859" s="1"/>
    </row>
    <row r="7860" spans="10:10" x14ac:dyDescent="0.3">
      <c r="J7860" s="1"/>
    </row>
    <row r="7861" spans="10:10" x14ac:dyDescent="0.3">
      <c r="J7861" s="1"/>
    </row>
    <row r="7862" spans="10:10" x14ac:dyDescent="0.3">
      <c r="J7862" s="1"/>
    </row>
    <row r="7863" spans="10:10" x14ac:dyDescent="0.3">
      <c r="J7863" s="1"/>
    </row>
    <row r="7864" spans="10:10" x14ac:dyDescent="0.3">
      <c r="J7864" s="1"/>
    </row>
    <row r="7865" spans="10:10" x14ac:dyDescent="0.3">
      <c r="J7865" s="1"/>
    </row>
    <row r="7866" spans="10:10" x14ac:dyDescent="0.3">
      <c r="J7866" s="1"/>
    </row>
    <row r="7867" spans="10:10" x14ac:dyDescent="0.3">
      <c r="J7867" s="1"/>
    </row>
    <row r="7868" spans="10:10" x14ac:dyDescent="0.3">
      <c r="J7868" s="1"/>
    </row>
    <row r="7869" spans="10:10" x14ac:dyDescent="0.3">
      <c r="J7869" s="1"/>
    </row>
    <row r="7870" spans="10:10" x14ac:dyDescent="0.3">
      <c r="J7870" s="1"/>
    </row>
    <row r="7871" spans="10:10" x14ac:dyDescent="0.3">
      <c r="J7871" s="1"/>
    </row>
    <row r="7872" spans="10:10" x14ac:dyDescent="0.3">
      <c r="J7872" s="1"/>
    </row>
    <row r="7873" spans="10:10" x14ac:dyDescent="0.3">
      <c r="J7873" s="1"/>
    </row>
    <row r="7874" spans="10:10" x14ac:dyDescent="0.3">
      <c r="J7874" s="1"/>
    </row>
    <row r="7875" spans="10:10" x14ac:dyDescent="0.3">
      <c r="J7875" s="1"/>
    </row>
    <row r="7876" spans="10:10" x14ac:dyDescent="0.3">
      <c r="J7876" s="1"/>
    </row>
    <row r="7877" spans="10:10" x14ac:dyDescent="0.3">
      <c r="J7877" s="1"/>
    </row>
    <row r="7878" spans="10:10" x14ac:dyDescent="0.3">
      <c r="J7878" s="1"/>
    </row>
    <row r="7879" spans="10:10" x14ac:dyDescent="0.3">
      <c r="J7879" s="1"/>
    </row>
    <row r="7880" spans="10:10" x14ac:dyDescent="0.3">
      <c r="J7880" s="1"/>
    </row>
    <row r="7881" spans="10:10" x14ac:dyDescent="0.3">
      <c r="J7881" s="1"/>
    </row>
    <row r="7882" spans="10:10" x14ac:dyDescent="0.3">
      <c r="J7882" s="1"/>
    </row>
    <row r="7883" spans="10:10" x14ac:dyDescent="0.3">
      <c r="J7883" s="1"/>
    </row>
    <row r="7884" spans="10:10" x14ac:dyDescent="0.3">
      <c r="J7884" s="1"/>
    </row>
    <row r="7885" spans="10:10" x14ac:dyDescent="0.3">
      <c r="J7885" s="1"/>
    </row>
    <row r="7886" spans="10:10" x14ac:dyDescent="0.3">
      <c r="J7886" s="1"/>
    </row>
    <row r="7887" spans="10:10" x14ac:dyDescent="0.3">
      <c r="J7887" s="1"/>
    </row>
    <row r="7888" spans="10:10" x14ac:dyDescent="0.3">
      <c r="J7888" s="1"/>
    </row>
    <row r="7889" spans="10:10" x14ac:dyDescent="0.3">
      <c r="J7889" s="1"/>
    </row>
    <row r="7890" spans="10:10" x14ac:dyDescent="0.3">
      <c r="J7890" s="1"/>
    </row>
    <row r="7891" spans="10:10" x14ac:dyDescent="0.3">
      <c r="J7891" s="1"/>
    </row>
    <row r="7892" spans="10:10" x14ac:dyDescent="0.3">
      <c r="J7892" s="1"/>
    </row>
    <row r="7893" spans="10:10" x14ac:dyDescent="0.3">
      <c r="J7893" s="1"/>
    </row>
    <row r="7894" spans="10:10" x14ac:dyDescent="0.3">
      <c r="J7894" s="1"/>
    </row>
    <row r="7895" spans="10:10" x14ac:dyDescent="0.3">
      <c r="J7895" s="1"/>
    </row>
    <row r="7896" spans="10:10" x14ac:dyDescent="0.3">
      <c r="J7896" s="1"/>
    </row>
    <row r="7897" spans="10:10" x14ac:dyDescent="0.3">
      <c r="J7897" s="1"/>
    </row>
    <row r="7898" spans="10:10" x14ac:dyDescent="0.3">
      <c r="J7898" s="1"/>
    </row>
    <row r="7899" spans="10:10" x14ac:dyDescent="0.3">
      <c r="J7899" s="1"/>
    </row>
    <row r="7900" spans="10:10" x14ac:dyDescent="0.3">
      <c r="J7900" s="1"/>
    </row>
    <row r="7901" spans="10:10" x14ac:dyDescent="0.3">
      <c r="J7901" s="1"/>
    </row>
    <row r="7902" spans="10:10" x14ac:dyDescent="0.3">
      <c r="J7902" s="1"/>
    </row>
    <row r="7903" spans="10:10" x14ac:dyDescent="0.3">
      <c r="J7903" s="1"/>
    </row>
    <row r="7904" spans="10:10" x14ac:dyDescent="0.3">
      <c r="J7904" s="1"/>
    </row>
    <row r="7905" spans="10:10" x14ac:dyDescent="0.3">
      <c r="J7905" s="1"/>
    </row>
    <row r="7906" spans="10:10" x14ac:dyDescent="0.3">
      <c r="J7906" s="1"/>
    </row>
    <row r="7907" spans="10:10" x14ac:dyDescent="0.3">
      <c r="J7907" s="1"/>
    </row>
    <row r="7908" spans="10:10" x14ac:dyDescent="0.3">
      <c r="J7908" s="1"/>
    </row>
    <row r="7909" spans="10:10" x14ac:dyDescent="0.3">
      <c r="J7909" s="1"/>
    </row>
    <row r="7910" spans="10:10" x14ac:dyDescent="0.3">
      <c r="J7910" s="1"/>
    </row>
    <row r="7911" spans="10:10" x14ac:dyDescent="0.3">
      <c r="J7911" s="1"/>
    </row>
    <row r="7912" spans="10:10" x14ac:dyDescent="0.3">
      <c r="J7912" s="1"/>
    </row>
    <row r="7913" spans="10:10" x14ac:dyDescent="0.3">
      <c r="J7913" s="1"/>
    </row>
    <row r="7914" spans="10:10" x14ac:dyDescent="0.3">
      <c r="J7914" s="1"/>
    </row>
    <row r="7915" spans="10:10" x14ac:dyDescent="0.3">
      <c r="J7915" s="1"/>
    </row>
    <row r="7916" spans="10:10" x14ac:dyDescent="0.3">
      <c r="J7916" s="1"/>
    </row>
    <row r="7917" spans="10:10" x14ac:dyDescent="0.3">
      <c r="J7917" s="1"/>
    </row>
    <row r="7918" spans="10:10" x14ac:dyDescent="0.3">
      <c r="J7918" s="1"/>
    </row>
    <row r="7919" spans="10:10" x14ac:dyDescent="0.3">
      <c r="J7919" s="1"/>
    </row>
    <row r="7920" spans="10:10" x14ac:dyDescent="0.3">
      <c r="J7920" s="1"/>
    </row>
    <row r="7921" spans="10:10" x14ac:dyDescent="0.3">
      <c r="J7921" s="1"/>
    </row>
    <row r="7922" spans="10:10" x14ac:dyDescent="0.3">
      <c r="J7922" s="1"/>
    </row>
    <row r="7923" spans="10:10" x14ac:dyDescent="0.3">
      <c r="J7923" s="1"/>
    </row>
    <row r="7924" spans="10:10" x14ac:dyDescent="0.3">
      <c r="J7924" s="1"/>
    </row>
    <row r="7925" spans="10:10" x14ac:dyDescent="0.3">
      <c r="J7925" s="1"/>
    </row>
    <row r="7926" spans="10:10" x14ac:dyDescent="0.3">
      <c r="J7926" s="1"/>
    </row>
    <row r="7927" spans="10:10" x14ac:dyDescent="0.3">
      <c r="J7927" s="1"/>
    </row>
    <row r="7928" spans="10:10" x14ac:dyDescent="0.3">
      <c r="J7928" s="1"/>
    </row>
    <row r="7929" spans="10:10" x14ac:dyDescent="0.3">
      <c r="J7929" s="1"/>
    </row>
    <row r="7930" spans="10:10" x14ac:dyDescent="0.3">
      <c r="J7930" s="1"/>
    </row>
    <row r="7931" spans="10:10" x14ac:dyDescent="0.3">
      <c r="J7931" s="1"/>
    </row>
    <row r="7932" spans="10:10" x14ac:dyDescent="0.3">
      <c r="J7932" s="1"/>
    </row>
    <row r="7933" spans="10:10" x14ac:dyDescent="0.3">
      <c r="J7933" s="1"/>
    </row>
    <row r="7934" spans="10:10" x14ac:dyDescent="0.3">
      <c r="J7934" s="1"/>
    </row>
    <row r="7935" spans="10:10" x14ac:dyDescent="0.3">
      <c r="J7935" s="1"/>
    </row>
    <row r="7936" spans="10:10" x14ac:dyDescent="0.3">
      <c r="J7936" s="1"/>
    </row>
    <row r="7937" spans="10:10" x14ac:dyDescent="0.3">
      <c r="J7937" s="1"/>
    </row>
    <row r="7938" spans="10:10" x14ac:dyDescent="0.3">
      <c r="J7938" s="1"/>
    </row>
    <row r="7939" spans="10:10" x14ac:dyDescent="0.3">
      <c r="J7939" s="1"/>
    </row>
    <row r="7940" spans="10:10" x14ac:dyDescent="0.3">
      <c r="J7940" s="1"/>
    </row>
    <row r="7941" spans="10:10" x14ac:dyDescent="0.3">
      <c r="J7941" s="1"/>
    </row>
    <row r="7942" spans="10:10" x14ac:dyDescent="0.3">
      <c r="J7942" s="1"/>
    </row>
    <row r="7943" spans="10:10" x14ac:dyDescent="0.3">
      <c r="J7943" s="1"/>
    </row>
    <row r="7944" spans="10:10" x14ac:dyDescent="0.3">
      <c r="J7944" s="1"/>
    </row>
    <row r="7945" spans="10:10" x14ac:dyDescent="0.3">
      <c r="J7945" s="1"/>
    </row>
    <row r="7946" spans="10:10" x14ac:dyDescent="0.3">
      <c r="J7946" s="1"/>
    </row>
    <row r="7947" spans="10:10" x14ac:dyDescent="0.3">
      <c r="J7947" s="1"/>
    </row>
    <row r="7948" spans="10:10" x14ac:dyDescent="0.3">
      <c r="J7948" s="1"/>
    </row>
    <row r="7949" spans="10:10" x14ac:dyDescent="0.3">
      <c r="J7949" s="1"/>
    </row>
    <row r="7950" spans="10:10" x14ac:dyDescent="0.3">
      <c r="J7950" s="1"/>
    </row>
    <row r="7951" spans="10:10" x14ac:dyDescent="0.3">
      <c r="J7951" s="1"/>
    </row>
    <row r="7952" spans="10:10" x14ac:dyDescent="0.3">
      <c r="J7952" s="1"/>
    </row>
    <row r="7953" spans="10:10" x14ac:dyDescent="0.3">
      <c r="J7953" s="1"/>
    </row>
    <row r="7954" spans="10:10" x14ac:dyDescent="0.3">
      <c r="J7954" s="1"/>
    </row>
    <row r="7955" spans="10:10" x14ac:dyDescent="0.3">
      <c r="J7955" s="1"/>
    </row>
    <row r="7956" spans="10:10" x14ac:dyDescent="0.3">
      <c r="J7956" s="1"/>
    </row>
    <row r="7957" spans="10:10" x14ac:dyDescent="0.3">
      <c r="J7957" s="1"/>
    </row>
    <row r="7958" spans="10:10" x14ac:dyDescent="0.3">
      <c r="J7958" s="1"/>
    </row>
    <row r="7959" spans="10:10" x14ac:dyDescent="0.3">
      <c r="J7959" s="1"/>
    </row>
    <row r="7960" spans="10:10" x14ac:dyDescent="0.3">
      <c r="J7960" s="1"/>
    </row>
    <row r="7961" spans="10:10" x14ac:dyDescent="0.3">
      <c r="J7961" s="1"/>
    </row>
    <row r="7962" spans="10:10" x14ac:dyDescent="0.3">
      <c r="J7962" s="1"/>
    </row>
    <row r="7963" spans="10:10" x14ac:dyDescent="0.3">
      <c r="J7963" s="1"/>
    </row>
    <row r="7964" spans="10:10" x14ac:dyDescent="0.3">
      <c r="J7964" s="1"/>
    </row>
    <row r="7965" spans="10:10" x14ac:dyDescent="0.3">
      <c r="J7965" s="1"/>
    </row>
    <row r="7966" spans="10:10" x14ac:dyDescent="0.3">
      <c r="J7966" s="1"/>
    </row>
    <row r="7967" spans="10:10" x14ac:dyDescent="0.3">
      <c r="J7967" s="1"/>
    </row>
    <row r="7968" spans="10:10" x14ac:dyDescent="0.3">
      <c r="J7968" s="1"/>
    </row>
    <row r="7969" spans="10:10" x14ac:dyDescent="0.3">
      <c r="J7969" s="1"/>
    </row>
    <row r="7970" spans="10:10" x14ac:dyDescent="0.3">
      <c r="J7970" s="1"/>
    </row>
    <row r="7971" spans="10:10" x14ac:dyDescent="0.3">
      <c r="J7971" s="1"/>
    </row>
    <row r="7972" spans="10:10" x14ac:dyDescent="0.3">
      <c r="J7972" s="1"/>
    </row>
    <row r="7973" spans="10:10" x14ac:dyDescent="0.3">
      <c r="J7973" s="1"/>
    </row>
    <row r="7974" spans="10:10" x14ac:dyDescent="0.3">
      <c r="J7974" s="1"/>
    </row>
    <row r="7975" spans="10:10" x14ac:dyDescent="0.3">
      <c r="J7975" s="1"/>
    </row>
    <row r="7976" spans="10:10" x14ac:dyDescent="0.3">
      <c r="J7976" s="1"/>
    </row>
    <row r="7977" spans="10:10" x14ac:dyDescent="0.3">
      <c r="J7977" s="1"/>
    </row>
    <row r="7978" spans="10:10" x14ac:dyDescent="0.3">
      <c r="J7978" s="1"/>
    </row>
    <row r="7979" spans="10:10" x14ac:dyDescent="0.3">
      <c r="J7979" s="1"/>
    </row>
    <row r="7980" spans="10:10" x14ac:dyDescent="0.3">
      <c r="J7980" s="1"/>
    </row>
    <row r="7981" spans="10:10" x14ac:dyDescent="0.3">
      <c r="J7981" s="1"/>
    </row>
    <row r="7982" spans="10:10" x14ac:dyDescent="0.3">
      <c r="J7982" s="1"/>
    </row>
    <row r="7983" spans="10:10" x14ac:dyDescent="0.3">
      <c r="J7983" s="1"/>
    </row>
    <row r="7984" spans="10:10" x14ac:dyDescent="0.3">
      <c r="J7984" s="1"/>
    </row>
    <row r="7985" spans="10:10" x14ac:dyDescent="0.3">
      <c r="J7985" s="1"/>
    </row>
    <row r="7986" spans="10:10" x14ac:dyDescent="0.3">
      <c r="J7986" s="1"/>
    </row>
    <row r="7987" spans="10:10" x14ac:dyDescent="0.3">
      <c r="J7987" s="1"/>
    </row>
    <row r="7988" spans="10:10" x14ac:dyDescent="0.3">
      <c r="J7988" s="1"/>
    </row>
    <row r="7989" spans="10:10" x14ac:dyDescent="0.3">
      <c r="J7989" s="1"/>
    </row>
    <row r="7990" spans="10:10" x14ac:dyDescent="0.3">
      <c r="J7990" s="1"/>
    </row>
    <row r="7991" spans="10:10" x14ac:dyDescent="0.3">
      <c r="J7991" s="1"/>
    </row>
    <row r="7992" spans="10:10" x14ac:dyDescent="0.3">
      <c r="J7992" s="1"/>
    </row>
    <row r="7993" spans="10:10" x14ac:dyDescent="0.3">
      <c r="J7993" s="1"/>
    </row>
    <row r="7994" spans="10:10" x14ac:dyDescent="0.3">
      <c r="J7994" s="1"/>
    </row>
    <row r="7995" spans="10:10" x14ac:dyDescent="0.3">
      <c r="J7995" s="1"/>
    </row>
    <row r="7996" spans="10:10" x14ac:dyDescent="0.3">
      <c r="J7996" s="1"/>
    </row>
    <row r="7997" spans="10:10" x14ac:dyDescent="0.3">
      <c r="J7997" s="1"/>
    </row>
    <row r="7998" spans="10:10" x14ac:dyDescent="0.3">
      <c r="J7998" s="1"/>
    </row>
    <row r="7999" spans="10:10" x14ac:dyDescent="0.3">
      <c r="J7999" s="1"/>
    </row>
    <row r="8000" spans="10:10" x14ac:dyDescent="0.3">
      <c r="J8000" s="1"/>
    </row>
    <row r="8001" spans="10:10" x14ac:dyDescent="0.3">
      <c r="J8001" s="1"/>
    </row>
    <row r="8002" spans="10:10" x14ac:dyDescent="0.3">
      <c r="J8002" s="1"/>
    </row>
    <row r="8003" spans="10:10" x14ac:dyDescent="0.3">
      <c r="J8003" s="1"/>
    </row>
    <row r="8004" spans="10:10" x14ac:dyDescent="0.3">
      <c r="J8004" s="1"/>
    </row>
    <row r="8005" spans="10:10" x14ac:dyDescent="0.3">
      <c r="J8005" s="1"/>
    </row>
    <row r="8006" spans="10:10" x14ac:dyDescent="0.3">
      <c r="J8006" s="1"/>
    </row>
    <row r="8007" spans="10:10" x14ac:dyDescent="0.3">
      <c r="J8007" s="1"/>
    </row>
    <row r="8008" spans="10:10" x14ac:dyDescent="0.3">
      <c r="J8008" s="1"/>
    </row>
    <row r="8009" spans="10:10" x14ac:dyDescent="0.3">
      <c r="J8009" s="1"/>
    </row>
    <row r="8010" spans="10:10" x14ac:dyDescent="0.3">
      <c r="J8010" s="1"/>
    </row>
    <row r="8011" spans="10:10" x14ac:dyDescent="0.3">
      <c r="J8011" s="1"/>
    </row>
    <row r="8012" spans="10:10" x14ac:dyDescent="0.3">
      <c r="J8012" s="1"/>
    </row>
    <row r="8013" spans="10:10" x14ac:dyDescent="0.3">
      <c r="J8013" s="1"/>
    </row>
    <row r="8014" spans="10:10" x14ac:dyDescent="0.3">
      <c r="J8014" s="1"/>
    </row>
    <row r="8015" spans="10:10" x14ac:dyDescent="0.3">
      <c r="J8015" s="1"/>
    </row>
    <row r="8016" spans="10:10" x14ac:dyDescent="0.3">
      <c r="J8016" s="1"/>
    </row>
    <row r="8017" spans="10:10" x14ac:dyDescent="0.3">
      <c r="J8017" s="1"/>
    </row>
    <row r="8018" spans="10:10" x14ac:dyDescent="0.3">
      <c r="J8018" s="1"/>
    </row>
    <row r="8019" spans="10:10" x14ac:dyDescent="0.3">
      <c r="J8019" s="1"/>
    </row>
    <row r="8020" spans="10:10" x14ac:dyDescent="0.3">
      <c r="J8020" s="1"/>
    </row>
    <row r="8021" spans="10:10" x14ac:dyDescent="0.3">
      <c r="J8021" s="1"/>
    </row>
    <row r="8022" spans="10:10" x14ac:dyDescent="0.3">
      <c r="J8022" s="1"/>
    </row>
    <row r="8023" spans="10:10" x14ac:dyDescent="0.3">
      <c r="J8023" s="1"/>
    </row>
    <row r="8024" spans="10:10" x14ac:dyDescent="0.3">
      <c r="J8024" s="1"/>
    </row>
    <row r="8025" spans="10:10" x14ac:dyDescent="0.3">
      <c r="J8025" s="1"/>
    </row>
    <row r="8026" spans="10:10" x14ac:dyDescent="0.3">
      <c r="J8026" s="1"/>
    </row>
    <row r="8027" spans="10:10" x14ac:dyDescent="0.3">
      <c r="J8027" s="1"/>
    </row>
    <row r="8028" spans="10:10" x14ac:dyDescent="0.3">
      <c r="J8028" s="1"/>
    </row>
    <row r="8029" spans="10:10" x14ac:dyDescent="0.3">
      <c r="J8029" s="1"/>
    </row>
    <row r="8030" spans="10:10" x14ac:dyDescent="0.3">
      <c r="J8030" s="1"/>
    </row>
    <row r="8031" spans="10:10" x14ac:dyDescent="0.3">
      <c r="J8031" s="1"/>
    </row>
    <row r="8032" spans="10:10" x14ac:dyDescent="0.3">
      <c r="J8032" s="1"/>
    </row>
    <row r="8033" spans="10:10" x14ac:dyDescent="0.3">
      <c r="J8033" s="1"/>
    </row>
    <row r="8034" spans="10:10" x14ac:dyDescent="0.3">
      <c r="J8034" s="1"/>
    </row>
    <row r="8035" spans="10:10" x14ac:dyDescent="0.3">
      <c r="J8035" s="1"/>
    </row>
    <row r="8036" spans="10:10" x14ac:dyDescent="0.3">
      <c r="J8036" s="1"/>
    </row>
    <row r="8037" spans="10:10" x14ac:dyDescent="0.3">
      <c r="J8037" s="1"/>
    </row>
    <row r="8038" spans="10:10" x14ac:dyDescent="0.3">
      <c r="J8038" s="1"/>
    </row>
    <row r="8039" spans="10:10" x14ac:dyDescent="0.3">
      <c r="J8039" s="1"/>
    </row>
    <row r="8040" spans="10:10" x14ac:dyDescent="0.3">
      <c r="J8040" s="1"/>
    </row>
    <row r="8041" spans="10:10" x14ac:dyDescent="0.3">
      <c r="J8041" s="1"/>
    </row>
    <row r="8042" spans="10:10" x14ac:dyDescent="0.3">
      <c r="J8042" s="1"/>
    </row>
    <row r="8043" spans="10:10" x14ac:dyDescent="0.3">
      <c r="J8043" s="1"/>
    </row>
    <row r="8044" spans="10:10" x14ac:dyDescent="0.3">
      <c r="J8044" s="1"/>
    </row>
    <row r="8045" spans="10:10" x14ac:dyDescent="0.3">
      <c r="J8045" s="1"/>
    </row>
    <row r="8046" spans="10:10" x14ac:dyDescent="0.3">
      <c r="J8046" s="1"/>
    </row>
    <row r="8047" spans="10:10" x14ac:dyDescent="0.3">
      <c r="J8047" s="1"/>
    </row>
    <row r="8048" spans="10:10" x14ac:dyDescent="0.3">
      <c r="J8048" s="1"/>
    </row>
    <row r="8049" spans="10:10" x14ac:dyDescent="0.3">
      <c r="J8049" s="1"/>
    </row>
    <row r="8050" spans="10:10" x14ac:dyDescent="0.3">
      <c r="J8050" s="1"/>
    </row>
    <row r="8051" spans="10:10" x14ac:dyDescent="0.3">
      <c r="J8051" s="1"/>
    </row>
    <row r="8052" spans="10:10" x14ac:dyDescent="0.3">
      <c r="J8052" s="1"/>
    </row>
    <row r="8053" spans="10:10" x14ac:dyDescent="0.3">
      <c r="J8053" s="1"/>
    </row>
    <row r="8054" spans="10:10" x14ac:dyDescent="0.3">
      <c r="J8054" s="1"/>
    </row>
    <row r="8055" spans="10:10" x14ac:dyDescent="0.3">
      <c r="J8055" s="1"/>
    </row>
    <row r="8056" spans="10:10" x14ac:dyDescent="0.3">
      <c r="J8056" s="1"/>
    </row>
    <row r="8057" spans="10:10" x14ac:dyDescent="0.3">
      <c r="J8057" s="1"/>
    </row>
    <row r="8058" spans="10:10" x14ac:dyDescent="0.3">
      <c r="J8058" s="1"/>
    </row>
    <row r="8059" spans="10:10" x14ac:dyDescent="0.3">
      <c r="J8059" s="1"/>
    </row>
    <row r="8060" spans="10:10" x14ac:dyDescent="0.3">
      <c r="J8060" s="1"/>
    </row>
    <row r="8061" spans="10:10" x14ac:dyDescent="0.3">
      <c r="J8061" s="1"/>
    </row>
    <row r="8062" spans="10:10" x14ac:dyDescent="0.3">
      <c r="J8062" s="1"/>
    </row>
    <row r="8063" spans="10:10" x14ac:dyDescent="0.3">
      <c r="J8063" s="1"/>
    </row>
    <row r="8064" spans="10:10" x14ac:dyDescent="0.3">
      <c r="J8064" s="1"/>
    </row>
    <row r="8065" spans="10:10" x14ac:dyDescent="0.3">
      <c r="J8065" s="1"/>
    </row>
    <row r="8066" spans="10:10" x14ac:dyDescent="0.3">
      <c r="J8066" s="1"/>
    </row>
    <row r="8067" spans="10:10" x14ac:dyDescent="0.3">
      <c r="J8067" s="1"/>
    </row>
    <row r="8068" spans="10:10" x14ac:dyDescent="0.3">
      <c r="J8068" s="1"/>
    </row>
    <row r="8069" spans="10:10" x14ac:dyDescent="0.3">
      <c r="J8069" s="1"/>
    </row>
    <row r="8070" spans="10:10" x14ac:dyDescent="0.3">
      <c r="J8070" s="1"/>
    </row>
    <row r="8071" spans="10:10" x14ac:dyDescent="0.3">
      <c r="J8071" s="1"/>
    </row>
    <row r="8072" spans="10:10" x14ac:dyDescent="0.3">
      <c r="J8072" s="1"/>
    </row>
    <row r="8073" spans="10:10" x14ac:dyDescent="0.3">
      <c r="J8073" s="1"/>
    </row>
    <row r="8074" spans="10:10" x14ac:dyDescent="0.3">
      <c r="J8074" s="1"/>
    </row>
    <row r="8075" spans="10:10" x14ac:dyDescent="0.3">
      <c r="J8075" s="1"/>
    </row>
    <row r="8076" spans="10:10" x14ac:dyDescent="0.3">
      <c r="J8076" s="1"/>
    </row>
    <row r="8077" spans="10:10" x14ac:dyDescent="0.3">
      <c r="J8077" s="1"/>
    </row>
    <row r="8078" spans="10:10" x14ac:dyDescent="0.3">
      <c r="J8078" s="1"/>
    </row>
    <row r="8079" spans="10:10" x14ac:dyDescent="0.3">
      <c r="J8079" s="1"/>
    </row>
    <row r="8080" spans="10:10" x14ac:dyDescent="0.3">
      <c r="J8080" s="1"/>
    </row>
    <row r="8081" spans="10:10" x14ac:dyDescent="0.3">
      <c r="J8081" s="1"/>
    </row>
    <row r="8082" spans="10:10" x14ac:dyDescent="0.3">
      <c r="J8082" s="1"/>
    </row>
    <row r="8083" spans="10:10" x14ac:dyDescent="0.3">
      <c r="J8083" s="1"/>
    </row>
    <row r="8084" spans="10:10" x14ac:dyDescent="0.3">
      <c r="J8084" s="1"/>
    </row>
    <row r="8085" spans="10:10" x14ac:dyDescent="0.3">
      <c r="J8085" s="1"/>
    </row>
    <row r="8086" spans="10:10" x14ac:dyDescent="0.3">
      <c r="J8086" s="1"/>
    </row>
    <row r="8087" spans="10:10" x14ac:dyDescent="0.3">
      <c r="J8087" s="1"/>
    </row>
    <row r="8088" spans="10:10" x14ac:dyDescent="0.3">
      <c r="J8088" s="1"/>
    </row>
    <row r="8089" spans="10:10" x14ac:dyDescent="0.3">
      <c r="J8089" s="1"/>
    </row>
    <row r="8090" spans="10:10" x14ac:dyDescent="0.3">
      <c r="J8090" s="1"/>
    </row>
    <row r="8091" spans="10:10" x14ac:dyDescent="0.3">
      <c r="J8091" s="1"/>
    </row>
    <row r="8092" spans="10:10" x14ac:dyDescent="0.3">
      <c r="J8092" s="1"/>
    </row>
    <row r="8093" spans="10:10" x14ac:dyDescent="0.3">
      <c r="J8093" s="1"/>
    </row>
    <row r="8094" spans="10:10" x14ac:dyDescent="0.3">
      <c r="J8094" s="1"/>
    </row>
    <row r="8095" spans="10:10" x14ac:dyDescent="0.3">
      <c r="J8095" s="1"/>
    </row>
    <row r="8096" spans="10:10" x14ac:dyDescent="0.3">
      <c r="J8096" s="1"/>
    </row>
    <row r="8097" spans="10:10" x14ac:dyDescent="0.3">
      <c r="J8097" s="1"/>
    </row>
    <row r="8098" spans="10:10" x14ac:dyDescent="0.3">
      <c r="J8098" s="1"/>
    </row>
    <row r="8099" spans="10:10" x14ac:dyDescent="0.3">
      <c r="J8099" s="1"/>
    </row>
    <row r="8100" spans="10:10" x14ac:dyDescent="0.3">
      <c r="J8100" s="1"/>
    </row>
    <row r="8101" spans="10:10" x14ac:dyDescent="0.3">
      <c r="J8101" s="1"/>
    </row>
    <row r="8102" spans="10:10" x14ac:dyDescent="0.3">
      <c r="J8102" s="1"/>
    </row>
    <row r="8103" spans="10:10" x14ac:dyDescent="0.3">
      <c r="J8103" s="1"/>
    </row>
    <row r="8104" spans="10:10" x14ac:dyDescent="0.3">
      <c r="J8104" s="1"/>
    </row>
    <row r="8105" spans="10:10" x14ac:dyDescent="0.3">
      <c r="J8105" s="1"/>
    </row>
    <row r="8106" spans="10:10" x14ac:dyDescent="0.3">
      <c r="J8106" s="1"/>
    </row>
    <row r="8107" spans="10:10" x14ac:dyDescent="0.3">
      <c r="J8107" s="1"/>
    </row>
    <row r="8108" spans="10:10" x14ac:dyDescent="0.3">
      <c r="J8108" s="1"/>
    </row>
    <row r="8109" spans="10:10" x14ac:dyDescent="0.3">
      <c r="J8109" s="1"/>
    </row>
    <row r="8110" spans="10:10" x14ac:dyDescent="0.3">
      <c r="J8110" s="1"/>
    </row>
    <row r="8111" spans="10:10" x14ac:dyDescent="0.3">
      <c r="J8111" s="1"/>
    </row>
    <row r="8112" spans="10:10" x14ac:dyDescent="0.3">
      <c r="J8112" s="1"/>
    </row>
    <row r="8113" spans="10:10" x14ac:dyDescent="0.3">
      <c r="J8113" s="1"/>
    </row>
    <row r="8114" spans="10:10" x14ac:dyDescent="0.3">
      <c r="J8114" s="1"/>
    </row>
    <row r="8115" spans="10:10" x14ac:dyDescent="0.3">
      <c r="J8115" s="1"/>
    </row>
    <row r="8116" spans="10:10" x14ac:dyDescent="0.3">
      <c r="J8116" s="1"/>
    </row>
    <row r="8117" spans="10:10" x14ac:dyDescent="0.3">
      <c r="J8117" s="1"/>
    </row>
    <row r="8118" spans="10:10" x14ac:dyDescent="0.3">
      <c r="J8118" s="1"/>
    </row>
    <row r="8119" spans="10:10" x14ac:dyDescent="0.3">
      <c r="J8119" s="1"/>
    </row>
    <row r="8120" spans="10:10" x14ac:dyDescent="0.3">
      <c r="J8120" s="1"/>
    </row>
    <row r="8121" spans="10:10" x14ac:dyDescent="0.3">
      <c r="J8121" s="1"/>
    </row>
    <row r="8122" spans="10:10" x14ac:dyDescent="0.3">
      <c r="J8122" s="1"/>
    </row>
    <row r="8123" spans="10:10" x14ac:dyDescent="0.3">
      <c r="J8123" s="1"/>
    </row>
    <row r="8124" spans="10:10" x14ac:dyDescent="0.3">
      <c r="J8124" s="1"/>
    </row>
    <row r="8125" spans="10:10" x14ac:dyDescent="0.3">
      <c r="J8125" s="1"/>
    </row>
    <row r="8126" spans="10:10" x14ac:dyDescent="0.3">
      <c r="J8126" s="1"/>
    </row>
    <row r="8127" spans="10:10" x14ac:dyDescent="0.3">
      <c r="J8127" s="1"/>
    </row>
    <row r="8128" spans="10:10" x14ac:dyDescent="0.3">
      <c r="J8128" s="1"/>
    </row>
    <row r="8129" spans="10:10" x14ac:dyDescent="0.3">
      <c r="J8129" s="1"/>
    </row>
    <row r="8130" spans="10:10" x14ac:dyDescent="0.3">
      <c r="J8130" s="1"/>
    </row>
    <row r="8131" spans="10:10" x14ac:dyDescent="0.3">
      <c r="J8131" s="1"/>
    </row>
    <row r="8132" spans="10:10" x14ac:dyDescent="0.3">
      <c r="J8132" s="1"/>
    </row>
    <row r="8133" spans="10:10" x14ac:dyDescent="0.3">
      <c r="J8133" s="1"/>
    </row>
    <row r="8134" spans="10:10" x14ac:dyDescent="0.3">
      <c r="J8134" s="1"/>
    </row>
    <row r="8135" spans="10:10" x14ac:dyDescent="0.3">
      <c r="J8135" s="1"/>
    </row>
    <row r="8136" spans="10:10" x14ac:dyDescent="0.3">
      <c r="J8136" s="1"/>
    </row>
    <row r="8137" spans="10:10" x14ac:dyDescent="0.3">
      <c r="J8137" s="1"/>
    </row>
    <row r="8138" spans="10:10" x14ac:dyDescent="0.3">
      <c r="J8138" s="1"/>
    </row>
    <row r="8139" spans="10:10" x14ac:dyDescent="0.3">
      <c r="J8139" s="1"/>
    </row>
    <row r="8140" spans="10:10" x14ac:dyDescent="0.3">
      <c r="J8140" s="1"/>
    </row>
    <row r="8141" spans="10:10" x14ac:dyDescent="0.3">
      <c r="J8141" s="1"/>
    </row>
    <row r="8142" spans="10:10" x14ac:dyDescent="0.3">
      <c r="J8142" s="1"/>
    </row>
    <row r="8143" spans="10:10" x14ac:dyDescent="0.3">
      <c r="J8143" s="1"/>
    </row>
    <row r="8144" spans="10:10" x14ac:dyDescent="0.3">
      <c r="J8144" s="1"/>
    </row>
    <row r="8145" spans="10:10" x14ac:dyDescent="0.3">
      <c r="J8145" s="1"/>
    </row>
    <row r="8146" spans="10:10" x14ac:dyDescent="0.3">
      <c r="J8146" s="1"/>
    </row>
    <row r="8147" spans="10:10" x14ac:dyDescent="0.3">
      <c r="J8147" s="1"/>
    </row>
    <row r="8148" spans="10:10" x14ac:dyDescent="0.3">
      <c r="J8148" s="1"/>
    </row>
    <row r="8149" spans="10:10" x14ac:dyDescent="0.3">
      <c r="J8149" s="1"/>
    </row>
    <row r="8150" spans="10:10" x14ac:dyDescent="0.3">
      <c r="J8150" s="1"/>
    </row>
    <row r="8151" spans="10:10" x14ac:dyDescent="0.3">
      <c r="J8151" s="1"/>
    </row>
    <row r="8152" spans="10:10" x14ac:dyDescent="0.3">
      <c r="J8152" s="1"/>
    </row>
    <row r="8153" spans="10:10" x14ac:dyDescent="0.3">
      <c r="J8153" s="1"/>
    </row>
    <row r="8154" spans="10:10" x14ac:dyDescent="0.3">
      <c r="J8154" s="1"/>
    </row>
    <row r="8155" spans="10:10" x14ac:dyDescent="0.3">
      <c r="J8155" s="1"/>
    </row>
    <row r="8156" spans="10:10" x14ac:dyDescent="0.3">
      <c r="J8156" s="1"/>
    </row>
    <row r="8157" spans="10:10" x14ac:dyDescent="0.3">
      <c r="J8157" s="1"/>
    </row>
    <row r="8158" spans="10:10" x14ac:dyDescent="0.3">
      <c r="J8158" s="1"/>
    </row>
    <row r="8159" spans="10:10" x14ac:dyDescent="0.3">
      <c r="J8159" s="1"/>
    </row>
    <row r="8160" spans="10:10" x14ac:dyDescent="0.3">
      <c r="J8160" s="1"/>
    </row>
    <row r="8161" spans="10:10" x14ac:dyDescent="0.3">
      <c r="J8161" s="1"/>
    </row>
    <row r="8162" spans="10:10" x14ac:dyDescent="0.3">
      <c r="J8162" s="1"/>
    </row>
    <row r="8163" spans="10:10" x14ac:dyDescent="0.3">
      <c r="J8163" s="1"/>
    </row>
    <row r="8164" spans="10:10" x14ac:dyDescent="0.3">
      <c r="J8164" s="1"/>
    </row>
    <row r="8165" spans="10:10" x14ac:dyDescent="0.3">
      <c r="J8165" s="1"/>
    </row>
    <row r="8166" spans="10:10" x14ac:dyDescent="0.3">
      <c r="J8166" s="1"/>
    </row>
    <row r="8167" spans="10:10" x14ac:dyDescent="0.3">
      <c r="J8167" s="1"/>
    </row>
    <row r="8168" spans="10:10" x14ac:dyDescent="0.3">
      <c r="J8168" s="1"/>
    </row>
    <row r="8169" spans="10:10" x14ac:dyDescent="0.3">
      <c r="J8169" s="1"/>
    </row>
    <row r="8170" spans="10:10" x14ac:dyDescent="0.3">
      <c r="J8170" s="1"/>
    </row>
    <row r="8171" spans="10:10" x14ac:dyDescent="0.3">
      <c r="J8171" s="1"/>
    </row>
    <row r="8172" spans="10:10" x14ac:dyDescent="0.3">
      <c r="J8172" s="1"/>
    </row>
    <row r="8173" spans="10:10" x14ac:dyDescent="0.3">
      <c r="J8173" s="1"/>
    </row>
    <row r="8174" spans="10:10" x14ac:dyDescent="0.3">
      <c r="J8174" s="1"/>
    </row>
    <row r="8175" spans="10:10" x14ac:dyDescent="0.3">
      <c r="J8175" s="1"/>
    </row>
    <row r="8176" spans="10:10" x14ac:dyDescent="0.3">
      <c r="J8176" s="1"/>
    </row>
    <row r="8177" spans="10:10" x14ac:dyDescent="0.3">
      <c r="J8177" s="1"/>
    </row>
    <row r="8178" spans="10:10" x14ac:dyDescent="0.3">
      <c r="J8178" s="1"/>
    </row>
    <row r="8179" spans="10:10" x14ac:dyDescent="0.3">
      <c r="J8179" s="1"/>
    </row>
    <row r="8180" spans="10:10" x14ac:dyDescent="0.3">
      <c r="J8180" s="1"/>
    </row>
    <row r="8181" spans="10:10" x14ac:dyDescent="0.3">
      <c r="J8181" s="1"/>
    </row>
    <row r="8182" spans="10:10" x14ac:dyDescent="0.3">
      <c r="J8182" s="1"/>
    </row>
    <row r="8183" spans="10:10" x14ac:dyDescent="0.3">
      <c r="J8183" s="1"/>
    </row>
    <row r="8184" spans="10:10" x14ac:dyDescent="0.3">
      <c r="J8184" s="1"/>
    </row>
    <row r="8185" spans="10:10" x14ac:dyDescent="0.3">
      <c r="J8185" s="1"/>
    </row>
    <row r="8186" spans="10:10" x14ac:dyDescent="0.3">
      <c r="J8186" s="1"/>
    </row>
    <row r="8187" spans="10:10" x14ac:dyDescent="0.3">
      <c r="J8187" s="1"/>
    </row>
    <row r="8188" spans="10:10" x14ac:dyDescent="0.3">
      <c r="J8188" s="1"/>
    </row>
    <row r="8189" spans="10:10" x14ac:dyDescent="0.3">
      <c r="J8189" s="1"/>
    </row>
    <row r="8190" spans="10:10" x14ac:dyDescent="0.3">
      <c r="J8190" s="1"/>
    </row>
    <row r="8191" spans="10:10" x14ac:dyDescent="0.3">
      <c r="J8191" s="1"/>
    </row>
    <row r="8192" spans="10:10" x14ac:dyDescent="0.3">
      <c r="J8192" s="1"/>
    </row>
    <row r="8193" spans="10:10" x14ac:dyDescent="0.3">
      <c r="J8193" s="1"/>
    </row>
    <row r="8194" spans="10:10" x14ac:dyDescent="0.3">
      <c r="J8194" s="1"/>
    </row>
    <row r="8195" spans="10:10" x14ac:dyDescent="0.3">
      <c r="J8195" s="1"/>
    </row>
    <row r="8196" spans="10:10" x14ac:dyDescent="0.3">
      <c r="J8196" s="1"/>
    </row>
    <row r="8197" spans="10:10" x14ac:dyDescent="0.3">
      <c r="J8197" s="1"/>
    </row>
    <row r="8198" spans="10:10" x14ac:dyDescent="0.3">
      <c r="J8198" s="1"/>
    </row>
    <row r="8199" spans="10:10" x14ac:dyDescent="0.3">
      <c r="J8199" s="1"/>
    </row>
    <row r="8200" spans="10:10" x14ac:dyDescent="0.3">
      <c r="J8200" s="1"/>
    </row>
    <row r="8201" spans="10:10" x14ac:dyDescent="0.3">
      <c r="J8201" s="1"/>
    </row>
    <row r="8202" spans="10:10" x14ac:dyDescent="0.3">
      <c r="J8202" s="1"/>
    </row>
    <row r="8203" spans="10:10" x14ac:dyDescent="0.3">
      <c r="J8203" s="1"/>
    </row>
    <row r="8204" spans="10:10" x14ac:dyDescent="0.3">
      <c r="J8204" s="1"/>
    </row>
    <row r="8205" spans="10:10" x14ac:dyDescent="0.3">
      <c r="J8205" s="1"/>
    </row>
    <row r="8206" spans="10:10" x14ac:dyDescent="0.3">
      <c r="J8206" s="1"/>
    </row>
    <row r="8207" spans="10:10" x14ac:dyDescent="0.3">
      <c r="J8207" s="1"/>
    </row>
    <row r="8208" spans="10:10" x14ac:dyDescent="0.3">
      <c r="J8208" s="1"/>
    </row>
    <row r="8209" spans="10:10" x14ac:dyDescent="0.3">
      <c r="J8209" s="1"/>
    </row>
    <row r="8210" spans="10:10" x14ac:dyDescent="0.3">
      <c r="J8210" s="1"/>
    </row>
    <row r="8211" spans="10:10" x14ac:dyDescent="0.3">
      <c r="J8211" s="1"/>
    </row>
    <row r="8212" spans="10:10" x14ac:dyDescent="0.3">
      <c r="J8212" s="1"/>
    </row>
    <row r="8213" spans="10:10" x14ac:dyDescent="0.3">
      <c r="J8213" s="1"/>
    </row>
    <row r="8214" spans="10:10" x14ac:dyDescent="0.3">
      <c r="J8214" s="1"/>
    </row>
    <row r="8215" spans="10:10" x14ac:dyDescent="0.3">
      <c r="J8215" s="1"/>
    </row>
    <row r="8216" spans="10:10" x14ac:dyDescent="0.3">
      <c r="J8216" s="1"/>
    </row>
    <row r="8217" spans="10:10" x14ac:dyDescent="0.3">
      <c r="J8217" s="1"/>
    </row>
    <row r="8218" spans="10:10" x14ac:dyDescent="0.3">
      <c r="J8218" s="1"/>
    </row>
    <row r="8219" spans="10:10" x14ac:dyDescent="0.3">
      <c r="J8219" s="1"/>
    </row>
    <row r="8220" spans="10:10" x14ac:dyDescent="0.3">
      <c r="J8220" s="1"/>
    </row>
    <row r="8221" spans="10:10" x14ac:dyDescent="0.3">
      <c r="J8221" s="1"/>
    </row>
    <row r="8222" spans="10:10" x14ac:dyDescent="0.3">
      <c r="J8222" s="1"/>
    </row>
    <row r="8223" spans="10:10" x14ac:dyDescent="0.3">
      <c r="J8223" s="1"/>
    </row>
    <row r="8224" spans="10:10" x14ac:dyDescent="0.3">
      <c r="J8224" s="1"/>
    </row>
    <row r="8225" spans="10:10" x14ac:dyDescent="0.3">
      <c r="J8225" s="1"/>
    </row>
    <row r="8226" spans="10:10" x14ac:dyDescent="0.3">
      <c r="J8226" s="1"/>
    </row>
    <row r="8227" spans="10:10" x14ac:dyDescent="0.3">
      <c r="J8227" s="1"/>
    </row>
    <row r="8228" spans="10:10" x14ac:dyDescent="0.3">
      <c r="J8228" s="1"/>
    </row>
    <row r="8229" spans="10:10" x14ac:dyDescent="0.3">
      <c r="J8229" s="1"/>
    </row>
    <row r="8230" spans="10:10" x14ac:dyDescent="0.3">
      <c r="J8230" s="1"/>
    </row>
    <row r="8231" spans="10:10" x14ac:dyDescent="0.3">
      <c r="J8231" s="1"/>
    </row>
    <row r="8232" spans="10:10" x14ac:dyDescent="0.3">
      <c r="J8232" s="1"/>
    </row>
    <row r="8233" spans="10:10" x14ac:dyDescent="0.3">
      <c r="J8233" s="1"/>
    </row>
    <row r="8234" spans="10:10" x14ac:dyDescent="0.3">
      <c r="J8234" s="1"/>
    </row>
    <row r="8235" spans="10:10" x14ac:dyDescent="0.3">
      <c r="J8235" s="1"/>
    </row>
    <row r="8236" spans="10:10" x14ac:dyDescent="0.3">
      <c r="J8236" s="1"/>
    </row>
    <row r="8237" spans="10:10" x14ac:dyDescent="0.3">
      <c r="J8237" s="1"/>
    </row>
    <row r="8238" spans="10:10" x14ac:dyDescent="0.3">
      <c r="J8238" s="1"/>
    </row>
    <row r="8239" spans="10:10" x14ac:dyDescent="0.3">
      <c r="J8239" s="1"/>
    </row>
    <row r="8240" spans="10:10" x14ac:dyDescent="0.3">
      <c r="J8240" s="1"/>
    </row>
    <row r="8241" spans="10:10" x14ac:dyDescent="0.3">
      <c r="J8241" s="1"/>
    </row>
    <row r="8242" spans="10:10" x14ac:dyDescent="0.3">
      <c r="J8242" s="1"/>
    </row>
    <row r="8243" spans="10:10" x14ac:dyDescent="0.3">
      <c r="J8243" s="1"/>
    </row>
    <row r="8244" spans="10:10" x14ac:dyDescent="0.3">
      <c r="J8244" s="1"/>
    </row>
    <row r="8245" spans="10:10" x14ac:dyDescent="0.3">
      <c r="J8245" s="1"/>
    </row>
    <row r="8246" spans="10:10" x14ac:dyDescent="0.3">
      <c r="J8246" s="1"/>
    </row>
    <row r="8247" spans="10:10" x14ac:dyDescent="0.3">
      <c r="J8247" s="1"/>
    </row>
    <row r="8248" spans="10:10" x14ac:dyDescent="0.3">
      <c r="J8248" s="1"/>
    </row>
    <row r="8249" spans="10:10" x14ac:dyDescent="0.3">
      <c r="J8249" s="1"/>
    </row>
    <row r="8250" spans="10:10" x14ac:dyDescent="0.3">
      <c r="J8250" s="1"/>
    </row>
    <row r="8251" spans="10:10" x14ac:dyDescent="0.3">
      <c r="J8251" s="1"/>
    </row>
    <row r="8252" spans="10:10" x14ac:dyDescent="0.3">
      <c r="J8252" s="1"/>
    </row>
    <row r="8253" spans="10:10" x14ac:dyDescent="0.3">
      <c r="J8253" s="1"/>
    </row>
    <row r="8254" spans="10:10" x14ac:dyDescent="0.3">
      <c r="J8254" s="1"/>
    </row>
    <row r="8255" spans="10:10" x14ac:dyDescent="0.3">
      <c r="J8255" s="1"/>
    </row>
    <row r="8256" spans="10:10" x14ac:dyDescent="0.3">
      <c r="J8256" s="1"/>
    </row>
    <row r="8257" spans="10:10" x14ac:dyDescent="0.3">
      <c r="J8257" s="1"/>
    </row>
    <row r="8258" spans="10:10" x14ac:dyDescent="0.3">
      <c r="J8258" s="1"/>
    </row>
    <row r="8259" spans="10:10" x14ac:dyDescent="0.3">
      <c r="J8259" s="1"/>
    </row>
    <row r="8260" spans="10:10" x14ac:dyDescent="0.3">
      <c r="J8260" s="1"/>
    </row>
    <row r="8261" spans="10:10" x14ac:dyDescent="0.3">
      <c r="J8261" s="1"/>
    </row>
    <row r="8262" spans="10:10" x14ac:dyDescent="0.3">
      <c r="J8262" s="1"/>
    </row>
    <row r="8263" spans="10:10" x14ac:dyDescent="0.3">
      <c r="J8263" s="1"/>
    </row>
    <row r="8264" spans="10:10" x14ac:dyDescent="0.3">
      <c r="J8264" s="1"/>
    </row>
    <row r="8265" spans="10:10" x14ac:dyDescent="0.3">
      <c r="J8265" s="1"/>
    </row>
    <row r="8266" spans="10:10" x14ac:dyDescent="0.3">
      <c r="J8266" s="1"/>
    </row>
    <row r="8267" spans="10:10" x14ac:dyDescent="0.3">
      <c r="J8267" s="1"/>
    </row>
    <row r="8268" spans="10:10" x14ac:dyDescent="0.3">
      <c r="J8268" s="1"/>
    </row>
    <row r="8269" spans="10:10" x14ac:dyDescent="0.3">
      <c r="J8269" s="1"/>
    </row>
    <row r="8270" spans="10:10" x14ac:dyDescent="0.3">
      <c r="J8270" s="1"/>
    </row>
    <row r="8271" spans="10:10" x14ac:dyDescent="0.3">
      <c r="J8271" s="1"/>
    </row>
    <row r="8272" spans="10:10" x14ac:dyDescent="0.3">
      <c r="J8272" s="1"/>
    </row>
    <row r="8273" spans="10:10" x14ac:dyDescent="0.3">
      <c r="J8273" s="1"/>
    </row>
    <row r="8274" spans="10:10" x14ac:dyDescent="0.3">
      <c r="J8274" s="1"/>
    </row>
    <row r="8275" spans="10:10" x14ac:dyDescent="0.3">
      <c r="J8275" s="1"/>
    </row>
    <row r="8276" spans="10:10" x14ac:dyDescent="0.3">
      <c r="J8276" s="1"/>
    </row>
    <row r="8277" spans="10:10" x14ac:dyDescent="0.3">
      <c r="J8277" s="1"/>
    </row>
    <row r="8278" spans="10:10" x14ac:dyDescent="0.3">
      <c r="J8278" s="1"/>
    </row>
    <row r="8279" spans="10:10" x14ac:dyDescent="0.3">
      <c r="J8279" s="1"/>
    </row>
    <row r="8280" spans="10:10" x14ac:dyDescent="0.3">
      <c r="J8280" s="1"/>
    </row>
    <row r="8281" spans="10:10" x14ac:dyDescent="0.3">
      <c r="J8281" s="1"/>
    </row>
    <row r="8282" spans="10:10" x14ac:dyDescent="0.3">
      <c r="J8282" s="1"/>
    </row>
    <row r="8283" spans="10:10" x14ac:dyDescent="0.3">
      <c r="J8283" s="1"/>
    </row>
    <row r="8284" spans="10:10" x14ac:dyDescent="0.3">
      <c r="J8284" s="1"/>
    </row>
    <row r="8285" spans="10:10" x14ac:dyDescent="0.3">
      <c r="J8285" s="1"/>
    </row>
    <row r="8286" spans="10:10" x14ac:dyDescent="0.3">
      <c r="J8286" s="1"/>
    </row>
    <row r="8287" spans="10:10" x14ac:dyDescent="0.3">
      <c r="J8287" s="1"/>
    </row>
    <row r="8288" spans="10:10" x14ac:dyDescent="0.3">
      <c r="J8288" s="1"/>
    </row>
    <row r="8289" spans="10:10" x14ac:dyDescent="0.3">
      <c r="J8289" s="1"/>
    </row>
    <row r="8290" spans="10:10" x14ac:dyDescent="0.3">
      <c r="J8290" s="1"/>
    </row>
    <row r="8291" spans="10:10" x14ac:dyDescent="0.3">
      <c r="J8291" s="1"/>
    </row>
    <row r="8292" spans="10:10" x14ac:dyDescent="0.3">
      <c r="J8292" s="1"/>
    </row>
    <row r="8293" spans="10:10" x14ac:dyDescent="0.3">
      <c r="J8293" s="1"/>
    </row>
    <row r="8294" spans="10:10" x14ac:dyDescent="0.3">
      <c r="J8294" s="1"/>
    </row>
    <row r="8295" spans="10:10" x14ac:dyDescent="0.3">
      <c r="J8295" s="1"/>
    </row>
    <row r="8296" spans="10:10" x14ac:dyDescent="0.3">
      <c r="J8296" s="1"/>
    </row>
    <row r="8297" spans="10:10" x14ac:dyDescent="0.3">
      <c r="J8297" s="1"/>
    </row>
    <row r="8298" spans="10:10" x14ac:dyDescent="0.3">
      <c r="J8298" s="1"/>
    </row>
    <row r="8299" spans="10:10" x14ac:dyDescent="0.3">
      <c r="J8299" s="1"/>
    </row>
    <row r="8300" spans="10:10" x14ac:dyDescent="0.3">
      <c r="J8300" s="1"/>
    </row>
    <row r="8301" spans="10:10" x14ac:dyDescent="0.3">
      <c r="J8301" s="1"/>
    </row>
    <row r="8302" spans="10:10" x14ac:dyDescent="0.3">
      <c r="J8302" s="1"/>
    </row>
    <row r="8303" spans="10:10" x14ac:dyDescent="0.3">
      <c r="J8303" s="1"/>
    </row>
    <row r="8304" spans="10:10" x14ac:dyDescent="0.3">
      <c r="J8304" s="1"/>
    </row>
    <row r="8305" spans="10:10" x14ac:dyDescent="0.3">
      <c r="J8305" s="1"/>
    </row>
    <row r="8306" spans="10:10" x14ac:dyDescent="0.3">
      <c r="J8306" s="1"/>
    </row>
    <row r="8307" spans="10:10" x14ac:dyDescent="0.3">
      <c r="J8307" s="1"/>
    </row>
    <row r="8308" spans="10:10" x14ac:dyDescent="0.3">
      <c r="J8308" s="1"/>
    </row>
    <row r="8309" spans="10:10" x14ac:dyDescent="0.3">
      <c r="J8309" s="1"/>
    </row>
    <row r="8310" spans="10:10" x14ac:dyDescent="0.3">
      <c r="J8310" s="1"/>
    </row>
    <row r="8311" spans="10:10" x14ac:dyDescent="0.3">
      <c r="J8311" s="1"/>
    </row>
    <row r="8312" spans="10:10" x14ac:dyDescent="0.3">
      <c r="J8312" s="1"/>
    </row>
    <row r="8313" spans="10:10" x14ac:dyDescent="0.3">
      <c r="J8313" s="1"/>
    </row>
    <row r="8314" spans="10:10" x14ac:dyDescent="0.3">
      <c r="J8314" s="1"/>
    </row>
    <row r="8315" spans="10:10" x14ac:dyDescent="0.3">
      <c r="J8315" s="1"/>
    </row>
    <row r="8316" spans="10:10" x14ac:dyDescent="0.3">
      <c r="J8316" s="1"/>
    </row>
    <row r="8317" spans="10:10" x14ac:dyDescent="0.3">
      <c r="J8317" s="1"/>
    </row>
    <row r="8318" spans="10:10" x14ac:dyDescent="0.3">
      <c r="J8318" s="1"/>
    </row>
    <row r="8319" spans="10:10" x14ac:dyDescent="0.3">
      <c r="J8319" s="1"/>
    </row>
    <row r="8320" spans="10:10" x14ac:dyDescent="0.3">
      <c r="J8320" s="1"/>
    </row>
    <row r="8321" spans="10:10" x14ac:dyDescent="0.3">
      <c r="J8321" s="1"/>
    </row>
    <row r="8322" spans="10:10" x14ac:dyDescent="0.3">
      <c r="J8322" s="1"/>
    </row>
    <row r="8323" spans="10:10" x14ac:dyDescent="0.3">
      <c r="J8323" s="1"/>
    </row>
    <row r="8324" spans="10:10" x14ac:dyDescent="0.3">
      <c r="J8324" s="1"/>
    </row>
    <row r="8325" spans="10:10" x14ac:dyDescent="0.3">
      <c r="J8325" s="1"/>
    </row>
    <row r="8326" spans="10:10" x14ac:dyDescent="0.3">
      <c r="J8326" s="1"/>
    </row>
    <row r="8327" spans="10:10" x14ac:dyDescent="0.3">
      <c r="J8327" s="1"/>
    </row>
    <row r="8328" spans="10:10" x14ac:dyDescent="0.3">
      <c r="J8328" s="1"/>
    </row>
    <row r="8329" spans="10:10" x14ac:dyDescent="0.3">
      <c r="J8329" s="1"/>
    </row>
    <row r="8330" spans="10:10" x14ac:dyDescent="0.3">
      <c r="J8330" s="1"/>
    </row>
    <row r="8331" spans="10:10" x14ac:dyDescent="0.3">
      <c r="J8331" s="1"/>
    </row>
    <row r="8332" spans="10:10" x14ac:dyDescent="0.3">
      <c r="J8332" s="1"/>
    </row>
    <row r="8333" spans="10:10" x14ac:dyDescent="0.3">
      <c r="J8333" s="1"/>
    </row>
    <row r="8334" spans="10:10" x14ac:dyDescent="0.3">
      <c r="J8334" s="1"/>
    </row>
    <row r="8335" spans="10:10" x14ac:dyDescent="0.3">
      <c r="J8335" s="1"/>
    </row>
    <row r="8336" spans="10:10" x14ac:dyDescent="0.3">
      <c r="J8336" s="1"/>
    </row>
    <row r="8337" spans="10:10" x14ac:dyDescent="0.3">
      <c r="J8337" s="1"/>
    </row>
    <row r="8338" spans="10:10" x14ac:dyDescent="0.3">
      <c r="J8338" s="1"/>
    </row>
    <row r="8339" spans="10:10" x14ac:dyDescent="0.3">
      <c r="J8339" s="1"/>
    </row>
    <row r="8340" spans="10:10" x14ac:dyDescent="0.3">
      <c r="J8340" s="1"/>
    </row>
    <row r="8341" spans="10:10" x14ac:dyDescent="0.3">
      <c r="J8341" s="1"/>
    </row>
    <row r="8342" spans="10:10" x14ac:dyDescent="0.3">
      <c r="J8342" s="1"/>
    </row>
    <row r="8343" spans="10:10" x14ac:dyDescent="0.3">
      <c r="J8343" s="1"/>
    </row>
    <row r="8344" spans="10:10" x14ac:dyDescent="0.3">
      <c r="J8344" s="1"/>
    </row>
    <row r="8345" spans="10:10" x14ac:dyDescent="0.3">
      <c r="J8345" s="1"/>
    </row>
    <row r="8346" spans="10:10" x14ac:dyDescent="0.3">
      <c r="J8346" s="1"/>
    </row>
    <row r="8347" spans="10:10" x14ac:dyDescent="0.3">
      <c r="J8347" s="1"/>
    </row>
    <row r="8348" spans="10:10" x14ac:dyDescent="0.3">
      <c r="J8348" s="1"/>
    </row>
    <row r="8349" spans="10:10" x14ac:dyDescent="0.3">
      <c r="J8349" s="1"/>
    </row>
    <row r="8350" spans="10:10" x14ac:dyDescent="0.3">
      <c r="J8350" s="1"/>
    </row>
    <row r="8351" spans="10:10" x14ac:dyDescent="0.3">
      <c r="J8351" s="1"/>
    </row>
    <row r="8352" spans="10:10" x14ac:dyDescent="0.3">
      <c r="J8352" s="1"/>
    </row>
    <row r="8353" spans="10:10" x14ac:dyDescent="0.3">
      <c r="J8353" s="1"/>
    </row>
    <row r="8354" spans="10:10" x14ac:dyDescent="0.3">
      <c r="J8354" s="1"/>
    </row>
    <row r="8355" spans="10:10" x14ac:dyDescent="0.3">
      <c r="J8355" s="1"/>
    </row>
    <row r="8356" spans="10:10" x14ac:dyDescent="0.3">
      <c r="J8356" s="1"/>
    </row>
    <row r="8357" spans="10:10" x14ac:dyDescent="0.3">
      <c r="J8357" s="1"/>
    </row>
    <row r="8358" spans="10:10" x14ac:dyDescent="0.3">
      <c r="J8358" s="1"/>
    </row>
    <row r="8359" spans="10:10" x14ac:dyDescent="0.3">
      <c r="J8359" s="1"/>
    </row>
    <row r="8360" spans="10:10" x14ac:dyDescent="0.3">
      <c r="J8360" s="1"/>
    </row>
    <row r="8361" spans="10:10" x14ac:dyDescent="0.3">
      <c r="J8361" s="1"/>
    </row>
    <row r="8362" spans="10:10" x14ac:dyDescent="0.3">
      <c r="J8362" s="1"/>
    </row>
    <row r="8363" spans="10:10" x14ac:dyDescent="0.3">
      <c r="J8363" s="1"/>
    </row>
    <row r="8364" spans="10:10" x14ac:dyDescent="0.3">
      <c r="J8364" s="1"/>
    </row>
    <row r="8365" spans="10:10" x14ac:dyDescent="0.3">
      <c r="J8365" s="1"/>
    </row>
    <row r="8366" spans="10:10" x14ac:dyDescent="0.3">
      <c r="J8366" s="1"/>
    </row>
    <row r="8367" spans="10:10" x14ac:dyDescent="0.3">
      <c r="J8367" s="1"/>
    </row>
    <row r="8368" spans="10:10" x14ac:dyDescent="0.3">
      <c r="J8368" s="1"/>
    </row>
    <row r="8369" spans="10:10" x14ac:dyDescent="0.3">
      <c r="J8369" s="1"/>
    </row>
    <row r="8370" spans="10:10" x14ac:dyDescent="0.3">
      <c r="J8370" s="1"/>
    </row>
    <row r="8371" spans="10:10" x14ac:dyDescent="0.3">
      <c r="J8371" s="1"/>
    </row>
    <row r="8372" spans="10:10" x14ac:dyDescent="0.3">
      <c r="J8372" s="1"/>
    </row>
    <row r="8373" spans="10:10" x14ac:dyDescent="0.3">
      <c r="J8373" s="1"/>
    </row>
    <row r="8374" spans="10:10" x14ac:dyDescent="0.3">
      <c r="J8374" s="1"/>
    </row>
    <row r="8375" spans="10:10" x14ac:dyDescent="0.3">
      <c r="J8375" s="1"/>
    </row>
    <row r="8376" spans="10:10" x14ac:dyDescent="0.3">
      <c r="J8376" s="1"/>
    </row>
    <row r="8377" spans="10:10" x14ac:dyDescent="0.3">
      <c r="J8377" s="1"/>
    </row>
    <row r="8378" spans="10:10" x14ac:dyDescent="0.3">
      <c r="J8378" s="1"/>
    </row>
    <row r="8379" spans="10:10" x14ac:dyDescent="0.3">
      <c r="J8379" s="1"/>
    </row>
    <row r="8380" spans="10:10" x14ac:dyDescent="0.3">
      <c r="J8380" s="1"/>
    </row>
    <row r="8381" spans="10:10" x14ac:dyDescent="0.3">
      <c r="J8381" s="1"/>
    </row>
    <row r="8382" spans="10:10" x14ac:dyDescent="0.3">
      <c r="J8382" s="1"/>
    </row>
    <row r="8383" spans="10:10" x14ac:dyDescent="0.3">
      <c r="J8383" s="1"/>
    </row>
    <row r="8384" spans="10:10" x14ac:dyDescent="0.3">
      <c r="J8384" s="1"/>
    </row>
    <row r="8385" spans="10:10" x14ac:dyDescent="0.3">
      <c r="J8385" s="1"/>
    </row>
    <row r="8386" spans="10:10" x14ac:dyDescent="0.3">
      <c r="J8386" s="1"/>
    </row>
    <row r="8387" spans="10:10" x14ac:dyDescent="0.3">
      <c r="J8387" s="1"/>
    </row>
    <row r="8388" spans="10:10" x14ac:dyDescent="0.3">
      <c r="J8388" s="1"/>
    </row>
    <row r="8389" spans="10:10" x14ac:dyDescent="0.3">
      <c r="J8389" s="1"/>
    </row>
    <row r="8390" spans="10:10" x14ac:dyDescent="0.3">
      <c r="J8390" s="1"/>
    </row>
    <row r="8391" spans="10:10" x14ac:dyDescent="0.3">
      <c r="J8391" s="1"/>
    </row>
    <row r="8392" spans="10:10" x14ac:dyDescent="0.3">
      <c r="J8392" s="1"/>
    </row>
    <row r="8393" spans="10:10" x14ac:dyDescent="0.3">
      <c r="J8393" s="1"/>
    </row>
    <row r="8394" spans="10:10" x14ac:dyDescent="0.3">
      <c r="J8394" s="1"/>
    </row>
    <row r="8395" spans="10:10" x14ac:dyDescent="0.3">
      <c r="J8395" s="1"/>
    </row>
    <row r="8396" spans="10:10" x14ac:dyDescent="0.3">
      <c r="J8396" s="1"/>
    </row>
    <row r="8397" spans="10:10" x14ac:dyDescent="0.3">
      <c r="J8397" s="1"/>
    </row>
    <row r="8398" spans="10:10" x14ac:dyDescent="0.3">
      <c r="J8398" s="1"/>
    </row>
    <row r="8399" spans="10:10" x14ac:dyDescent="0.3">
      <c r="J8399" s="1"/>
    </row>
    <row r="8400" spans="10:10" x14ac:dyDescent="0.3">
      <c r="J8400" s="1"/>
    </row>
    <row r="8401" spans="10:10" x14ac:dyDescent="0.3">
      <c r="J8401" s="1"/>
    </row>
    <row r="8402" spans="10:10" x14ac:dyDescent="0.3">
      <c r="J8402" s="1"/>
    </row>
    <row r="8403" spans="10:10" x14ac:dyDescent="0.3">
      <c r="J8403" s="1"/>
    </row>
    <row r="8404" spans="10:10" x14ac:dyDescent="0.3">
      <c r="J8404" s="1"/>
    </row>
    <row r="8405" spans="10:10" x14ac:dyDescent="0.3">
      <c r="J8405" s="1"/>
    </row>
    <row r="8406" spans="10:10" x14ac:dyDescent="0.3">
      <c r="J8406" s="1"/>
    </row>
    <row r="8407" spans="10:10" x14ac:dyDescent="0.3">
      <c r="J8407" s="1"/>
    </row>
    <row r="8408" spans="10:10" x14ac:dyDescent="0.3">
      <c r="J8408" s="1"/>
    </row>
    <row r="8409" spans="10:10" x14ac:dyDescent="0.3">
      <c r="J8409" s="1"/>
    </row>
    <row r="8410" spans="10:10" x14ac:dyDescent="0.3">
      <c r="J8410" s="1"/>
    </row>
    <row r="8411" spans="10:10" x14ac:dyDescent="0.3">
      <c r="J8411" s="1"/>
    </row>
    <row r="8412" spans="10:10" x14ac:dyDescent="0.3">
      <c r="J8412" s="1"/>
    </row>
    <row r="8413" spans="10:10" x14ac:dyDescent="0.3">
      <c r="J8413" s="1"/>
    </row>
    <row r="8414" spans="10:10" x14ac:dyDescent="0.3">
      <c r="J8414" s="1"/>
    </row>
    <row r="8415" spans="10:10" x14ac:dyDescent="0.3">
      <c r="J8415" s="1"/>
    </row>
    <row r="8416" spans="10:10" x14ac:dyDescent="0.3">
      <c r="J8416" s="1"/>
    </row>
    <row r="8417" spans="10:10" x14ac:dyDescent="0.3">
      <c r="J8417" s="1"/>
    </row>
    <row r="8418" spans="10:10" x14ac:dyDescent="0.3">
      <c r="J8418" s="1"/>
    </row>
    <row r="8419" spans="10:10" x14ac:dyDescent="0.3">
      <c r="J8419" s="1"/>
    </row>
    <row r="8420" spans="10:10" x14ac:dyDescent="0.3">
      <c r="J8420" s="1"/>
    </row>
    <row r="8421" spans="10:10" x14ac:dyDescent="0.3">
      <c r="J8421" s="1"/>
    </row>
    <row r="8422" spans="10:10" x14ac:dyDescent="0.3">
      <c r="J8422" s="1"/>
    </row>
    <row r="8423" spans="10:10" x14ac:dyDescent="0.3">
      <c r="J8423" s="1"/>
    </row>
    <row r="8424" spans="10:10" x14ac:dyDescent="0.3">
      <c r="J8424" s="1"/>
    </row>
    <row r="8425" spans="10:10" x14ac:dyDescent="0.3">
      <c r="J8425" s="1"/>
    </row>
    <row r="8426" spans="10:10" x14ac:dyDescent="0.3">
      <c r="J8426" s="1"/>
    </row>
    <row r="8427" spans="10:10" x14ac:dyDescent="0.3">
      <c r="J8427" s="1"/>
    </row>
    <row r="8428" spans="10:10" x14ac:dyDescent="0.3">
      <c r="J8428" s="1"/>
    </row>
    <row r="8429" spans="10:10" x14ac:dyDescent="0.3">
      <c r="J8429" s="1"/>
    </row>
    <row r="8430" spans="10:10" x14ac:dyDescent="0.3">
      <c r="J8430" s="1"/>
    </row>
    <row r="8431" spans="10:10" x14ac:dyDescent="0.3">
      <c r="J8431" s="1"/>
    </row>
    <row r="8432" spans="10:10" x14ac:dyDescent="0.3">
      <c r="J8432" s="1"/>
    </row>
    <row r="8433" spans="10:10" x14ac:dyDescent="0.3">
      <c r="J8433" s="1"/>
    </row>
    <row r="8434" spans="10:10" x14ac:dyDescent="0.3">
      <c r="J8434" s="1"/>
    </row>
    <row r="8435" spans="10:10" x14ac:dyDescent="0.3">
      <c r="J8435" s="1"/>
    </row>
    <row r="8436" spans="10:10" x14ac:dyDescent="0.3">
      <c r="J8436" s="1"/>
    </row>
    <row r="8437" spans="10:10" x14ac:dyDescent="0.3">
      <c r="J8437" s="1"/>
    </row>
    <row r="8438" spans="10:10" x14ac:dyDescent="0.3">
      <c r="J8438" s="1"/>
    </row>
    <row r="8439" spans="10:10" x14ac:dyDescent="0.3">
      <c r="J8439" s="1"/>
    </row>
    <row r="8440" spans="10:10" x14ac:dyDescent="0.3">
      <c r="J8440" s="1"/>
    </row>
    <row r="8441" spans="10:10" x14ac:dyDescent="0.3">
      <c r="J8441" s="1"/>
    </row>
    <row r="8442" spans="10:10" x14ac:dyDescent="0.3">
      <c r="J8442" s="1"/>
    </row>
    <row r="8443" spans="10:10" x14ac:dyDescent="0.3">
      <c r="J8443" s="1"/>
    </row>
    <row r="8444" spans="10:10" x14ac:dyDescent="0.3">
      <c r="J8444" s="1"/>
    </row>
    <row r="8445" spans="10:10" x14ac:dyDescent="0.3">
      <c r="J8445" s="1"/>
    </row>
    <row r="8446" spans="10:10" x14ac:dyDescent="0.3">
      <c r="J8446" s="1"/>
    </row>
    <row r="8447" spans="10:10" x14ac:dyDescent="0.3">
      <c r="J8447" s="1"/>
    </row>
    <row r="8448" spans="10:10" x14ac:dyDescent="0.3">
      <c r="J8448" s="1"/>
    </row>
    <row r="8449" spans="10:10" x14ac:dyDescent="0.3">
      <c r="J8449" s="1"/>
    </row>
    <row r="8450" spans="10:10" x14ac:dyDescent="0.3">
      <c r="J8450" s="1"/>
    </row>
    <row r="8451" spans="10:10" x14ac:dyDescent="0.3">
      <c r="J8451" s="1"/>
    </row>
    <row r="8452" spans="10:10" x14ac:dyDescent="0.3">
      <c r="J8452" s="1"/>
    </row>
    <row r="8453" spans="10:10" x14ac:dyDescent="0.3">
      <c r="J8453" s="1"/>
    </row>
    <row r="8454" spans="10:10" x14ac:dyDescent="0.3">
      <c r="J8454" s="1"/>
    </row>
    <row r="8455" spans="10:10" x14ac:dyDescent="0.3">
      <c r="J8455" s="1"/>
    </row>
    <row r="8456" spans="10:10" x14ac:dyDescent="0.3">
      <c r="J8456" s="1"/>
    </row>
    <row r="8457" spans="10:10" x14ac:dyDescent="0.3">
      <c r="J8457" s="1"/>
    </row>
    <row r="8458" spans="10:10" x14ac:dyDescent="0.3">
      <c r="J8458" s="1"/>
    </row>
    <row r="8459" spans="10:10" x14ac:dyDescent="0.3">
      <c r="J8459" s="1"/>
    </row>
    <row r="8460" spans="10:10" x14ac:dyDescent="0.3">
      <c r="J8460" s="1"/>
    </row>
    <row r="8461" spans="10:10" x14ac:dyDescent="0.3">
      <c r="J8461" s="1"/>
    </row>
    <row r="8462" spans="10:10" x14ac:dyDescent="0.3">
      <c r="J8462" s="1"/>
    </row>
    <row r="8463" spans="10:10" x14ac:dyDescent="0.3">
      <c r="J8463" s="1"/>
    </row>
    <row r="8464" spans="10:10" x14ac:dyDescent="0.3">
      <c r="J8464" s="1"/>
    </row>
    <row r="8465" spans="10:10" x14ac:dyDescent="0.3">
      <c r="J8465" s="1"/>
    </row>
    <row r="8466" spans="10:10" x14ac:dyDescent="0.3">
      <c r="J8466" s="1"/>
    </row>
    <row r="8467" spans="10:10" x14ac:dyDescent="0.3">
      <c r="J8467" s="1"/>
    </row>
    <row r="8468" spans="10:10" x14ac:dyDescent="0.3">
      <c r="J8468" s="1"/>
    </row>
    <row r="8469" spans="10:10" x14ac:dyDescent="0.3">
      <c r="J8469" s="1"/>
    </row>
    <row r="8470" spans="10:10" x14ac:dyDescent="0.3">
      <c r="J8470" s="1"/>
    </row>
    <row r="8471" spans="10:10" x14ac:dyDescent="0.3">
      <c r="J8471" s="1"/>
    </row>
    <row r="8472" spans="10:10" x14ac:dyDescent="0.3">
      <c r="J8472" s="1"/>
    </row>
    <row r="8473" spans="10:10" x14ac:dyDescent="0.3">
      <c r="J8473" s="1"/>
    </row>
    <row r="8474" spans="10:10" x14ac:dyDescent="0.3">
      <c r="J8474" s="1"/>
    </row>
    <row r="8475" spans="10:10" x14ac:dyDescent="0.3">
      <c r="J8475" s="1"/>
    </row>
    <row r="8476" spans="10:10" x14ac:dyDescent="0.3">
      <c r="J8476" s="1"/>
    </row>
    <row r="8477" spans="10:10" x14ac:dyDescent="0.3">
      <c r="J8477" s="1"/>
    </row>
    <row r="8478" spans="10:10" x14ac:dyDescent="0.3">
      <c r="J8478" s="1"/>
    </row>
    <row r="8479" spans="10:10" x14ac:dyDescent="0.3">
      <c r="J8479" s="1"/>
    </row>
    <row r="8480" spans="10:10" x14ac:dyDescent="0.3">
      <c r="J8480" s="1"/>
    </row>
    <row r="8481" spans="10:10" x14ac:dyDescent="0.3">
      <c r="J8481" s="1"/>
    </row>
    <row r="8482" spans="10:10" x14ac:dyDescent="0.3">
      <c r="J8482" s="1"/>
    </row>
    <row r="8483" spans="10:10" x14ac:dyDescent="0.3">
      <c r="J8483" s="1"/>
    </row>
    <row r="8484" spans="10:10" x14ac:dyDescent="0.3">
      <c r="J8484" s="1"/>
    </row>
    <row r="8485" spans="10:10" x14ac:dyDescent="0.3">
      <c r="J8485" s="1"/>
    </row>
    <row r="8486" spans="10:10" x14ac:dyDescent="0.3">
      <c r="J8486" s="1"/>
    </row>
    <row r="8487" spans="10:10" x14ac:dyDescent="0.3">
      <c r="J8487" s="1"/>
    </row>
    <row r="8488" spans="10:10" x14ac:dyDescent="0.3">
      <c r="J8488" s="1"/>
    </row>
    <row r="8489" spans="10:10" x14ac:dyDescent="0.3">
      <c r="J8489" s="1"/>
    </row>
    <row r="8490" spans="10:10" x14ac:dyDescent="0.3">
      <c r="J8490" s="1"/>
    </row>
    <row r="8491" spans="10:10" x14ac:dyDescent="0.3">
      <c r="J8491" s="1"/>
    </row>
    <row r="8492" spans="10:10" x14ac:dyDescent="0.3">
      <c r="J8492" s="1"/>
    </row>
    <row r="8493" spans="10:10" x14ac:dyDescent="0.3">
      <c r="J8493" s="1"/>
    </row>
    <row r="8494" spans="10:10" x14ac:dyDescent="0.3">
      <c r="J8494" s="1"/>
    </row>
    <row r="8495" spans="10:10" x14ac:dyDescent="0.3">
      <c r="J8495" s="1"/>
    </row>
    <row r="8496" spans="10:10" x14ac:dyDescent="0.3">
      <c r="J8496" s="1"/>
    </row>
    <row r="8497" spans="10:10" x14ac:dyDescent="0.3">
      <c r="J8497" s="1"/>
    </row>
    <row r="8498" spans="10:10" x14ac:dyDescent="0.3">
      <c r="J8498" s="1"/>
    </row>
    <row r="8499" spans="10:10" x14ac:dyDescent="0.3">
      <c r="J8499" s="1"/>
    </row>
    <row r="8500" spans="10:10" x14ac:dyDescent="0.3">
      <c r="J8500" s="1"/>
    </row>
    <row r="8501" spans="10:10" x14ac:dyDescent="0.3">
      <c r="J8501" s="1"/>
    </row>
    <row r="8502" spans="10:10" x14ac:dyDescent="0.3">
      <c r="J8502" s="1"/>
    </row>
    <row r="8503" spans="10:10" x14ac:dyDescent="0.3">
      <c r="J8503" s="1"/>
    </row>
    <row r="8504" spans="10:10" x14ac:dyDescent="0.3">
      <c r="J8504" s="1"/>
    </row>
    <row r="8505" spans="10:10" x14ac:dyDescent="0.3">
      <c r="J8505" s="1"/>
    </row>
    <row r="8506" spans="10:10" x14ac:dyDescent="0.3">
      <c r="J8506" s="1"/>
    </row>
    <row r="8507" spans="10:10" x14ac:dyDescent="0.3">
      <c r="J8507" s="1"/>
    </row>
    <row r="8508" spans="10:10" x14ac:dyDescent="0.3">
      <c r="J8508" s="1"/>
    </row>
    <row r="8509" spans="10:10" x14ac:dyDescent="0.3">
      <c r="J8509" s="1"/>
    </row>
    <row r="8510" spans="10:10" x14ac:dyDescent="0.3">
      <c r="J8510" s="1"/>
    </row>
    <row r="8511" spans="10:10" x14ac:dyDescent="0.3">
      <c r="J8511" s="1"/>
    </row>
    <row r="8512" spans="10:10" x14ac:dyDescent="0.3">
      <c r="J8512" s="1"/>
    </row>
    <row r="8513" spans="10:10" x14ac:dyDescent="0.3">
      <c r="J8513" s="1"/>
    </row>
    <row r="8514" spans="10:10" x14ac:dyDescent="0.3">
      <c r="J8514" s="1"/>
    </row>
    <row r="8515" spans="10:10" x14ac:dyDescent="0.3">
      <c r="J8515" s="1"/>
    </row>
    <row r="8516" spans="10:10" x14ac:dyDescent="0.3">
      <c r="J8516" s="1"/>
    </row>
    <row r="8517" spans="10:10" x14ac:dyDescent="0.3">
      <c r="J8517" s="1"/>
    </row>
    <row r="8518" spans="10:10" x14ac:dyDescent="0.3">
      <c r="J8518" s="1"/>
    </row>
    <row r="8519" spans="10:10" x14ac:dyDescent="0.3">
      <c r="J8519" s="1"/>
    </row>
    <row r="8520" spans="10:10" x14ac:dyDescent="0.3">
      <c r="J8520" s="1"/>
    </row>
    <row r="8521" spans="10:10" x14ac:dyDescent="0.3">
      <c r="J8521" s="1"/>
    </row>
    <row r="8522" spans="10:10" x14ac:dyDescent="0.3">
      <c r="J8522" s="1"/>
    </row>
    <row r="8523" spans="10:10" x14ac:dyDescent="0.3">
      <c r="J8523" s="1"/>
    </row>
    <row r="8524" spans="10:10" x14ac:dyDescent="0.3">
      <c r="J8524" s="1"/>
    </row>
    <row r="8525" spans="10:10" x14ac:dyDescent="0.3">
      <c r="J8525" s="1"/>
    </row>
    <row r="8526" spans="10:10" x14ac:dyDescent="0.3">
      <c r="J8526" s="1"/>
    </row>
    <row r="8527" spans="10:10" x14ac:dyDescent="0.3">
      <c r="J8527" s="1"/>
    </row>
    <row r="8528" spans="10:10" x14ac:dyDescent="0.3">
      <c r="J8528" s="1"/>
    </row>
    <row r="8529" spans="10:10" x14ac:dyDescent="0.3">
      <c r="J8529" s="1"/>
    </row>
    <row r="8530" spans="10:10" x14ac:dyDescent="0.3">
      <c r="J8530" s="1"/>
    </row>
    <row r="8531" spans="10:10" x14ac:dyDescent="0.3">
      <c r="J8531" s="1"/>
    </row>
    <row r="8532" spans="10:10" x14ac:dyDescent="0.3">
      <c r="J8532" s="1"/>
    </row>
    <row r="8533" spans="10:10" x14ac:dyDescent="0.3">
      <c r="J8533" s="1"/>
    </row>
    <row r="8534" spans="10:10" x14ac:dyDescent="0.3">
      <c r="J8534" s="1"/>
    </row>
    <row r="8535" spans="10:10" x14ac:dyDescent="0.3">
      <c r="J8535" s="1"/>
    </row>
    <row r="8536" spans="10:10" x14ac:dyDescent="0.3">
      <c r="J8536" s="1"/>
    </row>
    <row r="8537" spans="10:10" x14ac:dyDescent="0.3">
      <c r="J8537" s="1"/>
    </row>
    <row r="8538" spans="10:10" x14ac:dyDescent="0.3">
      <c r="J8538" s="1"/>
    </row>
    <row r="8539" spans="10:10" x14ac:dyDescent="0.3">
      <c r="J8539" s="1"/>
    </row>
    <row r="8540" spans="10:10" x14ac:dyDescent="0.3">
      <c r="J8540" s="1"/>
    </row>
    <row r="8541" spans="10:10" x14ac:dyDescent="0.3">
      <c r="J8541" s="1"/>
    </row>
    <row r="8542" spans="10:10" x14ac:dyDescent="0.3">
      <c r="J8542" s="1"/>
    </row>
    <row r="8543" spans="10:10" x14ac:dyDescent="0.3">
      <c r="J8543" s="1"/>
    </row>
    <row r="8544" spans="10:10" x14ac:dyDescent="0.3">
      <c r="J8544" s="1"/>
    </row>
    <row r="8545" spans="10:10" x14ac:dyDescent="0.3">
      <c r="J8545" s="1"/>
    </row>
    <row r="8546" spans="10:10" x14ac:dyDescent="0.3">
      <c r="J8546" s="1"/>
    </row>
    <row r="8547" spans="10:10" x14ac:dyDescent="0.3">
      <c r="J8547" s="1"/>
    </row>
    <row r="8548" spans="10:10" x14ac:dyDescent="0.3">
      <c r="J8548" s="1"/>
    </row>
    <row r="8549" spans="10:10" x14ac:dyDescent="0.3">
      <c r="J8549" s="1"/>
    </row>
    <row r="8550" spans="10:10" x14ac:dyDescent="0.3">
      <c r="J8550" s="1"/>
    </row>
    <row r="8551" spans="10:10" x14ac:dyDescent="0.3">
      <c r="J8551" s="1"/>
    </row>
    <row r="8552" spans="10:10" x14ac:dyDescent="0.3">
      <c r="J8552" s="1"/>
    </row>
    <row r="8553" spans="10:10" x14ac:dyDescent="0.3">
      <c r="J8553" s="1"/>
    </row>
    <row r="8554" spans="10:10" x14ac:dyDescent="0.3">
      <c r="J8554" s="1"/>
    </row>
    <row r="8555" spans="10:10" x14ac:dyDescent="0.3">
      <c r="J8555" s="1"/>
    </row>
    <row r="8556" spans="10:10" x14ac:dyDescent="0.3">
      <c r="J8556" s="1"/>
    </row>
    <row r="8557" spans="10:10" x14ac:dyDescent="0.3">
      <c r="J8557" s="1"/>
    </row>
    <row r="8558" spans="10:10" x14ac:dyDescent="0.3">
      <c r="J8558" s="1"/>
    </row>
    <row r="8559" spans="10:10" x14ac:dyDescent="0.3">
      <c r="J8559" s="1"/>
    </row>
    <row r="8560" spans="10:10" x14ac:dyDescent="0.3">
      <c r="J8560" s="1"/>
    </row>
    <row r="8561" spans="10:10" x14ac:dyDescent="0.3">
      <c r="J8561" s="1"/>
    </row>
    <row r="8562" spans="10:10" x14ac:dyDescent="0.3">
      <c r="J8562" s="1"/>
    </row>
    <row r="8563" spans="10:10" x14ac:dyDescent="0.3">
      <c r="J8563" s="1"/>
    </row>
    <row r="8564" spans="10:10" x14ac:dyDescent="0.3">
      <c r="J8564" s="1"/>
    </row>
    <row r="8565" spans="10:10" x14ac:dyDescent="0.3">
      <c r="J8565" s="1"/>
    </row>
    <row r="8566" spans="10:10" x14ac:dyDescent="0.3">
      <c r="J8566" s="1"/>
    </row>
    <row r="8567" spans="10:10" x14ac:dyDescent="0.3">
      <c r="J8567" s="1"/>
    </row>
    <row r="8568" spans="10:10" x14ac:dyDescent="0.3">
      <c r="J8568" s="1"/>
    </row>
    <row r="8569" spans="10:10" x14ac:dyDescent="0.3">
      <c r="J8569" s="1"/>
    </row>
    <row r="8570" spans="10:10" x14ac:dyDescent="0.3">
      <c r="J8570" s="1"/>
    </row>
    <row r="8571" spans="10:10" x14ac:dyDescent="0.3">
      <c r="J8571" s="1"/>
    </row>
    <row r="8572" spans="10:10" x14ac:dyDescent="0.3">
      <c r="J8572" s="1"/>
    </row>
    <row r="8573" spans="10:10" x14ac:dyDescent="0.3">
      <c r="J8573" s="1"/>
    </row>
    <row r="8574" spans="10:10" x14ac:dyDescent="0.3">
      <c r="J8574" s="1"/>
    </row>
    <row r="8575" spans="10:10" x14ac:dyDescent="0.3">
      <c r="J8575" s="1"/>
    </row>
    <row r="8576" spans="10:10" x14ac:dyDescent="0.3">
      <c r="J8576" s="1"/>
    </row>
    <row r="8577" spans="10:10" x14ac:dyDescent="0.3">
      <c r="J8577" s="1"/>
    </row>
    <row r="8578" spans="10:10" x14ac:dyDescent="0.3">
      <c r="J8578" s="1"/>
    </row>
    <row r="8579" spans="10:10" x14ac:dyDescent="0.3">
      <c r="J8579" s="1"/>
    </row>
    <row r="8580" spans="10:10" x14ac:dyDescent="0.3">
      <c r="J8580" s="1"/>
    </row>
    <row r="8581" spans="10:10" x14ac:dyDescent="0.3">
      <c r="J8581" s="1"/>
    </row>
    <row r="8582" spans="10:10" x14ac:dyDescent="0.3">
      <c r="J8582" s="1"/>
    </row>
    <row r="8583" spans="10:10" x14ac:dyDescent="0.3">
      <c r="J8583" s="1"/>
    </row>
    <row r="8584" spans="10:10" x14ac:dyDescent="0.3">
      <c r="J8584" s="1"/>
    </row>
    <row r="8585" spans="10:10" x14ac:dyDescent="0.3">
      <c r="J8585" s="1"/>
    </row>
    <row r="8586" spans="10:10" x14ac:dyDescent="0.3">
      <c r="J8586" s="1"/>
    </row>
    <row r="8587" spans="10:10" x14ac:dyDescent="0.3">
      <c r="J8587" s="1"/>
    </row>
    <row r="8588" spans="10:10" x14ac:dyDescent="0.3">
      <c r="J8588" s="1"/>
    </row>
    <row r="8589" spans="10:10" x14ac:dyDescent="0.3">
      <c r="J8589" s="1"/>
    </row>
    <row r="8590" spans="10:10" x14ac:dyDescent="0.3">
      <c r="J8590" s="1"/>
    </row>
    <row r="8591" spans="10:10" x14ac:dyDescent="0.3">
      <c r="J8591" s="1"/>
    </row>
    <row r="8592" spans="10:10" x14ac:dyDescent="0.3">
      <c r="J8592" s="1"/>
    </row>
    <row r="8593" spans="10:10" x14ac:dyDescent="0.3">
      <c r="J8593" s="1"/>
    </row>
    <row r="8594" spans="10:10" x14ac:dyDescent="0.3">
      <c r="J8594" s="1"/>
    </row>
    <row r="8595" spans="10:10" x14ac:dyDescent="0.3">
      <c r="J8595" s="1"/>
    </row>
    <row r="8596" spans="10:10" x14ac:dyDescent="0.3">
      <c r="J8596" s="1"/>
    </row>
    <row r="8597" spans="10:10" x14ac:dyDescent="0.3">
      <c r="J8597" s="1"/>
    </row>
    <row r="8598" spans="10:10" x14ac:dyDescent="0.3">
      <c r="J8598" s="1"/>
    </row>
    <row r="8599" spans="10:10" x14ac:dyDescent="0.3">
      <c r="J8599" s="1"/>
    </row>
    <row r="8600" spans="10:10" x14ac:dyDescent="0.3">
      <c r="J8600" s="1"/>
    </row>
    <row r="8601" spans="10:10" x14ac:dyDescent="0.3">
      <c r="J8601" s="1"/>
    </row>
    <row r="8602" spans="10:10" x14ac:dyDescent="0.3">
      <c r="J8602" s="1"/>
    </row>
    <row r="8603" spans="10:10" x14ac:dyDescent="0.3">
      <c r="J8603" s="1"/>
    </row>
    <row r="8604" spans="10:10" x14ac:dyDescent="0.3">
      <c r="J8604" s="1"/>
    </row>
    <row r="8605" spans="10:10" x14ac:dyDescent="0.3">
      <c r="J8605" s="1"/>
    </row>
    <row r="8606" spans="10:10" x14ac:dyDescent="0.3">
      <c r="J8606" s="1"/>
    </row>
    <row r="8607" spans="10:10" x14ac:dyDescent="0.3">
      <c r="J8607" s="1"/>
    </row>
    <row r="8608" spans="10:10" x14ac:dyDescent="0.3">
      <c r="J8608" s="1"/>
    </row>
    <row r="8609" spans="10:10" x14ac:dyDescent="0.3">
      <c r="J8609" s="1"/>
    </row>
    <row r="8610" spans="10:10" x14ac:dyDescent="0.3">
      <c r="J8610" s="1"/>
    </row>
    <row r="8611" spans="10:10" x14ac:dyDescent="0.3">
      <c r="J8611" s="1"/>
    </row>
    <row r="8612" spans="10:10" x14ac:dyDescent="0.3">
      <c r="J8612" s="1"/>
    </row>
    <row r="8613" spans="10:10" x14ac:dyDescent="0.3">
      <c r="J8613" s="1"/>
    </row>
    <row r="8614" spans="10:10" x14ac:dyDescent="0.3">
      <c r="J8614" s="1"/>
    </row>
    <row r="8615" spans="10:10" x14ac:dyDescent="0.3">
      <c r="J8615" s="1"/>
    </row>
    <row r="8616" spans="10:10" x14ac:dyDescent="0.3">
      <c r="J8616" s="1"/>
    </row>
    <row r="8617" spans="10:10" x14ac:dyDescent="0.3">
      <c r="J8617" s="1"/>
    </row>
    <row r="8618" spans="10:10" x14ac:dyDescent="0.3">
      <c r="J8618" s="1"/>
    </row>
    <row r="8619" spans="10:10" x14ac:dyDescent="0.3">
      <c r="J8619" s="1"/>
    </row>
    <row r="8620" spans="10:10" x14ac:dyDescent="0.3">
      <c r="J8620" s="1"/>
    </row>
    <row r="8621" spans="10:10" x14ac:dyDescent="0.3">
      <c r="J8621" s="1"/>
    </row>
    <row r="8622" spans="10:10" x14ac:dyDescent="0.3">
      <c r="J8622" s="1"/>
    </row>
    <row r="8623" spans="10:10" x14ac:dyDescent="0.3">
      <c r="J8623" s="1"/>
    </row>
    <row r="8624" spans="10:10" x14ac:dyDescent="0.3">
      <c r="J8624" s="1"/>
    </row>
    <row r="8625" spans="10:10" x14ac:dyDescent="0.3">
      <c r="J8625" s="1"/>
    </row>
    <row r="8626" spans="10:10" x14ac:dyDescent="0.3">
      <c r="J8626" s="1"/>
    </row>
    <row r="8627" spans="10:10" x14ac:dyDescent="0.3">
      <c r="J8627" s="1"/>
    </row>
    <row r="8628" spans="10:10" x14ac:dyDescent="0.3">
      <c r="J8628" s="1"/>
    </row>
    <row r="8629" spans="10:10" x14ac:dyDescent="0.3">
      <c r="J8629" s="1"/>
    </row>
    <row r="8630" spans="10:10" x14ac:dyDescent="0.3">
      <c r="J8630" s="1"/>
    </row>
    <row r="8631" spans="10:10" x14ac:dyDescent="0.3">
      <c r="J8631" s="1"/>
    </row>
    <row r="8632" spans="10:10" x14ac:dyDescent="0.3">
      <c r="J8632" s="1"/>
    </row>
    <row r="8633" spans="10:10" x14ac:dyDescent="0.3">
      <c r="J8633" s="1"/>
    </row>
    <row r="8634" spans="10:10" x14ac:dyDescent="0.3">
      <c r="J8634" s="1"/>
    </row>
    <row r="8635" spans="10:10" x14ac:dyDescent="0.3">
      <c r="J8635" s="1"/>
    </row>
    <row r="8636" spans="10:10" x14ac:dyDescent="0.3">
      <c r="J8636" s="1"/>
    </row>
    <row r="8637" spans="10:10" x14ac:dyDescent="0.3">
      <c r="J8637" s="1"/>
    </row>
    <row r="8638" spans="10:10" x14ac:dyDescent="0.3">
      <c r="J8638" s="1"/>
    </row>
    <row r="8639" spans="10:10" x14ac:dyDescent="0.3">
      <c r="J8639" s="1"/>
    </row>
    <row r="8640" spans="10:10" x14ac:dyDescent="0.3">
      <c r="J8640" s="1"/>
    </row>
    <row r="8641" spans="10:10" x14ac:dyDescent="0.3">
      <c r="J8641" s="1"/>
    </row>
    <row r="8642" spans="10:10" x14ac:dyDescent="0.3">
      <c r="J8642" s="1"/>
    </row>
    <row r="8643" spans="10:10" x14ac:dyDescent="0.3">
      <c r="J8643" s="1"/>
    </row>
    <row r="8644" spans="10:10" x14ac:dyDescent="0.3">
      <c r="J8644" s="1"/>
    </row>
    <row r="8645" spans="10:10" x14ac:dyDescent="0.3">
      <c r="J8645" s="1"/>
    </row>
    <row r="8646" spans="10:10" x14ac:dyDescent="0.3">
      <c r="J8646" s="1"/>
    </row>
    <row r="8647" spans="10:10" x14ac:dyDescent="0.3">
      <c r="J8647" s="1"/>
    </row>
    <row r="8648" spans="10:10" x14ac:dyDescent="0.3">
      <c r="J8648" s="1"/>
    </row>
    <row r="8649" spans="10:10" x14ac:dyDescent="0.3">
      <c r="J8649" s="1"/>
    </row>
    <row r="8650" spans="10:10" x14ac:dyDescent="0.3">
      <c r="J8650" s="1"/>
    </row>
    <row r="8651" spans="10:10" x14ac:dyDescent="0.3">
      <c r="J8651" s="1"/>
    </row>
    <row r="8652" spans="10:10" x14ac:dyDescent="0.3">
      <c r="J8652" s="1"/>
    </row>
    <row r="8653" spans="10:10" x14ac:dyDescent="0.3">
      <c r="J8653" s="1"/>
    </row>
    <row r="8654" spans="10:10" x14ac:dyDescent="0.3">
      <c r="J8654" s="1"/>
    </row>
    <row r="8655" spans="10:10" x14ac:dyDescent="0.3">
      <c r="J8655" s="1"/>
    </row>
    <row r="8656" spans="10:10" x14ac:dyDescent="0.3">
      <c r="J8656" s="1"/>
    </row>
    <row r="8657" spans="10:10" x14ac:dyDescent="0.3">
      <c r="J8657" s="1"/>
    </row>
    <row r="8658" spans="10:10" x14ac:dyDescent="0.3">
      <c r="J8658" s="1"/>
    </row>
    <row r="8659" spans="10:10" x14ac:dyDescent="0.3">
      <c r="J8659" s="1"/>
    </row>
    <row r="8660" spans="10:10" x14ac:dyDescent="0.3">
      <c r="J8660" s="1"/>
    </row>
    <row r="8661" spans="10:10" x14ac:dyDescent="0.3">
      <c r="J8661" s="1"/>
    </row>
    <row r="8662" spans="10:10" x14ac:dyDescent="0.3">
      <c r="J8662" s="1"/>
    </row>
    <row r="8663" spans="10:10" x14ac:dyDescent="0.3">
      <c r="J8663" s="1"/>
    </row>
    <row r="8664" spans="10:10" x14ac:dyDescent="0.3">
      <c r="J8664" s="1"/>
    </row>
    <row r="8665" spans="10:10" x14ac:dyDescent="0.3">
      <c r="J8665" s="1"/>
    </row>
    <row r="8666" spans="10:10" x14ac:dyDescent="0.3">
      <c r="J8666" s="1"/>
    </row>
    <row r="8667" spans="10:10" x14ac:dyDescent="0.3">
      <c r="J8667" s="1"/>
    </row>
    <row r="8668" spans="10:10" x14ac:dyDescent="0.3">
      <c r="J8668" s="1"/>
    </row>
    <row r="8669" spans="10:10" x14ac:dyDescent="0.3">
      <c r="J8669" s="1"/>
    </row>
    <row r="8670" spans="10:10" x14ac:dyDescent="0.3">
      <c r="J8670" s="1"/>
    </row>
    <row r="8671" spans="10:10" x14ac:dyDescent="0.3">
      <c r="J8671" s="1"/>
    </row>
    <row r="8672" spans="10:10" x14ac:dyDescent="0.3">
      <c r="J8672" s="1"/>
    </row>
    <row r="8673" spans="10:10" x14ac:dyDescent="0.3">
      <c r="J8673" s="1"/>
    </row>
    <row r="8674" spans="10:10" x14ac:dyDescent="0.3">
      <c r="J8674" s="1"/>
    </row>
    <row r="8675" spans="10:10" x14ac:dyDescent="0.3">
      <c r="J8675" s="1"/>
    </row>
    <row r="8676" spans="10:10" x14ac:dyDescent="0.3">
      <c r="J8676" s="1"/>
    </row>
    <row r="8677" spans="10:10" x14ac:dyDescent="0.3">
      <c r="J8677" s="1"/>
    </row>
    <row r="8678" spans="10:10" x14ac:dyDescent="0.3">
      <c r="J8678" s="1"/>
    </row>
    <row r="8679" spans="10:10" x14ac:dyDescent="0.3">
      <c r="J8679" s="1"/>
    </row>
    <row r="8680" spans="10:10" x14ac:dyDescent="0.3">
      <c r="J8680" s="1"/>
    </row>
    <row r="8681" spans="10:10" x14ac:dyDescent="0.3">
      <c r="J8681" s="1"/>
    </row>
    <row r="8682" spans="10:10" x14ac:dyDescent="0.3">
      <c r="J8682" s="1"/>
    </row>
    <row r="8683" spans="10:10" x14ac:dyDescent="0.3">
      <c r="J8683" s="1"/>
    </row>
    <row r="8684" spans="10:10" x14ac:dyDescent="0.3">
      <c r="J8684" s="1"/>
    </row>
    <row r="8685" spans="10:10" x14ac:dyDescent="0.3">
      <c r="J8685" s="1"/>
    </row>
    <row r="8686" spans="10:10" x14ac:dyDescent="0.3">
      <c r="J8686" s="1"/>
    </row>
    <row r="8687" spans="10:10" x14ac:dyDescent="0.3">
      <c r="J8687" s="1"/>
    </row>
    <row r="8688" spans="10:10" x14ac:dyDescent="0.3">
      <c r="J8688" s="1"/>
    </row>
    <row r="8689" spans="10:10" x14ac:dyDescent="0.3">
      <c r="J8689" s="1"/>
    </row>
    <row r="8690" spans="10:10" x14ac:dyDescent="0.3">
      <c r="J8690" s="1"/>
    </row>
    <row r="8691" spans="10:10" x14ac:dyDescent="0.3">
      <c r="J8691" s="1"/>
    </row>
    <row r="8692" spans="10:10" x14ac:dyDescent="0.3">
      <c r="J8692" s="1"/>
    </row>
    <row r="8693" spans="10:10" x14ac:dyDescent="0.3">
      <c r="J8693" s="1"/>
    </row>
    <row r="8694" spans="10:10" x14ac:dyDescent="0.3">
      <c r="J8694" s="1"/>
    </row>
    <row r="8695" spans="10:10" x14ac:dyDescent="0.3">
      <c r="J8695" s="1"/>
    </row>
    <row r="8696" spans="10:10" x14ac:dyDescent="0.3">
      <c r="J8696" s="1"/>
    </row>
    <row r="8697" spans="10:10" x14ac:dyDescent="0.3">
      <c r="J8697" s="1"/>
    </row>
    <row r="8698" spans="10:10" x14ac:dyDescent="0.3">
      <c r="J8698" s="1"/>
    </row>
    <row r="8699" spans="10:10" x14ac:dyDescent="0.3">
      <c r="J8699" s="1"/>
    </row>
    <row r="8700" spans="10:10" x14ac:dyDescent="0.3">
      <c r="J8700" s="1"/>
    </row>
    <row r="8701" spans="10:10" x14ac:dyDescent="0.3">
      <c r="J8701" s="1"/>
    </row>
    <row r="8702" spans="10:10" x14ac:dyDescent="0.3">
      <c r="J8702" s="1"/>
    </row>
    <row r="8703" spans="10:10" x14ac:dyDescent="0.3">
      <c r="J8703" s="1"/>
    </row>
    <row r="8704" spans="10:10" x14ac:dyDescent="0.3">
      <c r="J8704" s="1"/>
    </row>
    <row r="8705" spans="10:10" x14ac:dyDescent="0.3">
      <c r="J8705" s="1"/>
    </row>
    <row r="8706" spans="10:10" x14ac:dyDescent="0.3">
      <c r="J8706" s="1"/>
    </row>
    <row r="8707" spans="10:10" x14ac:dyDescent="0.3">
      <c r="J8707" s="1"/>
    </row>
    <row r="8708" spans="10:10" x14ac:dyDescent="0.3">
      <c r="J8708" s="1"/>
    </row>
    <row r="8709" spans="10:10" x14ac:dyDescent="0.3">
      <c r="J8709" s="1"/>
    </row>
    <row r="8710" spans="10:10" x14ac:dyDescent="0.3">
      <c r="J8710" s="1"/>
    </row>
    <row r="8711" spans="10:10" x14ac:dyDescent="0.3">
      <c r="J8711" s="1"/>
    </row>
    <row r="8712" spans="10:10" x14ac:dyDescent="0.3">
      <c r="J8712" s="1"/>
    </row>
    <row r="8713" spans="10:10" x14ac:dyDescent="0.3">
      <c r="J8713" s="1"/>
    </row>
    <row r="8714" spans="10:10" x14ac:dyDescent="0.3">
      <c r="J8714" s="1"/>
    </row>
    <row r="8715" spans="10:10" x14ac:dyDescent="0.3">
      <c r="J8715" s="1"/>
    </row>
    <row r="8716" spans="10:10" x14ac:dyDescent="0.3">
      <c r="J8716" s="1"/>
    </row>
    <row r="8717" spans="10:10" x14ac:dyDescent="0.3">
      <c r="J8717" s="1"/>
    </row>
    <row r="8718" spans="10:10" x14ac:dyDescent="0.3">
      <c r="J8718" s="1"/>
    </row>
    <row r="8719" spans="10:10" x14ac:dyDescent="0.3">
      <c r="J8719" s="1"/>
    </row>
    <row r="8720" spans="10:10" x14ac:dyDescent="0.3">
      <c r="J8720" s="1"/>
    </row>
    <row r="8721" spans="10:10" x14ac:dyDescent="0.3">
      <c r="J8721" s="1"/>
    </row>
    <row r="8722" spans="10:10" x14ac:dyDescent="0.3">
      <c r="J8722" s="1"/>
    </row>
    <row r="8723" spans="10:10" x14ac:dyDescent="0.3">
      <c r="J8723" s="1"/>
    </row>
    <row r="8724" spans="10:10" x14ac:dyDescent="0.3">
      <c r="J8724" s="1"/>
    </row>
    <row r="8725" spans="10:10" x14ac:dyDescent="0.3">
      <c r="J8725" s="1"/>
    </row>
    <row r="8726" spans="10:10" x14ac:dyDescent="0.3">
      <c r="J8726" s="1"/>
    </row>
    <row r="8727" spans="10:10" x14ac:dyDescent="0.3">
      <c r="J8727" s="1"/>
    </row>
    <row r="8728" spans="10:10" x14ac:dyDescent="0.3">
      <c r="J8728" s="1"/>
    </row>
    <row r="8729" spans="10:10" x14ac:dyDescent="0.3">
      <c r="J8729" s="1"/>
    </row>
    <row r="8730" spans="10:10" x14ac:dyDescent="0.3">
      <c r="J8730" s="1"/>
    </row>
    <row r="8731" spans="10:10" x14ac:dyDescent="0.3">
      <c r="J8731" s="1"/>
    </row>
    <row r="8732" spans="10:10" x14ac:dyDescent="0.3">
      <c r="J8732" s="1"/>
    </row>
    <row r="8733" spans="10:10" x14ac:dyDescent="0.3">
      <c r="J8733" s="1"/>
    </row>
    <row r="8734" spans="10:10" x14ac:dyDescent="0.3">
      <c r="J8734" s="1"/>
    </row>
    <row r="8735" spans="10:10" x14ac:dyDescent="0.3">
      <c r="J8735" s="1"/>
    </row>
    <row r="8736" spans="10:10" x14ac:dyDescent="0.3">
      <c r="J8736" s="1"/>
    </row>
    <row r="8737" spans="10:10" x14ac:dyDescent="0.3">
      <c r="J8737" s="1"/>
    </row>
    <row r="8738" spans="10:10" x14ac:dyDescent="0.3">
      <c r="J8738" s="1"/>
    </row>
    <row r="8739" spans="10:10" x14ac:dyDescent="0.3">
      <c r="J8739" s="1"/>
    </row>
    <row r="8740" spans="10:10" x14ac:dyDescent="0.3">
      <c r="J8740" s="1"/>
    </row>
    <row r="8741" spans="10:10" x14ac:dyDescent="0.3">
      <c r="J8741" s="1"/>
    </row>
    <row r="8742" spans="10:10" x14ac:dyDescent="0.3">
      <c r="J8742" s="1"/>
    </row>
    <row r="8743" spans="10:10" x14ac:dyDescent="0.3">
      <c r="J8743" s="1"/>
    </row>
    <row r="8744" spans="10:10" x14ac:dyDescent="0.3">
      <c r="J8744" s="1"/>
    </row>
    <row r="8745" spans="10:10" x14ac:dyDescent="0.3">
      <c r="J8745" s="1"/>
    </row>
    <row r="8746" spans="10:10" x14ac:dyDescent="0.3">
      <c r="J8746" s="1"/>
    </row>
    <row r="8747" spans="10:10" x14ac:dyDescent="0.3">
      <c r="J8747" s="1"/>
    </row>
    <row r="8748" spans="10:10" x14ac:dyDescent="0.3">
      <c r="J8748" s="1"/>
    </row>
    <row r="8749" spans="10:10" x14ac:dyDescent="0.3">
      <c r="J8749" s="1"/>
    </row>
    <row r="8750" spans="10:10" x14ac:dyDescent="0.3">
      <c r="J8750" s="1"/>
    </row>
    <row r="8751" spans="10:10" x14ac:dyDescent="0.3">
      <c r="J8751" s="1"/>
    </row>
    <row r="8752" spans="10:10" x14ac:dyDescent="0.3">
      <c r="J8752" s="1"/>
    </row>
    <row r="8753" spans="10:10" x14ac:dyDescent="0.3">
      <c r="J8753" s="1"/>
    </row>
    <row r="8754" spans="10:10" x14ac:dyDescent="0.3">
      <c r="J8754" s="1"/>
    </row>
    <row r="8755" spans="10:10" x14ac:dyDescent="0.3">
      <c r="J8755" s="1"/>
    </row>
    <row r="8756" spans="10:10" x14ac:dyDescent="0.3">
      <c r="J8756" s="1"/>
    </row>
    <row r="8757" spans="10:10" x14ac:dyDescent="0.3">
      <c r="J8757" s="1"/>
    </row>
    <row r="8758" spans="10:10" x14ac:dyDescent="0.3">
      <c r="J8758" s="1"/>
    </row>
    <row r="8759" spans="10:10" x14ac:dyDescent="0.3">
      <c r="J8759" s="1"/>
    </row>
    <row r="8760" spans="10:10" x14ac:dyDescent="0.3">
      <c r="J8760" s="1"/>
    </row>
    <row r="8761" spans="10:10" x14ac:dyDescent="0.3">
      <c r="J8761" s="1"/>
    </row>
    <row r="8762" spans="10:10" x14ac:dyDescent="0.3">
      <c r="J8762" s="1"/>
    </row>
    <row r="8763" spans="10:10" x14ac:dyDescent="0.3">
      <c r="J8763" s="1"/>
    </row>
    <row r="8764" spans="10:10" x14ac:dyDescent="0.3">
      <c r="J8764" s="1"/>
    </row>
    <row r="8765" spans="10:10" x14ac:dyDescent="0.3">
      <c r="J8765" s="1"/>
    </row>
    <row r="8766" spans="10:10" x14ac:dyDescent="0.3">
      <c r="J8766" s="1"/>
    </row>
    <row r="8767" spans="10:10" x14ac:dyDescent="0.3">
      <c r="J8767" s="1"/>
    </row>
    <row r="8768" spans="10:10" x14ac:dyDescent="0.3">
      <c r="J8768" s="1"/>
    </row>
    <row r="8769" spans="10:10" x14ac:dyDescent="0.3">
      <c r="J8769" s="1"/>
    </row>
    <row r="8770" spans="10:10" x14ac:dyDescent="0.3">
      <c r="J8770" s="1"/>
    </row>
    <row r="8771" spans="10:10" x14ac:dyDescent="0.3">
      <c r="J8771" s="1"/>
    </row>
    <row r="8772" spans="10:10" x14ac:dyDescent="0.3">
      <c r="J8772" s="1"/>
    </row>
    <row r="8773" spans="10:10" x14ac:dyDescent="0.3">
      <c r="J8773" s="1"/>
    </row>
    <row r="8774" spans="10:10" x14ac:dyDescent="0.3">
      <c r="J8774" s="1"/>
    </row>
    <row r="8775" spans="10:10" x14ac:dyDescent="0.3">
      <c r="J8775" s="1"/>
    </row>
    <row r="8776" spans="10:10" x14ac:dyDescent="0.3">
      <c r="J8776" s="1"/>
    </row>
    <row r="8777" spans="10:10" x14ac:dyDescent="0.3">
      <c r="J8777" s="1"/>
    </row>
    <row r="8778" spans="10:10" x14ac:dyDescent="0.3">
      <c r="J8778" s="1"/>
    </row>
    <row r="8779" spans="10:10" x14ac:dyDescent="0.3">
      <c r="J8779" s="1"/>
    </row>
    <row r="8780" spans="10:10" x14ac:dyDescent="0.3">
      <c r="J8780" s="1"/>
    </row>
    <row r="8781" spans="10:10" x14ac:dyDescent="0.3">
      <c r="J8781" s="1"/>
    </row>
    <row r="8782" spans="10:10" x14ac:dyDescent="0.3">
      <c r="J8782" s="1"/>
    </row>
    <row r="8783" spans="10:10" x14ac:dyDescent="0.3">
      <c r="J8783" s="1"/>
    </row>
    <row r="8784" spans="10:10" x14ac:dyDescent="0.3">
      <c r="J8784" s="1"/>
    </row>
    <row r="8785" spans="10:10" x14ac:dyDescent="0.3">
      <c r="J8785" s="1"/>
    </row>
    <row r="8786" spans="10:10" x14ac:dyDescent="0.3">
      <c r="J8786" s="1"/>
    </row>
    <row r="8787" spans="10:10" x14ac:dyDescent="0.3">
      <c r="J8787" s="1"/>
    </row>
    <row r="8788" spans="10:10" x14ac:dyDescent="0.3">
      <c r="J8788" s="1"/>
    </row>
    <row r="8789" spans="10:10" x14ac:dyDescent="0.3">
      <c r="J8789" s="1"/>
    </row>
    <row r="8790" spans="10:10" x14ac:dyDescent="0.3">
      <c r="J8790" s="1"/>
    </row>
    <row r="8791" spans="10:10" x14ac:dyDescent="0.3">
      <c r="J8791" s="1"/>
    </row>
    <row r="8792" spans="10:10" x14ac:dyDescent="0.3">
      <c r="J8792" s="1"/>
    </row>
    <row r="8793" spans="10:10" x14ac:dyDescent="0.3">
      <c r="J8793" s="1"/>
    </row>
    <row r="8794" spans="10:10" x14ac:dyDescent="0.3">
      <c r="J8794" s="1"/>
    </row>
    <row r="8795" spans="10:10" x14ac:dyDescent="0.3">
      <c r="J8795" s="1"/>
    </row>
    <row r="8796" spans="10:10" x14ac:dyDescent="0.3">
      <c r="J8796" s="1"/>
    </row>
    <row r="8797" spans="10:10" x14ac:dyDescent="0.3">
      <c r="J8797" s="1"/>
    </row>
    <row r="8798" spans="10:10" x14ac:dyDescent="0.3">
      <c r="J8798" s="1"/>
    </row>
    <row r="8799" spans="10:10" x14ac:dyDescent="0.3">
      <c r="J8799" s="1"/>
    </row>
    <row r="8800" spans="10:10" x14ac:dyDescent="0.3">
      <c r="J8800" s="1"/>
    </row>
    <row r="8801" spans="10:10" x14ac:dyDescent="0.3">
      <c r="J8801" s="1"/>
    </row>
    <row r="8802" spans="10:10" x14ac:dyDescent="0.3">
      <c r="J8802" s="1"/>
    </row>
    <row r="8803" spans="10:10" x14ac:dyDescent="0.3">
      <c r="J8803" s="1"/>
    </row>
    <row r="8804" spans="10:10" x14ac:dyDescent="0.3">
      <c r="J8804" s="1"/>
    </row>
    <row r="8805" spans="10:10" x14ac:dyDescent="0.3">
      <c r="J8805" s="1"/>
    </row>
    <row r="8806" spans="10:10" x14ac:dyDescent="0.3">
      <c r="J8806" s="1"/>
    </row>
    <row r="8807" spans="10:10" x14ac:dyDescent="0.3">
      <c r="J8807" s="1"/>
    </row>
    <row r="8808" spans="10:10" x14ac:dyDescent="0.3">
      <c r="J8808" s="1"/>
    </row>
    <row r="8809" spans="10:10" x14ac:dyDescent="0.3">
      <c r="J8809" s="1"/>
    </row>
    <row r="8810" spans="10:10" x14ac:dyDescent="0.3">
      <c r="J8810" s="1"/>
    </row>
    <row r="8811" spans="10:10" x14ac:dyDescent="0.3">
      <c r="J8811" s="1"/>
    </row>
    <row r="8812" spans="10:10" x14ac:dyDescent="0.3">
      <c r="J8812" s="1"/>
    </row>
    <row r="8813" spans="10:10" x14ac:dyDescent="0.3">
      <c r="J8813" s="1"/>
    </row>
    <row r="8814" spans="10:10" x14ac:dyDescent="0.3">
      <c r="J8814" s="1"/>
    </row>
    <row r="8815" spans="10:10" x14ac:dyDescent="0.3">
      <c r="J8815" s="1"/>
    </row>
    <row r="8816" spans="10:10" x14ac:dyDescent="0.3">
      <c r="J8816" s="1"/>
    </row>
    <row r="8817" spans="10:10" x14ac:dyDescent="0.3">
      <c r="J8817" s="1"/>
    </row>
    <row r="8818" spans="10:10" x14ac:dyDescent="0.3">
      <c r="J8818" s="1"/>
    </row>
    <row r="8819" spans="10:10" x14ac:dyDescent="0.3">
      <c r="J8819" s="1"/>
    </row>
    <row r="8820" spans="10:10" x14ac:dyDescent="0.3">
      <c r="J8820" s="1"/>
    </row>
    <row r="8821" spans="10:10" x14ac:dyDescent="0.3">
      <c r="J8821" s="1"/>
    </row>
    <row r="8822" spans="10:10" x14ac:dyDescent="0.3">
      <c r="J8822" s="1"/>
    </row>
    <row r="8823" spans="10:10" x14ac:dyDescent="0.3">
      <c r="J8823" s="1"/>
    </row>
    <row r="8824" spans="10:10" x14ac:dyDescent="0.3">
      <c r="J8824" s="1"/>
    </row>
    <row r="8825" spans="10:10" x14ac:dyDescent="0.3">
      <c r="J8825" s="1"/>
    </row>
    <row r="8826" spans="10:10" x14ac:dyDescent="0.3">
      <c r="J8826" s="1"/>
    </row>
    <row r="8827" spans="10:10" x14ac:dyDescent="0.3">
      <c r="J8827" s="1"/>
    </row>
    <row r="8828" spans="10:10" x14ac:dyDescent="0.3">
      <c r="J8828" s="1"/>
    </row>
    <row r="8829" spans="10:10" x14ac:dyDescent="0.3">
      <c r="J8829" s="1"/>
    </row>
    <row r="8830" spans="10:10" x14ac:dyDescent="0.3">
      <c r="J8830" s="1"/>
    </row>
    <row r="8831" spans="10:10" x14ac:dyDescent="0.3">
      <c r="J8831" s="1"/>
    </row>
    <row r="8832" spans="10:10" x14ac:dyDescent="0.3">
      <c r="J8832" s="1"/>
    </row>
    <row r="8833" spans="10:10" x14ac:dyDescent="0.3">
      <c r="J8833" s="1"/>
    </row>
    <row r="8834" spans="10:10" x14ac:dyDescent="0.3">
      <c r="J8834" s="1"/>
    </row>
    <row r="8835" spans="10:10" x14ac:dyDescent="0.3">
      <c r="J8835" s="1"/>
    </row>
    <row r="8836" spans="10:10" x14ac:dyDescent="0.3">
      <c r="J8836" s="1"/>
    </row>
    <row r="8837" spans="10:10" x14ac:dyDescent="0.3">
      <c r="J8837" s="1"/>
    </row>
    <row r="8838" spans="10:10" x14ac:dyDescent="0.3">
      <c r="J8838" s="1"/>
    </row>
    <row r="8839" spans="10:10" x14ac:dyDescent="0.3">
      <c r="J8839" s="1"/>
    </row>
    <row r="8840" spans="10:10" x14ac:dyDescent="0.3">
      <c r="J8840" s="1"/>
    </row>
    <row r="8841" spans="10:10" x14ac:dyDescent="0.3">
      <c r="J8841" s="1"/>
    </row>
    <row r="8842" spans="10:10" x14ac:dyDescent="0.3">
      <c r="J8842" s="1"/>
    </row>
    <row r="8843" spans="10:10" x14ac:dyDescent="0.3">
      <c r="J8843" s="1"/>
    </row>
    <row r="8844" spans="10:10" x14ac:dyDescent="0.3">
      <c r="J8844" s="1"/>
    </row>
    <row r="8845" spans="10:10" x14ac:dyDescent="0.3">
      <c r="J8845" s="1"/>
    </row>
    <row r="8846" spans="10:10" x14ac:dyDescent="0.3">
      <c r="J8846" s="1"/>
    </row>
    <row r="8847" spans="10:10" x14ac:dyDescent="0.3">
      <c r="J8847" s="1"/>
    </row>
    <row r="8848" spans="10:10" x14ac:dyDescent="0.3">
      <c r="J8848" s="1"/>
    </row>
    <row r="8849" spans="10:10" x14ac:dyDescent="0.3">
      <c r="J8849" s="1"/>
    </row>
    <row r="8850" spans="10:10" x14ac:dyDescent="0.3">
      <c r="J8850" s="1"/>
    </row>
    <row r="8851" spans="10:10" x14ac:dyDescent="0.3">
      <c r="J8851" s="1"/>
    </row>
    <row r="8852" spans="10:10" x14ac:dyDescent="0.3">
      <c r="J8852" s="1"/>
    </row>
    <row r="8853" spans="10:10" x14ac:dyDescent="0.3">
      <c r="J8853" s="1"/>
    </row>
    <row r="8854" spans="10:10" x14ac:dyDescent="0.3">
      <c r="J8854" s="1"/>
    </row>
    <row r="8855" spans="10:10" x14ac:dyDescent="0.3">
      <c r="J8855" s="1"/>
    </row>
    <row r="8856" spans="10:10" x14ac:dyDescent="0.3">
      <c r="J8856" s="1"/>
    </row>
    <row r="8857" spans="10:10" x14ac:dyDescent="0.3">
      <c r="J8857" s="1"/>
    </row>
    <row r="8858" spans="10:10" x14ac:dyDescent="0.3">
      <c r="J8858" s="1"/>
    </row>
    <row r="8859" spans="10:10" x14ac:dyDescent="0.3">
      <c r="J8859" s="1"/>
    </row>
    <row r="8860" spans="10:10" x14ac:dyDescent="0.3">
      <c r="J8860" s="1"/>
    </row>
    <row r="8861" spans="10:10" x14ac:dyDescent="0.3">
      <c r="J8861" s="1"/>
    </row>
    <row r="8862" spans="10:10" x14ac:dyDescent="0.3">
      <c r="J8862" s="1"/>
    </row>
    <row r="8863" spans="10:10" x14ac:dyDescent="0.3">
      <c r="J8863" s="1"/>
    </row>
    <row r="8864" spans="10:10" x14ac:dyDescent="0.3">
      <c r="J8864" s="1"/>
    </row>
    <row r="8865" spans="10:10" x14ac:dyDescent="0.3">
      <c r="J8865" s="1"/>
    </row>
    <row r="8866" spans="10:10" x14ac:dyDescent="0.3">
      <c r="J8866" s="1"/>
    </row>
    <row r="8867" spans="10:10" x14ac:dyDescent="0.3">
      <c r="J8867" s="1"/>
    </row>
    <row r="8868" spans="10:10" x14ac:dyDescent="0.3">
      <c r="J8868" s="1"/>
    </row>
    <row r="8869" spans="10:10" x14ac:dyDescent="0.3">
      <c r="J8869" s="1"/>
    </row>
    <row r="8870" spans="10:10" x14ac:dyDescent="0.3">
      <c r="J8870" s="1"/>
    </row>
    <row r="8871" spans="10:10" x14ac:dyDescent="0.3">
      <c r="J8871" s="1"/>
    </row>
    <row r="8872" spans="10:10" x14ac:dyDescent="0.3">
      <c r="J8872" s="1"/>
    </row>
    <row r="8873" spans="10:10" x14ac:dyDescent="0.3">
      <c r="J8873" s="1"/>
    </row>
    <row r="8874" spans="10:10" x14ac:dyDescent="0.3">
      <c r="J8874" s="1"/>
    </row>
    <row r="8875" spans="10:10" x14ac:dyDescent="0.3">
      <c r="J8875" s="1"/>
    </row>
    <row r="8876" spans="10:10" x14ac:dyDescent="0.3">
      <c r="J8876" s="1"/>
    </row>
    <row r="8877" spans="10:10" x14ac:dyDescent="0.3">
      <c r="J8877" s="1"/>
    </row>
    <row r="8878" spans="10:10" x14ac:dyDescent="0.3">
      <c r="J8878" s="1"/>
    </row>
    <row r="8879" spans="10:10" x14ac:dyDescent="0.3">
      <c r="J8879" s="1"/>
    </row>
    <row r="8880" spans="10:10" x14ac:dyDescent="0.3">
      <c r="J8880" s="1"/>
    </row>
    <row r="8881" spans="10:10" x14ac:dyDescent="0.3">
      <c r="J8881" s="1"/>
    </row>
    <row r="8882" spans="10:10" x14ac:dyDescent="0.3">
      <c r="J8882" s="1"/>
    </row>
    <row r="8883" spans="10:10" x14ac:dyDescent="0.3">
      <c r="J8883" s="1"/>
    </row>
    <row r="8884" spans="10:10" x14ac:dyDescent="0.3">
      <c r="J8884" s="1"/>
    </row>
    <row r="8885" spans="10:10" x14ac:dyDescent="0.3">
      <c r="J8885" s="1"/>
    </row>
    <row r="8886" spans="10:10" x14ac:dyDescent="0.3">
      <c r="J8886" s="1"/>
    </row>
    <row r="8887" spans="10:10" x14ac:dyDescent="0.3">
      <c r="J8887" s="1"/>
    </row>
    <row r="8888" spans="10:10" x14ac:dyDescent="0.3">
      <c r="J8888" s="1"/>
    </row>
    <row r="8889" spans="10:10" x14ac:dyDescent="0.3">
      <c r="J8889" s="1"/>
    </row>
    <row r="8890" spans="10:10" x14ac:dyDescent="0.3">
      <c r="J8890" s="1"/>
    </row>
    <row r="8891" spans="10:10" x14ac:dyDescent="0.3">
      <c r="J8891" s="1"/>
    </row>
    <row r="8892" spans="10:10" x14ac:dyDescent="0.3">
      <c r="J8892" s="1"/>
    </row>
    <row r="8893" spans="10:10" x14ac:dyDescent="0.3">
      <c r="J8893" s="1"/>
    </row>
    <row r="8894" spans="10:10" x14ac:dyDescent="0.3">
      <c r="J8894" s="1"/>
    </row>
    <row r="8895" spans="10:10" x14ac:dyDescent="0.3">
      <c r="J8895" s="1"/>
    </row>
    <row r="8896" spans="10:10" x14ac:dyDescent="0.3">
      <c r="J8896" s="1"/>
    </row>
    <row r="8897" spans="10:10" x14ac:dyDescent="0.3">
      <c r="J8897" s="1"/>
    </row>
    <row r="8898" spans="10:10" x14ac:dyDescent="0.3">
      <c r="J8898" s="1"/>
    </row>
    <row r="8899" spans="10:10" x14ac:dyDescent="0.3">
      <c r="J8899" s="1"/>
    </row>
    <row r="8900" spans="10:10" x14ac:dyDescent="0.3">
      <c r="J8900" s="1"/>
    </row>
    <row r="8901" spans="10:10" x14ac:dyDescent="0.3">
      <c r="J8901" s="1"/>
    </row>
    <row r="8902" spans="10:10" x14ac:dyDescent="0.3">
      <c r="J8902" s="1"/>
    </row>
    <row r="8903" spans="10:10" x14ac:dyDescent="0.3">
      <c r="J8903" s="1"/>
    </row>
    <row r="8904" spans="10:10" x14ac:dyDescent="0.3">
      <c r="J8904" s="1"/>
    </row>
    <row r="8905" spans="10:10" x14ac:dyDescent="0.3">
      <c r="J8905" s="1"/>
    </row>
    <row r="8906" spans="10:10" x14ac:dyDescent="0.3">
      <c r="J8906" s="1"/>
    </row>
    <row r="8907" spans="10:10" x14ac:dyDescent="0.3">
      <c r="J8907" s="1"/>
    </row>
    <row r="8908" spans="10:10" x14ac:dyDescent="0.3">
      <c r="J8908" s="1"/>
    </row>
    <row r="8909" spans="10:10" x14ac:dyDescent="0.3">
      <c r="J8909" s="1"/>
    </row>
    <row r="8910" spans="10:10" x14ac:dyDescent="0.3">
      <c r="J8910" s="1"/>
    </row>
    <row r="8911" spans="10:10" x14ac:dyDescent="0.3">
      <c r="J8911" s="1"/>
    </row>
    <row r="8912" spans="10:10" x14ac:dyDescent="0.3">
      <c r="J8912" s="1"/>
    </row>
    <row r="8913" spans="10:10" x14ac:dyDescent="0.3">
      <c r="J8913" s="1"/>
    </row>
    <row r="8914" spans="10:10" x14ac:dyDescent="0.3">
      <c r="J8914" s="1"/>
    </row>
    <row r="8915" spans="10:10" x14ac:dyDescent="0.3">
      <c r="J8915" s="1"/>
    </row>
    <row r="8916" spans="10:10" x14ac:dyDescent="0.3">
      <c r="J8916" s="1"/>
    </row>
    <row r="8917" spans="10:10" x14ac:dyDescent="0.3">
      <c r="J8917" s="1"/>
    </row>
    <row r="8918" spans="10:10" x14ac:dyDescent="0.3">
      <c r="J8918" s="1"/>
    </row>
    <row r="8919" spans="10:10" x14ac:dyDescent="0.3">
      <c r="J8919" s="1"/>
    </row>
    <row r="8920" spans="10:10" x14ac:dyDescent="0.3">
      <c r="J8920" s="1"/>
    </row>
    <row r="8921" spans="10:10" x14ac:dyDescent="0.3">
      <c r="J8921" s="1"/>
    </row>
    <row r="8922" spans="10:10" x14ac:dyDescent="0.3">
      <c r="J8922" s="1"/>
    </row>
    <row r="8923" spans="10:10" x14ac:dyDescent="0.3">
      <c r="J8923" s="1"/>
    </row>
    <row r="8924" spans="10:10" x14ac:dyDescent="0.3">
      <c r="J8924" s="1"/>
    </row>
    <row r="8925" spans="10:10" x14ac:dyDescent="0.3">
      <c r="J8925" s="1"/>
    </row>
    <row r="8926" spans="10:10" x14ac:dyDescent="0.3">
      <c r="J8926" s="1"/>
    </row>
    <row r="8927" spans="10:10" x14ac:dyDescent="0.3">
      <c r="J8927" s="1"/>
    </row>
    <row r="8928" spans="10:10" x14ac:dyDescent="0.3">
      <c r="J8928" s="1"/>
    </row>
    <row r="8929" spans="10:10" x14ac:dyDescent="0.3">
      <c r="J8929" s="1"/>
    </row>
    <row r="8930" spans="10:10" x14ac:dyDescent="0.3">
      <c r="J8930" s="1"/>
    </row>
    <row r="8931" spans="10:10" x14ac:dyDescent="0.3">
      <c r="J8931" s="1"/>
    </row>
    <row r="8932" spans="10:10" x14ac:dyDescent="0.3">
      <c r="J8932" s="1"/>
    </row>
    <row r="8933" spans="10:10" x14ac:dyDescent="0.3">
      <c r="J8933" s="1"/>
    </row>
    <row r="8934" spans="10:10" x14ac:dyDescent="0.3">
      <c r="J8934" s="1"/>
    </row>
    <row r="8935" spans="10:10" x14ac:dyDescent="0.3">
      <c r="J8935" s="1"/>
    </row>
    <row r="8936" spans="10:10" x14ac:dyDescent="0.3">
      <c r="J8936" s="1"/>
    </row>
    <row r="8937" spans="10:10" x14ac:dyDescent="0.3">
      <c r="J8937" s="1"/>
    </row>
    <row r="8938" spans="10:10" x14ac:dyDescent="0.3">
      <c r="J8938" s="1"/>
    </row>
    <row r="8939" spans="10:10" x14ac:dyDescent="0.3">
      <c r="J8939" s="1"/>
    </row>
    <row r="8940" spans="10:10" x14ac:dyDescent="0.3">
      <c r="J8940" s="1"/>
    </row>
    <row r="8941" spans="10:10" x14ac:dyDescent="0.3">
      <c r="J8941" s="1"/>
    </row>
    <row r="8942" spans="10:10" x14ac:dyDescent="0.3">
      <c r="J8942" s="1"/>
    </row>
    <row r="8943" spans="10:10" x14ac:dyDescent="0.3">
      <c r="J8943" s="1"/>
    </row>
    <row r="8944" spans="10:10" x14ac:dyDescent="0.3">
      <c r="J8944" s="1"/>
    </row>
    <row r="8945" spans="10:10" x14ac:dyDescent="0.3">
      <c r="J8945" s="1"/>
    </row>
    <row r="8946" spans="10:10" x14ac:dyDescent="0.3">
      <c r="J8946" s="1"/>
    </row>
    <row r="8947" spans="10:10" x14ac:dyDescent="0.3">
      <c r="J8947" s="1"/>
    </row>
    <row r="8948" spans="10:10" x14ac:dyDescent="0.3">
      <c r="J8948" s="1"/>
    </row>
    <row r="8949" spans="10:10" x14ac:dyDescent="0.3">
      <c r="J8949" s="1"/>
    </row>
    <row r="8950" spans="10:10" x14ac:dyDescent="0.3">
      <c r="J8950" s="1"/>
    </row>
    <row r="8951" spans="10:10" x14ac:dyDescent="0.3">
      <c r="J8951" s="1"/>
    </row>
    <row r="8952" spans="10:10" x14ac:dyDescent="0.3">
      <c r="J8952" s="1"/>
    </row>
    <row r="8953" spans="10:10" x14ac:dyDescent="0.3">
      <c r="J8953" s="1"/>
    </row>
    <row r="8954" spans="10:10" x14ac:dyDescent="0.3">
      <c r="J8954" s="1"/>
    </row>
    <row r="8955" spans="10:10" x14ac:dyDescent="0.3">
      <c r="J8955" s="1"/>
    </row>
    <row r="8956" spans="10:10" x14ac:dyDescent="0.3">
      <c r="J8956" s="1"/>
    </row>
    <row r="8957" spans="10:10" x14ac:dyDescent="0.3">
      <c r="J8957" s="1"/>
    </row>
    <row r="8958" spans="10:10" x14ac:dyDescent="0.3">
      <c r="J8958" s="1"/>
    </row>
    <row r="8959" spans="10:10" x14ac:dyDescent="0.3">
      <c r="J8959" s="1"/>
    </row>
    <row r="8960" spans="10:10" x14ac:dyDescent="0.3">
      <c r="J8960" s="1"/>
    </row>
    <row r="8961" spans="10:10" x14ac:dyDescent="0.3">
      <c r="J8961" s="1"/>
    </row>
    <row r="8962" spans="10:10" x14ac:dyDescent="0.3">
      <c r="J8962" s="1"/>
    </row>
    <row r="8963" spans="10:10" x14ac:dyDescent="0.3">
      <c r="J8963" s="1"/>
    </row>
    <row r="8964" spans="10:10" x14ac:dyDescent="0.3">
      <c r="J8964" s="1"/>
    </row>
    <row r="8965" spans="10:10" x14ac:dyDescent="0.3">
      <c r="J8965" s="1"/>
    </row>
    <row r="8966" spans="10:10" x14ac:dyDescent="0.3">
      <c r="J8966" s="1"/>
    </row>
    <row r="8967" spans="10:10" x14ac:dyDescent="0.3">
      <c r="J8967" s="1"/>
    </row>
    <row r="8968" spans="10:10" x14ac:dyDescent="0.3">
      <c r="J8968" s="1"/>
    </row>
    <row r="8969" spans="10:10" x14ac:dyDescent="0.3">
      <c r="J8969" s="1"/>
    </row>
    <row r="8970" spans="10:10" x14ac:dyDescent="0.3">
      <c r="J8970" s="1"/>
    </row>
    <row r="8971" spans="10:10" x14ac:dyDescent="0.3">
      <c r="J8971" s="1"/>
    </row>
    <row r="8972" spans="10:10" x14ac:dyDescent="0.3">
      <c r="J8972" s="1"/>
    </row>
    <row r="8973" spans="10:10" x14ac:dyDescent="0.3">
      <c r="J8973" s="1"/>
    </row>
    <row r="8974" spans="10:10" x14ac:dyDescent="0.3">
      <c r="J8974" s="1"/>
    </row>
    <row r="8975" spans="10:10" x14ac:dyDescent="0.3">
      <c r="J8975" s="1"/>
    </row>
    <row r="8976" spans="10:10" x14ac:dyDescent="0.3">
      <c r="J8976" s="1"/>
    </row>
    <row r="8977" spans="10:10" x14ac:dyDescent="0.3">
      <c r="J8977" s="1"/>
    </row>
    <row r="8978" spans="10:10" x14ac:dyDescent="0.3">
      <c r="J8978" s="1"/>
    </row>
    <row r="8979" spans="10:10" x14ac:dyDescent="0.3">
      <c r="J8979" s="1"/>
    </row>
    <row r="8980" spans="10:10" x14ac:dyDescent="0.3">
      <c r="J8980" s="1"/>
    </row>
    <row r="8981" spans="10:10" x14ac:dyDescent="0.3">
      <c r="J8981" s="1"/>
    </row>
    <row r="8982" spans="10:10" x14ac:dyDescent="0.3">
      <c r="J8982" s="1"/>
    </row>
    <row r="8983" spans="10:10" x14ac:dyDescent="0.3">
      <c r="J8983" s="1"/>
    </row>
    <row r="8984" spans="10:10" x14ac:dyDescent="0.3">
      <c r="J8984" s="1"/>
    </row>
    <row r="8985" spans="10:10" x14ac:dyDescent="0.3">
      <c r="J8985" s="1"/>
    </row>
    <row r="8986" spans="10:10" x14ac:dyDescent="0.3">
      <c r="J8986" s="1"/>
    </row>
    <row r="8987" spans="10:10" x14ac:dyDescent="0.3">
      <c r="J8987" s="1"/>
    </row>
    <row r="8988" spans="10:10" x14ac:dyDescent="0.3">
      <c r="J8988" s="1"/>
    </row>
    <row r="8989" spans="10:10" x14ac:dyDescent="0.3">
      <c r="J8989" s="1"/>
    </row>
    <row r="8990" spans="10:10" x14ac:dyDescent="0.3">
      <c r="J8990" s="1"/>
    </row>
    <row r="8991" spans="10:10" x14ac:dyDescent="0.3">
      <c r="J8991" s="1"/>
    </row>
    <row r="8992" spans="10:10" x14ac:dyDescent="0.3">
      <c r="J8992" s="1"/>
    </row>
    <row r="8993" spans="10:10" x14ac:dyDescent="0.3">
      <c r="J8993" s="1"/>
    </row>
    <row r="8994" spans="10:10" x14ac:dyDescent="0.3">
      <c r="J8994" s="1"/>
    </row>
    <row r="8995" spans="10:10" x14ac:dyDescent="0.3">
      <c r="J8995" s="1"/>
    </row>
    <row r="8996" spans="10:10" x14ac:dyDescent="0.3">
      <c r="J8996" s="1"/>
    </row>
    <row r="8997" spans="10:10" x14ac:dyDescent="0.3">
      <c r="J8997" s="1"/>
    </row>
    <row r="8998" spans="10:10" x14ac:dyDescent="0.3">
      <c r="J8998" s="1"/>
    </row>
    <row r="8999" spans="10:10" x14ac:dyDescent="0.3">
      <c r="J8999" s="1"/>
    </row>
    <row r="9000" spans="10:10" x14ac:dyDescent="0.3">
      <c r="J9000" s="1"/>
    </row>
    <row r="9001" spans="10:10" x14ac:dyDescent="0.3">
      <c r="J9001" s="1"/>
    </row>
    <row r="9002" spans="10:10" x14ac:dyDescent="0.3">
      <c r="J9002" s="1"/>
    </row>
    <row r="9003" spans="10:10" x14ac:dyDescent="0.3">
      <c r="J9003" s="1"/>
    </row>
    <row r="9004" spans="10:10" x14ac:dyDescent="0.3">
      <c r="J9004" s="1"/>
    </row>
    <row r="9005" spans="10:10" x14ac:dyDescent="0.3">
      <c r="J9005" s="1"/>
    </row>
    <row r="9006" spans="10:10" x14ac:dyDescent="0.3">
      <c r="J9006" s="1"/>
    </row>
    <row r="9007" spans="10:10" x14ac:dyDescent="0.3">
      <c r="J9007" s="1"/>
    </row>
    <row r="9008" spans="10:10" x14ac:dyDescent="0.3">
      <c r="J9008" s="1"/>
    </row>
    <row r="9009" spans="10:10" x14ac:dyDescent="0.3">
      <c r="J9009" s="1"/>
    </row>
    <row r="9010" spans="10:10" x14ac:dyDescent="0.3">
      <c r="J9010" s="1"/>
    </row>
    <row r="9011" spans="10:10" x14ac:dyDescent="0.3">
      <c r="J9011" s="1"/>
    </row>
    <row r="9012" spans="10:10" x14ac:dyDescent="0.3">
      <c r="J9012" s="1"/>
    </row>
    <row r="9013" spans="10:10" x14ac:dyDescent="0.3">
      <c r="J9013" s="1"/>
    </row>
    <row r="9014" spans="10:10" x14ac:dyDescent="0.3">
      <c r="J9014" s="1"/>
    </row>
    <row r="9015" spans="10:10" x14ac:dyDescent="0.3">
      <c r="J9015" s="1"/>
    </row>
    <row r="9016" spans="10:10" x14ac:dyDescent="0.3">
      <c r="J9016" s="1"/>
    </row>
    <row r="9017" spans="10:10" x14ac:dyDescent="0.3">
      <c r="J9017" s="1"/>
    </row>
    <row r="9018" spans="10:10" x14ac:dyDescent="0.3">
      <c r="J9018" s="1"/>
    </row>
    <row r="9019" spans="10:10" x14ac:dyDescent="0.3">
      <c r="J9019" s="1"/>
    </row>
    <row r="9020" spans="10:10" x14ac:dyDescent="0.3">
      <c r="J9020" s="1"/>
    </row>
    <row r="9021" spans="10:10" x14ac:dyDescent="0.3">
      <c r="J9021" s="1"/>
    </row>
    <row r="9022" spans="10:10" x14ac:dyDescent="0.3">
      <c r="J9022" s="1"/>
    </row>
    <row r="9023" spans="10:10" x14ac:dyDescent="0.3">
      <c r="J9023" s="1"/>
    </row>
    <row r="9024" spans="10:10" x14ac:dyDescent="0.3">
      <c r="J9024" s="1"/>
    </row>
    <row r="9025" spans="10:10" x14ac:dyDescent="0.3">
      <c r="J9025" s="1"/>
    </row>
    <row r="9026" spans="10:10" x14ac:dyDescent="0.3">
      <c r="J9026" s="1"/>
    </row>
    <row r="9027" spans="10:10" x14ac:dyDescent="0.3">
      <c r="J9027" s="1"/>
    </row>
    <row r="9028" spans="10:10" x14ac:dyDescent="0.3">
      <c r="J9028" s="1"/>
    </row>
    <row r="9029" spans="10:10" x14ac:dyDescent="0.3">
      <c r="J9029" s="1"/>
    </row>
    <row r="9030" spans="10:10" x14ac:dyDescent="0.3">
      <c r="J9030" s="1"/>
    </row>
    <row r="9031" spans="10:10" x14ac:dyDescent="0.3">
      <c r="J9031" s="1"/>
    </row>
    <row r="9032" spans="10:10" x14ac:dyDescent="0.3">
      <c r="J9032" s="1"/>
    </row>
    <row r="9033" spans="10:10" x14ac:dyDescent="0.3">
      <c r="J9033" s="1"/>
    </row>
    <row r="9034" spans="10:10" x14ac:dyDescent="0.3">
      <c r="J9034" s="1"/>
    </row>
    <row r="9035" spans="10:10" x14ac:dyDescent="0.3">
      <c r="J9035" s="1"/>
    </row>
    <row r="9036" spans="10:10" x14ac:dyDescent="0.3">
      <c r="J9036" s="1"/>
    </row>
    <row r="9037" spans="10:10" x14ac:dyDescent="0.3">
      <c r="J9037" s="1"/>
    </row>
    <row r="9038" spans="10:10" x14ac:dyDescent="0.3">
      <c r="J9038" s="1"/>
    </row>
    <row r="9039" spans="10:10" x14ac:dyDescent="0.3">
      <c r="J9039" s="1"/>
    </row>
    <row r="9040" spans="10:10" x14ac:dyDescent="0.3">
      <c r="J9040" s="1"/>
    </row>
    <row r="9041" spans="10:10" x14ac:dyDescent="0.3">
      <c r="J9041" s="1"/>
    </row>
    <row r="9042" spans="10:10" x14ac:dyDescent="0.3">
      <c r="J9042" s="1"/>
    </row>
    <row r="9043" spans="10:10" x14ac:dyDescent="0.3">
      <c r="J9043" s="1"/>
    </row>
    <row r="9044" spans="10:10" x14ac:dyDescent="0.3">
      <c r="J9044" s="1"/>
    </row>
    <row r="9045" spans="10:10" x14ac:dyDescent="0.3">
      <c r="J9045" s="1"/>
    </row>
    <row r="9046" spans="10:10" x14ac:dyDescent="0.3">
      <c r="J9046" s="1"/>
    </row>
    <row r="9047" spans="10:10" x14ac:dyDescent="0.3">
      <c r="J9047" s="1"/>
    </row>
    <row r="9048" spans="10:10" x14ac:dyDescent="0.3">
      <c r="J9048" s="1"/>
    </row>
    <row r="9049" spans="10:10" x14ac:dyDescent="0.3">
      <c r="J9049" s="1"/>
    </row>
    <row r="9050" spans="10:10" x14ac:dyDescent="0.3">
      <c r="J9050" s="1"/>
    </row>
    <row r="9051" spans="10:10" x14ac:dyDescent="0.3">
      <c r="J9051" s="1"/>
    </row>
    <row r="9052" spans="10:10" x14ac:dyDescent="0.3">
      <c r="J9052" s="1"/>
    </row>
    <row r="9053" spans="10:10" x14ac:dyDescent="0.3">
      <c r="J9053" s="1"/>
    </row>
    <row r="9054" spans="10:10" x14ac:dyDescent="0.3">
      <c r="J9054" s="1"/>
    </row>
    <row r="9055" spans="10:10" x14ac:dyDescent="0.3">
      <c r="J9055" s="1"/>
    </row>
    <row r="9056" spans="10:10" x14ac:dyDescent="0.3">
      <c r="J9056" s="1"/>
    </row>
    <row r="9057" spans="10:10" x14ac:dyDescent="0.3">
      <c r="J9057" s="1"/>
    </row>
    <row r="9058" spans="10:10" x14ac:dyDescent="0.3">
      <c r="J9058" s="1"/>
    </row>
    <row r="9059" spans="10:10" x14ac:dyDescent="0.3">
      <c r="J9059" s="1"/>
    </row>
    <row r="9060" spans="10:10" x14ac:dyDescent="0.3">
      <c r="J9060" s="1"/>
    </row>
    <row r="9061" spans="10:10" x14ac:dyDescent="0.3">
      <c r="J9061" s="1"/>
    </row>
    <row r="9062" spans="10:10" x14ac:dyDescent="0.3">
      <c r="J9062" s="1"/>
    </row>
    <row r="9063" spans="10:10" x14ac:dyDescent="0.3">
      <c r="J9063" s="1"/>
    </row>
    <row r="9064" spans="10:10" x14ac:dyDescent="0.3">
      <c r="J9064" s="1"/>
    </row>
    <row r="9065" spans="10:10" x14ac:dyDescent="0.3">
      <c r="J9065" s="1"/>
    </row>
    <row r="9066" spans="10:10" x14ac:dyDescent="0.3">
      <c r="J9066" s="1"/>
    </row>
    <row r="9067" spans="10:10" x14ac:dyDescent="0.3">
      <c r="J9067" s="1"/>
    </row>
    <row r="9068" spans="10:10" x14ac:dyDescent="0.3">
      <c r="J9068" s="1"/>
    </row>
    <row r="9069" spans="10:10" x14ac:dyDescent="0.3">
      <c r="J9069" s="1"/>
    </row>
    <row r="9070" spans="10:10" x14ac:dyDescent="0.3">
      <c r="J9070" s="1"/>
    </row>
    <row r="9071" spans="10:10" x14ac:dyDescent="0.3">
      <c r="J9071" s="1"/>
    </row>
    <row r="9072" spans="10:10" x14ac:dyDescent="0.3">
      <c r="J9072" s="1"/>
    </row>
    <row r="9073" spans="10:10" x14ac:dyDescent="0.3">
      <c r="J9073" s="1"/>
    </row>
    <row r="9074" spans="10:10" x14ac:dyDescent="0.3">
      <c r="J9074" s="1"/>
    </row>
    <row r="9075" spans="10:10" x14ac:dyDescent="0.3">
      <c r="J9075" s="1"/>
    </row>
    <row r="9076" spans="10:10" x14ac:dyDescent="0.3">
      <c r="J9076" s="1"/>
    </row>
    <row r="9077" spans="10:10" x14ac:dyDescent="0.3">
      <c r="J9077" s="1"/>
    </row>
    <row r="9078" spans="10:10" x14ac:dyDescent="0.3">
      <c r="J9078" s="1"/>
    </row>
    <row r="9079" spans="10:10" x14ac:dyDescent="0.3">
      <c r="J9079" s="1"/>
    </row>
    <row r="9080" spans="10:10" x14ac:dyDescent="0.3">
      <c r="J9080" s="1"/>
    </row>
    <row r="9081" spans="10:10" x14ac:dyDescent="0.3">
      <c r="J9081" s="1"/>
    </row>
    <row r="9082" spans="10:10" x14ac:dyDescent="0.3">
      <c r="J9082" s="1"/>
    </row>
    <row r="9083" spans="10:10" x14ac:dyDescent="0.3">
      <c r="J9083" s="1"/>
    </row>
    <row r="9084" spans="10:10" x14ac:dyDescent="0.3">
      <c r="J9084" s="1"/>
    </row>
    <row r="9085" spans="10:10" x14ac:dyDescent="0.3">
      <c r="J9085" s="1"/>
    </row>
    <row r="9086" spans="10:10" x14ac:dyDescent="0.3">
      <c r="J9086" s="1"/>
    </row>
    <row r="9087" spans="10:10" x14ac:dyDescent="0.3">
      <c r="J9087" s="1"/>
    </row>
    <row r="9088" spans="10:10" x14ac:dyDescent="0.3">
      <c r="J9088" s="1"/>
    </row>
    <row r="9089" spans="10:10" x14ac:dyDescent="0.3">
      <c r="J9089" s="1"/>
    </row>
    <row r="9090" spans="10:10" x14ac:dyDescent="0.3">
      <c r="J9090" s="1"/>
    </row>
    <row r="9091" spans="10:10" x14ac:dyDescent="0.3">
      <c r="J9091" s="1"/>
    </row>
    <row r="9092" spans="10:10" x14ac:dyDescent="0.3">
      <c r="J9092" s="1"/>
    </row>
    <row r="9093" spans="10:10" x14ac:dyDescent="0.3">
      <c r="J9093" s="1"/>
    </row>
    <row r="9094" spans="10:10" x14ac:dyDescent="0.3">
      <c r="J9094" s="1"/>
    </row>
    <row r="9095" spans="10:10" x14ac:dyDescent="0.3">
      <c r="J9095" s="1"/>
    </row>
    <row r="9096" spans="10:10" x14ac:dyDescent="0.3">
      <c r="J9096" s="1"/>
    </row>
    <row r="9097" spans="10:10" x14ac:dyDescent="0.3">
      <c r="J9097" s="1"/>
    </row>
    <row r="9098" spans="10:10" x14ac:dyDescent="0.3">
      <c r="J9098" s="1"/>
    </row>
    <row r="9099" spans="10:10" x14ac:dyDescent="0.3">
      <c r="J9099" s="1"/>
    </row>
    <row r="9100" spans="10:10" x14ac:dyDescent="0.3">
      <c r="J9100" s="1"/>
    </row>
    <row r="9101" spans="10:10" x14ac:dyDescent="0.3">
      <c r="J9101" s="1"/>
    </row>
    <row r="9102" spans="10:10" x14ac:dyDescent="0.3">
      <c r="J9102" s="1"/>
    </row>
    <row r="9103" spans="10:10" x14ac:dyDescent="0.3">
      <c r="J9103" s="1"/>
    </row>
    <row r="9104" spans="10:10" x14ac:dyDescent="0.3">
      <c r="J9104" s="1"/>
    </row>
    <row r="9105" spans="10:10" x14ac:dyDescent="0.3">
      <c r="J9105" s="1"/>
    </row>
    <row r="9106" spans="10:10" x14ac:dyDescent="0.3">
      <c r="J9106" s="1"/>
    </row>
    <row r="9107" spans="10:10" x14ac:dyDescent="0.3">
      <c r="J9107" s="1"/>
    </row>
    <row r="9108" spans="10:10" x14ac:dyDescent="0.3">
      <c r="J9108" s="1"/>
    </row>
    <row r="9109" spans="10:10" x14ac:dyDescent="0.3">
      <c r="J9109" s="1"/>
    </row>
    <row r="9110" spans="10:10" x14ac:dyDescent="0.3">
      <c r="J9110" s="1"/>
    </row>
    <row r="9111" spans="10:10" x14ac:dyDescent="0.3">
      <c r="J9111" s="1"/>
    </row>
    <row r="9112" spans="10:10" x14ac:dyDescent="0.3">
      <c r="J9112" s="1"/>
    </row>
    <row r="9113" spans="10:10" x14ac:dyDescent="0.3">
      <c r="J9113" s="1"/>
    </row>
    <row r="9114" spans="10:10" x14ac:dyDescent="0.3">
      <c r="J9114" s="1"/>
    </row>
    <row r="9115" spans="10:10" x14ac:dyDescent="0.3">
      <c r="J9115" s="1"/>
    </row>
    <row r="9116" spans="10:10" x14ac:dyDescent="0.3">
      <c r="J9116" s="1"/>
    </row>
    <row r="9117" spans="10:10" x14ac:dyDescent="0.3">
      <c r="J9117" s="1"/>
    </row>
    <row r="9118" spans="10:10" x14ac:dyDescent="0.3">
      <c r="J9118" s="1"/>
    </row>
    <row r="9119" spans="10:10" x14ac:dyDescent="0.3">
      <c r="J9119" s="1"/>
    </row>
    <row r="9120" spans="10:10" x14ac:dyDescent="0.3">
      <c r="J9120" s="1"/>
    </row>
    <row r="9121" spans="10:10" x14ac:dyDescent="0.3">
      <c r="J9121" s="1"/>
    </row>
    <row r="9122" spans="10:10" x14ac:dyDescent="0.3">
      <c r="J9122" s="1"/>
    </row>
    <row r="9123" spans="10:10" x14ac:dyDescent="0.3">
      <c r="J9123" s="1"/>
    </row>
    <row r="9124" spans="10:10" x14ac:dyDescent="0.3">
      <c r="J9124" s="1"/>
    </row>
    <row r="9125" spans="10:10" x14ac:dyDescent="0.3">
      <c r="J9125" s="1"/>
    </row>
    <row r="9126" spans="10:10" x14ac:dyDescent="0.3">
      <c r="J9126" s="1"/>
    </row>
    <row r="9127" spans="10:10" x14ac:dyDescent="0.3">
      <c r="J9127" s="1"/>
    </row>
    <row r="9128" spans="10:10" x14ac:dyDescent="0.3">
      <c r="J9128" s="1"/>
    </row>
    <row r="9129" spans="10:10" x14ac:dyDescent="0.3">
      <c r="J9129" s="1"/>
    </row>
    <row r="9130" spans="10:10" x14ac:dyDescent="0.3">
      <c r="J9130" s="1"/>
    </row>
    <row r="9131" spans="10:10" x14ac:dyDescent="0.3">
      <c r="J9131" s="1"/>
    </row>
    <row r="9132" spans="10:10" x14ac:dyDescent="0.3">
      <c r="J9132" s="1"/>
    </row>
    <row r="9133" spans="10:10" x14ac:dyDescent="0.3">
      <c r="J9133" s="1"/>
    </row>
    <row r="9134" spans="10:10" x14ac:dyDescent="0.3">
      <c r="J9134" s="1"/>
    </row>
    <row r="9135" spans="10:10" x14ac:dyDescent="0.3">
      <c r="J9135" s="1"/>
    </row>
    <row r="9136" spans="10:10" x14ac:dyDescent="0.3">
      <c r="J9136" s="1"/>
    </row>
    <row r="9137" spans="10:10" x14ac:dyDescent="0.3">
      <c r="J9137" s="1"/>
    </row>
    <row r="9138" spans="10:10" x14ac:dyDescent="0.3">
      <c r="J9138" s="1"/>
    </row>
    <row r="9139" spans="10:10" x14ac:dyDescent="0.3">
      <c r="J9139" s="1"/>
    </row>
    <row r="9140" spans="10:10" x14ac:dyDescent="0.3">
      <c r="J9140" s="1"/>
    </row>
    <row r="9141" spans="10:10" x14ac:dyDescent="0.3">
      <c r="J9141" s="1"/>
    </row>
    <row r="9142" spans="10:10" x14ac:dyDescent="0.3">
      <c r="J9142" s="1"/>
    </row>
    <row r="9143" spans="10:10" x14ac:dyDescent="0.3">
      <c r="J9143" s="1"/>
    </row>
    <row r="9144" spans="10:10" x14ac:dyDescent="0.3">
      <c r="J9144" s="1"/>
    </row>
    <row r="9145" spans="10:10" x14ac:dyDescent="0.3">
      <c r="J9145" s="1"/>
    </row>
    <row r="9146" spans="10:10" x14ac:dyDescent="0.3">
      <c r="J9146" s="1"/>
    </row>
    <row r="9147" spans="10:10" x14ac:dyDescent="0.3">
      <c r="J9147" s="1"/>
    </row>
    <row r="9148" spans="10:10" x14ac:dyDescent="0.3">
      <c r="J9148" s="1"/>
    </row>
    <row r="9149" spans="10:10" x14ac:dyDescent="0.3">
      <c r="J9149" s="1"/>
    </row>
    <row r="9150" spans="10:10" x14ac:dyDescent="0.3">
      <c r="J9150" s="1"/>
    </row>
    <row r="9151" spans="10:10" x14ac:dyDescent="0.3">
      <c r="J9151" s="1"/>
    </row>
    <row r="9152" spans="10:10" x14ac:dyDescent="0.3">
      <c r="J9152" s="1"/>
    </row>
    <row r="9153" spans="10:10" x14ac:dyDescent="0.3">
      <c r="J9153" s="1"/>
    </row>
    <row r="9154" spans="10:10" x14ac:dyDescent="0.3">
      <c r="J9154" s="1"/>
    </row>
    <row r="9155" spans="10:10" x14ac:dyDescent="0.3">
      <c r="J9155" s="1"/>
    </row>
    <row r="9156" spans="10:10" x14ac:dyDescent="0.3">
      <c r="J9156" s="1"/>
    </row>
    <row r="9157" spans="10:10" x14ac:dyDescent="0.3">
      <c r="J9157" s="1"/>
    </row>
    <row r="9158" spans="10:10" x14ac:dyDescent="0.3">
      <c r="J9158" s="1"/>
    </row>
    <row r="9159" spans="10:10" x14ac:dyDescent="0.3">
      <c r="J9159" s="1"/>
    </row>
    <row r="9160" spans="10:10" x14ac:dyDescent="0.3">
      <c r="J9160" s="1"/>
    </row>
    <row r="9161" spans="10:10" x14ac:dyDescent="0.3">
      <c r="J9161" s="1"/>
    </row>
    <row r="9162" spans="10:10" x14ac:dyDescent="0.3">
      <c r="J9162" s="1"/>
    </row>
    <row r="9163" spans="10:10" x14ac:dyDescent="0.3">
      <c r="J9163" s="1"/>
    </row>
    <row r="9164" spans="10:10" x14ac:dyDescent="0.3">
      <c r="J9164" s="1"/>
    </row>
    <row r="9165" spans="10:10" x14ac:dyDescent="0.3">
      <c r="J9165" s="1"/>
    </row>
    <row r="9166" spans="10:10" x14ac:dyDescent="0.3">
      <c r="J9166" s="1"/>
    </row>
    <row r="9167" spans="10:10" x14ac:dyDescent="0.3">
      <c r="J9167" s="1"/>
    </row>
    <row r="9168" spans="10:10" x14ac:dyDescent="0.3">
      <c r="J9168" s="1"/>
    </row>
    <row r="9169" spans="10:10" x14ac:dyDescent="0.3">
      <c r="J9169" s="1"/>
    </row>
    <row r="9170" spans="10:10" x14ac:dyDescent="0.3">
      <c r="J9170" s="1"/>
    </row>
    <row r="9171" spans="10:10" x14ac:dyDescent="0.3">
      <c r="J9171" s="1"/>
    </row>
    <row r="9172" spans="10:10" x14ac:dyDescent="0.3">
      <c r="J9172" s="1"/>
    </row>
    <row r="9173" spans="10:10" x14ac:dyDescent="0.3">
      <c r="J9173" s="1"/>
    </row>
    <row r="9174" spans="10:10" x14ac:dyDescent="0.3">
      <c r="J9174" s="1"/>
    </row>
    <row r="9175" spans="10:10" x14ac:dyDescent="0.3">
      <c r="J9175" s="1"/>
    </row>
    <row r="9176" spans="10:10" x14ac:dyDescent="0.3">
      <c r="J9176" s="1"/>
    </row>
    <row r="9177" spans="10:10" x14ac:dyDescent="0.3">
      <c r="J9177" s="1"/>
    </row>
    <row r="9178" spans="10:10" x14ac:dyDescent="0.3">
      <c r="J9178" s="1"/>
    </row>
    <row r="9179" spans="10:10" x14ac:dyDescent="0.3">
      <c r="J9179" s="1"/>
    </row>
    <row r="9180" spans="10:10" x14ac:dyDescent="0.3">
      <c r="J9180" s="1"/>
    </row>
    <row r="9181" spans="10:10" x14ac:dyDescent="0.3">
      <c r="J9181" s="1"/>
    </row>
    <row r="9182" spans="10:10" x14ac:dyDescent="0.3">
      <c r="J9182" s="1"/>
    </row>
    <row r="9183" spans="10:10" x14ac:dyDescent="0.3">
      <c r="J9183" s="1"/>
    </row>
    <row r="9184" spans="10:10" x14ac:dyDescent="0.3">
      <c r="J9184" s="1"/>
    </row>
    <row r="9185" spans="10:10" x14ac:dyDescent="0.3">
      <c r="J9185" s="1"/>
    </row>
    <row r="9186" spans="10:10" x14ac:dyDescent="0.3">
      <c r="J9186" s="1"/>
    </row>
    <row r="9187" spans="10:10" x14ac:dyDescent="0.3">
      <c r="J9187" s="1"/>
    </row>
    <row r="9188" spans="10:10" x14ac:dyDescent="0.3">
      <c r="J9188" s="1"/>
    </row>
    <row r="9189" spans="10:10" x14ac:dyDescent="0.3">
      <c r="J9189" s="1"/>
    </row>
    <row r="9190" spans="10:10" x14ac:dyDescent="0.3">
      <c r="J9190" s="1"/>
    </row>
    <row r="9191" spans="10:10" x14ac:dyDescent="0.3">
      <c r="J9191" s="1"/>
    </row>
    <row r="9192" spans="10:10" x14ac:dyDescent="0.3">
      <c r="J9192" s="1"/>
    </row>
    <row r="9193" spans="10:10" x14ac:dyDescent="0.3">
      <c r="J9193" s="1"/>
    </row>
    <row r="9194" spans="10:10" x14ac:dyDescent="0.3">
      <c r="J9194" s="1"/>
    </row>
    <row r="9195" spans="10:10" x14ac:dyDescent="0.3">
      <c r="J9195" s="1"/>
    </row>
    <row r="9196" spans="10:10" x14ac:dyDescent="0.3">
      <c r="J9196" s="1"/>
    </row>
    <row r="9197" spans="10:10" x14ac:dyDescent="0.3">
      <c r="J9197" s="1"/>
    </row>
    <row r="9198" spans="10:10" x14ac:dyDescent="0.3">
      <c r="J9198" s="1"/>
    </row>
    <row r="9199" spans="10:10" x14ac:dyDescent="0.3">
      <c r="J9199" s="1"/>
    </row>
    <row r="9200" spans="10:10" x14ac:dyDescent="0.3">
      <c r="J9200" s="1"/>
    </row>
    <row r="9201" spans="10:10" x14ac:dyDescent="0.3">
      <c r="J9201" s="1"/>
    </row>
    <row r="9202" spans="10:10" x14ac:dyDescent="0.3">
      <c r="J9202" s="1"/>
    </row>
    <row r="9203" spans="10:10" x14ac:dyDescent="0.3">
      <c r="J9203" s="1"/>
    </row>
    <row r="9204" spans="10:10" x14ac:dyDescent="0.3">
      <c r="J9204" s="1"/>
    </row>
    <row r="9205" spans="10:10" x14ac:dyDescent="0.3">
      <c r="J9205" s="1"/>
    </row>
    <row r="9206" spans="10:10" x14ac:dyDescent="0.3">
      <c r="J9206" s="1"/>
    </row>
    <row r="9207" spans="10:10" x14ac:dyDescent="0.3">
      <c r="J9207" s="1"/>
    </row>
    <row r="9208" spans="10:10" x14ac:dyDescent="0.3">
      <c r="J9208" s="1"/>
    </row>
    <row r="9209" spans="10:10" x14ac:dyDescent="0.3">
      <c r="J9209" s="1"/>
    </row>
    <row r="9210" spans="10:10" x14ac:dyDescent="0.3">
      <c r="J9210" s="1"/>
    </row>
    <row r="9211" spans="10:10" x14ac:dyDescent="0.3">
      <c r="J9211" s="1"/>
    </row>
    <row r="9212" spans="10:10" x14ac:dyDescent="0.3">
      <c r="J9212" s="1"/>
    </row>
    <row r="9213" spans="10:10" x14ac:dyDescent="0.3">
      <c r="J9213" s="1"/>
    </row>
    <row r="9214" spans="10:10" x14ac:dyDescent="0.3">
      <c r="J9214" s="1"/>
    </row>
    <row r="9215" spans="10:10" x14ac:dyDescent="0.3">
      <c r="J9215" s="1"/>
    </row>
    <row r="9216" spans="10:10" x14ac:dyDescent="0.3">
      <c r="J9216" s="1"/>
    </row>
    <row r="9217" spans="10:10" x14ac:dyDescent="0.3">
      <c r="J9217" s="1"/>
    </row>
    <row r="9218" spans="10:10" x14ac:dyDescent="0.3">
      <c r="J9218" s="1"/>
    </row>
    <row r="9219" spans="10:10" x14ac:dyDescent="0.3">
      <c r="J9219" s="1"/>
    </row>
    <row r="9220" spans="10:10" x14ac:dyDescent="0.3">
      <c r="J9220" s="1"/>
    </row>
    <row r="9221" spans="10:10" x14ac:dyDescent="0.3">
      <c r="J9221" s="1"/>
    </row>
    <row r="9222" spans="10:10" x14ac:dyDescent="0.3">
      <c r="J9222" s="1"/>
    </row>
    <row r="9223" spans="10:10" x14ac:dyDescent="0.3">
      <c r="J9223" s="1"/>
    </row>
    <row r="9224" spans="10:10" x14ac:dyDescent="0.3">
      <c r="J9224" s="1"/>
    </row>
    <row r="9225" spans="10:10" x14ac:dyDescent="0.3">
      <c r="J9225" s="1"/>
    </row>
    <row r="9226" spans="10:10" x14ac:dyDescent="0.3">
      <c r="J9226" s="1"/>
    </row>
    <row r="9227" spans="10:10" x14ac:dyDescent="0.3">
      <c r="J9227" s="1"/>
    </row>
    <row r="9228" spans="10:10" x14ac:dyDescent="0.3">
      <c r="J9228" s="1"/>
    </row>
    <row r="9229" spans="10:10" x14ac:dyDescent="0.3">
      <c r="J9229" s="1"/>
    </row>
    <row r="9230" spans="10:10" x14ac:dyDescent="0.3">
      <c r="J9230" s="1"/>
    </row>
    <row r="9231" spans="10:10" x14ac:dyDescent="0.3">
      <c r="J9231" s="1"/>
    </row>
    <row r="9232" spans="10:10" x14ac:dyDescent="0.3">
      <c r="J9232" s="1"/>
    </row>
    <row r="9233" spans="10:10" x14ac:dyDescent="0.3">
      <c r="J9233" s="1"/>
    </row>
    <row r="9234" spans="10:10" x14ac:dyDescent="0.3">
      <c r="J9234" s="1"/>
    </row>
    <row r="9235" spans="10:10" x14ac:dyDescent="0.3">
      <c r="J9235" s="1"/>
    </row>
    <row r="9236" spans="10:10" x14ac:dyDescent="0.3">
      <c r="J9236" s="1"/>
    </row>
    <row r="9237" spans="10:10" x14ac:dyDescent="0.3">
      <c r="J9237" s="1"/>
    </row>
    <row r="9238" spans="10:10" x14ac:dyDescent="0.3">
      <c r="J9238" s="1"/>
    </row>
    <row r="9239" spans="10:10" x14ac:dyDescent="0.3">
      <c r="J9239" s="1"/>
    </row>
    <row r="9240" spans="10:10" x14ac:dyDescent="0.3">
      <c r="J9240" s="1"/>
    </row>
    <row r="9241" spans="10:10" x14ac:dyDescent="0.3">
      <c r="J9241" s="1"/>
    </row>
    <row r="9242" spans="10:10" x14ac:dyDescent="0.3">
      <c r="J9242" s="1"/>
    </row>
    <row r="9243" spans="10:10" x14ac:dyDescent="0.3">
      <c r="J9243" s="1"/>
    </row>
    <row r="9244" spans="10:10" x14ac:dyDescent="0.3">
      <c r="J9244" s="1"/>
    </row>
    <row r="9245" spans="10:10" x14ac:dyDescent="0.3">
      <c r="J9245" s="1"/>
    </row>
    <row r="9246" spans="10:10" x14ac:dyDescent="0.3">
      <c r="J9246" s="1"/>
    </row>
    <row r="9247" spans="10:10" x14ac:dyDescent="0.3">
      <c r="J9247" s="1"/>
    </row>
    <row r="9248" spans="10:10" x14ac:dyDescent="0.3">
      <c r="J9248" s="1"/>
    </row>
    <row r="9249" spans="10:10" x14ac:dyDescent="0.3">
      <c r="J9249" s="1"/>
    </row>
    <row r="9250" spans="10:10" x14ac:dyDescent="0.3">
      <c r="J9250" s="1"/>
    </row>
    <row r="9251" spans="10:10" x14ac:dyDescent="0.3">
      <c r="J9251" s="1"/>
    </row>
    <row r="9252" spans="10:10" x14ac:dyDescent="0.3">
      <c r="J9252" s="1"/>
    </row>
    <row r="9253" spans="10:10" x14ac:dyDescent="0.3">
      <c r="J9253" s="1"/>
    </row>
    <row r="9254" spans="10:10" x14ac:dyDescent="0.3">
      <c r="J9254" s="1"/>
    </row>
    <row r="9255" spans="10:10" x14ac:dyDescent="0.3">
      <c r="J9255" s="1"/>
    </row>
    <row r="9256" spans="10:10" x14ac:dyDescent="0.3">
      <c r="J9256" s="1"/>
    </row>
    <row r="9257" spans="10:10" x14ac:dyDescent="0.3">
      <c r="J9257" s="1"/>
    </row>
    <row r="9258" spans="10:10" x14ac:dyDescent="0.3">
      <c r="J9258" s="1"/>
    </row>
    <row r="9259" spans="10:10" x14ac:dyDescent="0.3">
      <c r="J9259" s="1"/>
    </row>
    <row r="9260" spans="10:10" x14ac:dyDescent="0.3">
      <c r="J9260" s="1"/>
    </row>
    <row r="9261" spans="10:10" x14ac:dyDescent="0.3">
      <c r="J9261" s="1"/>
    </row>
    <row r="9262" spans="10:10" x14ac:dyDescent="0.3">
      <c r="J9262" s="1"/>
    </row>
    <row r="9263" spans="10:10" x14ac:dyDescent="0.3">
      <c r="J9263" s="1"/>
    </row>
    <row r="9264" spans="10:10" x14ac:dyDescent="0.3">
      <c r="J9264" s="1"/>
    </row>
    <row r="9265" spans="10:10" x14ac:dyDescent="0.3">
      <c r="J9265" s="1"/>
    </row>
    <row r="9266" spans="10:10" x14ac:dyDescent="0.3">
      <c r="J9266" s="1"/>
    </row>
    <row r="9267" spans="10:10" x14ac:dyDescent="0.3">
      <c r="J9267" s="1"/>
    </row>
    <row r="9268" spans="10:10" x14ac:dyDescent="0.3">
      <c r="J9268" s="1"/>
    </row>
    <row r="9269" spans="10:10" x14ac:dyDescent="0.3">
      <c r="J9269" s="1"/>
    </row>
    <row r="9270" spans="10:10" x14ac:dyDescent="0.3">
      <c r="J9270" s="1"/>
    </row>
    <row r="9271" spans="10:10" x14ac:dyDescent="0.3">
      <c r="J9271" s="1"/>
    </row>
    <row r="9272" spans="10:10" x14ac:dyDescent="0.3">
      <c r="J9272" s="1"/>
    </row>
    <row r="9273" spans="10:10" x14ac:dyDescent="0.3">
      <c r="J9273" s="1"/>
    </row>
    <row r="9274" spans="10:10" x14ac:dyDescent="0.3">
      <c r="J9274" s="1"/>
    </row>
    <row r="9275" spans="10:10" x14ac:dyDescent="0.3">
      <c r="J9275" s="1"/>
    </row>
    <row r="9276" spans="10:10" x14ac:dyDescent="0.3">
      <c r="J9276" s="1"/>
    </row>
    <row r="9277" spans="10:10" x14ac:dyDescent="0.3">
      <c r="J9277" s="1"/>
    </row>
    <row r="9278" spans="10:10" x14ac:dyDescent="0.3">
      <c r="J9278" s="1"/>
    </row>
    <row r="9279" spans="10:10" x14ac:dyDescent="0.3">
      <c r="J9279" s="1"/>
    </row>
    <row r="9280" spans="10:10" x14ac:dyDescent="0.3">
      <c r="J9280" s="1"/>
    </row>
    <row r="9281" spans="10:10" x14ac:dyDescent="0.3">
      <c r="J9281" s="1"/>
    </row>
    <row r="9282" spans="10:10" x14ac:dyDescent="0.3">
      <c r="J9282" s="1"/>
    </row>
    <row r="9283" spans="10:10" x14ac:dyDescent="0.3">
      <c r="J9283" s="1"/>
    </row>
    <row r="9284" spans="10:10" x14ac:dyDescent="0.3">
      <c r="J9284" s="1"/>
    </row>
    <row r="9285" spans="10:10" x14ac:dyDescent="0.3">
      <c r="J9285" s="1"/>
    </row>
    <row r="9286" spans="10:10" x14ac:dyDescent="0.3">
      <c r="J9286" s="1"/>
    </row>
    <row r="9287" spans="10:10" x14ac:dyDescent="0.3">
      <c r="J9287" s="1"/>
    </row>
    <row r="9288" spans="10:10" x14ac:dyDescent="0.3">
      <c r="J9288" s="1"/>
    </row>
    <row r="9289" spans="10:10" x14ac:dyDescent="0.3">
      <c r="J9289" s="1"/>
    </row>
    <row r="9290" spans="10:10" x14ac:dyDescent="0.3">
      <c r="J9290" s="1"/>
    </row>
    <row r="9291" spans="10:10" x14ac:dyDescent="0.3">
      <c r="J9291" s="1"/>
    </row>
    <row r="9292" spans="10:10" x14ac:dyDescent="0.3">
      <c r="J9292" s="1"/>
    </row>
    <row r="9293" spans="10:10" x14ac:dyDescent="0.3">
      <c r="J9293" s="1"/>
    </row>
    <row r="9294" spans="10:10" x14ac:dyDescent="0.3">
      <c r="J9294" s="1"/>
    </row>
    <row r="9295" spans="10:10" x14ac:dyDescent="0.3">
      <c r="J9295" s="1"/>
    </row>
    <row r="9296" spans="10:10" x14ac:dyDescent="0.3">
      <c r="J9296" s="1"/>
    </row>
    <row r="9297" spans="10:10" x14ac:dyDescent="0.3">
      <c r="J9297" s="1"/>
    </row>
    <row r="9298" spans="10:10" x14ac:dyDescent="0.3">
      <c r="J9298" s="1"/>
    </row>
    <row r="9299" spans="10:10" x14ac:dyDescent="0.3">
      <c r="J9299" s="1"/>
    </row>
    <row r="9300" spans="10:10" x14ac:dyDescent="0.3">
      <c r="J9300" s="1"/>
    </row>
    <row r="9301" spans="10:10" x14ac:dyDescent="0.3">
      <c r="J9301" s="1"/>
    </row>
    <row r="9302" spans="10:10" x14ac:dyDescent="0.3">
      <c r="J9302" s="1"/>
    </row>
    <row r="9303" spans="10:10" x14ac:dyDescent="0.3">
      <c r="J9303" s="1"/>
    </row>
    <row r="9304" spans="10:10" x14ac:dyDescent="0.3">
      <c r="J9304" s="1"/>
    </row>
    <row r="9305" spans="10:10" x14ac:dyDescent="0.3">
      <c r="J9305" s="1"/>
    </row>
    <row r="9306" spans="10:10" x14ac:dyDescent="0.3">
      <c r="J9306" s="1"/>
    </row>
    <row r="9307" spans="10:10" x14ac:dyDescent="0.3">
      <c r="J9307" s="1"/>
    </row>
    <row r="9308" spans="10:10" x14ac:dyDescent="0.3">
      <c r="J9308" s="1"/>
    </row>
    <row r="9309" spans="10:10" x14ac:dyDescent="0.3">
      <c r="J9309" s="1"/>
    </row>
    <row r="9310" spans="10:10" x14ac:dyDescent="0.3">
      <c r="J9310" s="1"/>
    </row>
    <row r="9311" spans="10:10" x14ac:dyDescent="0.3">
      <c r="J9311" s="1"/>
    </row>
    <row r="9312" spans="10:10" x14ac:dyDescent="0.3">
      <c r="J9312" s="1"/>
    </row>
    <row r="9313" spans="10:10" x14ac:dyDescent="0.3">
      <c r="J9313" s="1"/>
    </row>
    <row r="9314" spans="10:10" x14ac:dyDescent="0.3">
      <c r="J9314" s="1"/>
    </row>
    <row r="9315" spans="10:10" x14ac:dyDescent="0.3">
      <c r="J9315" s="1"/>
    </row>
    <row r="9316" spans="10:10" x14ac:dyDescent="0.3">
      <c r="J9316" s="1"/>
    </row>
    <row r="9317" spans="10:10" x14ac:dyDescent="0.3">
      <c r="J9317" s="1"/>
    </row>
    <row r="9318" spans="10:10" x14ac:dyDescent="0.3">
      <c r="J9318" s="1"/>
    </row>
    <row r="9319" spans="10:10" x14ac:dyDescent="0.3">
      <c r="J9319" s="1"/>
    </row>
    <row r="9320" spans="10:10" x14ac:dyDescent="0.3">
      <c r="J9320" s="1"/>
    </row>
    <row r="9321" spans="10:10" x14ac:dyDescent="0.3">
      <c r="J9321" s="1"/>
    </row>
    <row r="9322" spans="10:10" x14ac:dyDescent="0.3">
      <c r="J9322" s="1"/>
    </row>
    <row r="9323" spans="10:10" x14ac:dyDescent="0.3">
      <c r="J9323" s="1"/>
    </row>
    <row r="9324" spans="10:10" x14ac:dyDescent="0.3">
      <c r="J9324" s="1"/>
    </row>
    <row r="9325" spans="10:10" x14ac:dyDescent="0.3">
      <c r="J9325" s="1"/>
    </row>
    <row r="9326" spans="10:10" x14ac:dyDescent="0.3">
      <c r="J9326" s="1"/>
    </row>
    <row r="9327" spans="10:10" x14ac:dyDescent="0.3">
      <c r="J9327" s="1"/>
    </row>
    <row r="9328" spans="10:10" x14ac:dyDescent="0.3">
      <c r="J9328" s="1"/>
    </row>
    <row r="9329" spans="10:10" x14ac:dyDescent="0.3">
      <c r="J9329" s="1"/>
    </row>
    <row r="9330" spans="10:10" x14ac:dyDescent="0.3">
      <c r="J9330" s="1"/>
    </row>
    <row r="9331" spans="10:10" x14ac:dyDescent="0.3">
      <c r="J9331" s="1"/>
    </row>
    <row r="9332" spans="10:10" x14ac:dyDescent="0.3">
      <c r="J9332" s="1"/>
    </row>
    <row r="9333" spans="10:10" x14ac:dyDescent="0.3">
      <c r="J9333" s="1"/>
    </row>
    <row r="9334" spans="10:10" x14ac:dyDescent="0.3">
      <c r="J9334" s="1"/>
    </row>
    <row r="9335" spans="10:10" x14ac:dyDescent="0.3">
      <c r="J9335" s="1"/>
    </row>
    <row r="9336" spans="10:10" x14ac:dyDescent="0.3">
      <c r="J9336" s="1"/>
    </row>
    <row r="9337" spans="10:10" x14ac:dyDescent="0.3">
      <c r="J9337" s="1"/>
    </row>
    <row r="9338" spans="10:10" x14ac:dyDescent="0.3">
      <c r="J9338" s="1"/>
    </row>
    <row r="9339" spans="10:10" x14ac:dyDescent="0.3">
      <c r="J9339" s="1"/>
    </row>
    <row r="9340" spans="10:10" x14ac:dyDescent="0.3">
      <c r="J9340" s="1"/>
    </row>
    <row r="9341" spans="10:10" x14ac:dyDescent="0.3">
      <c r="J9341" s="1"/>
    </row>
    <row r="9342" spans="10:10" x14ac:dyDescent="0.3">
      <c r="J9342" s="1"/>
    </row>
    <row r="9343" spans="10:10" x14ac:dyDescent="0.3">
      <c r="J9343" s="1"/>
    </row>
    <row r="9344" spans="10:10" x14ac:dyDescent="0.3">
      <c r="J9344" s="1"/>
    </row>
    <row r="9345" spans="10:10" x14ac:dyDescent="0.3">
      <c r="J9345" s="1"/>
    </row>
    <row r="9346" spans="10:10" x14ac:dyDescent="0.3">
      <c r="J9346" s="1"/>
    </row>
    <row r="9347" spans="10:10" x14ac:dyDescent="0.3">
      <c r="J9347" s="1"/>
    </row>
    <row r="9348" spans="10:10" x14ac:dyDescent="0.3">
      <c r="J9348" s="1"/>
    </row>
    <row r="9349" spans="10:10" x14ac:dyDescent="0.3">
      <c r="J9349" s="1"/>
    </row>
    <row r="9350" spans="10:10" x14ac:dyDescent="0.3">
      <c r="J9350" s="1"/>
    </row>
    <row r="9351" spans="10:10" x14ac:dyDescent="0.3">
      <c r="J9351" s="1"/>
    </row>
    <row r="9352" spans="10:10" x14ac:dyDescent="0.3">
      <c r="J9352" s="1"/>
    </row>
    <row r="9353" spans="10:10" x14ac:dyDescent="0.3">
      <c r="J9353" s="1"/>
    </row>
    <row r="9354" spans="10:10" x14ac:dyDescent="0.3">
      <c r="J9354" s="1"/>
    </row>
    <row r="9355" spans="10:10" x14ac:dyDescent="0.3">
      <c r="J9355" s="1"/>
    </row>
    <row r="9356" spans="10:10" x14ac:dyDescent="0.3">
      <c r="J9356" s="1"/>
    </row>
    <row r="9357" spans="10:10" x14ac:dyDescent="0.3">
      <c r="J9357" s="1"/>
    </row>
    <row r="9358" spans="10:10" x14ac:dyDescent="0.3">
      <c r="J9358" s="1"/>
    </row>
    <row r="9359" spans="10:10" x14ac:dyDescent="0.3">
      <c r="J9359" s="1"/>
    </row>
    <row r="9360" spans="10:10" x14ac:dyDescent="0.3">
      <c r="J9360" s="1"/>
    </row>
    <row r="9361" spans="10:10" x14ac:dyDescent="0.3">
      <c r="J9361" s="1"/>
    </row>
    <row r="9362" spans="10:10" x14ac:dyDescent="0.3">
      <c r="J9362" s="1"/>
    </row>
    <row r="9363" spans="10:10" x14ac:dyDescent="0.3">
      <c r="J9363" s="1"/>
    </row>
    <row r="9364" spans="10:10" x14ac:dyDescent="0.3">
      <c r="J9364" s="1"/>
    </row>
    <row r="9365" spans="10:10" x14ac:dyDescent="0.3">
      <c r="J9365" s="1"/>
    </row>
    <row r="9366" spans="10:10" x14ac:dyDescent="0.3">
      <c r="J9366" s="1"/>
    </row>
    <row r="9367" spans="10:10" x14ac:dyDescent="0.3">
      <c r="J9367" s="1"/>
    </row>
    <row r="9368" spans="10:10" x14ac:dyDescent="0.3">
      <c r="J9368" s="1"/>
    </row>
    <row r="9369" spans="10:10" x14ac:dyDescent="0.3">
      <c r="J9369" s="1"/>
    </row>
    <row r="9370" spans="10:10" x14ac:dyDescent="0.3">
      <c r="J9370" s="1"/>
    </row>
    <row r="9371" spans="10:10" x14ac:dyDescent="0.3">
      <c r="J9371" s="1"/>
    </row>
    <row r="9372" spans="10:10" x14ac:dyDescent="0.3">
      <c r="J9372" s="1"/>
    </row>
    <row r="9373" spans="10:10" x14ac:dyDescent="0.3">
      <c r="J9373" s="1"/>
    </row>
    <row r="9374" spans="10:10" x14ac:dyDescent="0.3">
      <c r="J9374" s="1"/>
    </row>
    <row r="9375" spans="10:10" x14ac:dyDescent="0.3">
      <c r="J9375" s="1"/>
    </row>
    <row r="9376" spans="10:10" x14ac:dyDescent="0.3">
      <c r="J9376" s="1"/>
    </row>
    <row r="9377" spans="10:10" x14ac:dyDescent="0.3">
      <c r="J9377" s="1"/>
    </row>
    <row r="9378" spans="10:10" x14ac:dyDescent="0.3">
      <c r="J9378" s="1"/>
    </row>
    <row r="9379" spans="10:10" x14ac:dyDescent="0.3">
      <c r="J9379" s="1"/>
    </row>
    <row r="9380" spans="10:10" x14ac:dyDescent="0.3">
      <c r="J9380" s="1"/>
    </row>
    <row r="9381" spans="10:10" x14ac:dyDescent="0.3">
      <c r="J9381" s="1"/>
    </row>
    <row r="9382" spans="10:10" x14ac:dyDescent="0.3">
      <c r="J9382" s="1"/>
    </row>
    <row r="9383" spans="10:10" x14ac:dyDescent="0.3">
      <c r="J9383" s="1"/>
    </row>
    <row r="9384" spans="10:10" x14ac:dyDescent="0.3">
      <c r="J9384" s="1"/>
    </row>
    <row r="9385" spans="10:10" x14ac:dyDescent="0.3">
      <c r="J9385" s="1"/>
    </row>
    <row r="9386" spans="10:10" x14ac:dyDescent="0.3">
      <c r="J9386" s="1"/>
    </row>
    <row r="9387" spans="10:10" x14ac:dyDescent="0.3">
      <c r="J9387" s="1"/>
    </row>
    <row r="9388" spans="10:10" x14ac:dyDescent="0.3">
      <c r="J9388" s="1"/>
    </row>
    <row r="9389" spans="10:10" x14ac:dyDescent="0.3">
      <c r="J9389" s="1"/>
    </row>
    <row r="9390" spans="10:10" x14ac:dyDescent="0.3">
      <c r="J9390" s="1"/>
    </row>
    <row r="9391" spans="10:10" x14ac:dyDescent="0.3">
      <c r="J9391" s="1"/>
    </row>
    <row r="9392" spans="10:10" x14ac:dyDescent="0.3">
      <c r="J9392" s="1"/>
    </row>
    <row r="9393" spans="10:10" x14ac:dyDescent="0.3">
      <c r="J9393" s="1"/>
    </row>
    <row r="9394" spans="10:10" x14ac:dyDescent="0.3">
      <c r="J9394" s="1"/>
    </row>
    <row r="9395" spans="10:10" x14ac:dyDescent="0.3">
      <c r="J9395" s="1"/>
    </row>
    <row r="9396" spans="10:10" x14ac:dyDescent="0.3">
      <c r="J9396" s="1"/>
    </row>
    <row r="9397" spans="10:10" x14ac:dyDescent="0.3">
      <c r="J9397" s="1"/>
    </row>
    <row r="9398" spans="10:10" x14ac:dyDescent="0.3">
      <c r="J9398" s="1"/>
    </row>
    <row r="9399" spans="10:10" x14ac:dyDescent="0.3">
      <c r="J9399" s="1"/>
    </row>
    <row r="9400" spans="10:10" x14ac:dyDescent="0.3">
      <c r="J9400" s="1"/>
    </row>
    <row r="9401" spans="10:10" x14ac:dyDescent="0.3">
      <c r="J9401" s="1"/>
    </row>
    <row r="9402" spans="10:10" x14ac:dyDescent="0.3">
      <c r="J9402" s="1"/>
    </row>
    <row r="9403" spans="10:10" x14ac:dyDescent="0.3">
      <c r="J9403" s="1"/>
    </row>
    <row r="9404" spans="10:10" x14ac:dyDescent="0.3">
      <c r="J9404" s="1"/>
    </row>
    <row r="9405" spans="10:10" x14ac:dyDescent="0.3">
      <c r="J9405" s="1"/>
    </row>
    <row r="9406" spans="10:10" x14ac:dyDescent="0.3">
      <c r="J9406" s="1"/>
    </row>
    <row r="9407" spans="10:10" x14ac:dyDescent="0.3">
      <c r="J9407" s="1"/>
    </row>
    <row r="9408" spans="10:10" x14ac:dyDescent="0.3">
      <c r="J9408" s="1"/>
    </row>
    <row r="9409" spans="10:10" x14ac:dyDescent="0.3">
      <c r="J9409" s="1"/>
    </row>
    <row r="9410" spans="10:10" x14ac:dyDescent="0.3">
      <c r="J9410" s="1"/>
    </row>
    <row r="9411" spans="10:10" x14ac:dyDescent="0.3">
      <c r="J9411" s="1"/>
    </row>
    <row r="9412" spans="10:10" x14ac:dyDescent="0.3">
      <c r="J9412" s="1"/>
    </row>
    <row r="9413" spans="10:10" x14ac:dyDescent="0.3">
      <c r="J9413" s="1"/>
    </row>
    <row r="9414" spans="10:10" x14ac:dyDescent="0.3">
      <c r="J9414" s="1"/>
    </row>
    <row r="9415" spans="10:10" x14ac:dyDescent="0.3">
      <c r="J9415" s="1"/>
    </row>
    <row r="9416" spans="10:10" x14ac:dyDescent="0.3">
      <c r="J9416" s="1"/>
    </row>
    <row r="9417" spans="10:10" x14ac:dyDescent="0.3">
      <c r="J9417" s="1"/>
    </row>
    <row r="9418" spans="10:10" x14ac:dyDescent="0.3">
      <c r="J9418" s="1"/>
    </row>
    <row r="9419" spans="10:10" x14ac:dyDescent="0.3">
      <c r="J9419" s="1"/>
    </row>
    <row r="9420" spans="10:10" x14ac:dyDescent="0.3">
      <c r="J9420" s="1"/>
    </row>
    <row r="9421" spans="10:10" x14ac:dyDescent="0.3">
      <c r="J9421" s="1"/>
    </row>
    <row r="9422" spans="10:10" x14ac:dyDescent="0.3">
      <c r="J9422" s="1"/>
    </row>
    <row r="9423" spans="10:10" x14ac:dyDescent="0.3">
      <c r="J9423" s="1"/>
    </row>
    <row r="9424" spans="10:10" x14ac:dyDescent="0.3">
      <c r="J9424" s="1"/>
    </row>
    <row r="9425" spans="10:10" x14ac:dyDescent="0.3">
      <c r="J9425" s="1"/>
    </row>
    <row r="9426" spans="10:10" x14ac:dyDescent="0.3">
      <c r="J9426" s="1"/>
    </row>
    <row r="9427" spans="10:10" x14ac:dyDescent="0.3">
      <c r="J9427" s="1"/>
    </row>
    <row r="9428" spans="10:10" x14ac:dyDescent="0.3">
      <c r="J9428" s="1"/>
    </row>
    <row r="9429" spans="10:10" x14ac:dyDescent="0.3">
      <c r="J9429" s="1"/>
    </row>
    <row r="9430" spans="10:10" x14ac:dyDescent="0.3">
      <c r="J9430" s="1"/>
    </row>
    <row r="9431" spans="10:10" x14ac:dyDescent="0.3">
      <c r="J9431" s="1"/>
    </row>
    <row r="9432" spans="10:10" x14ac:dyDescent="0.3">
      <c r="J9432" s="1"/>
    </row>
    <row r="9433" spans="10:10" x14ac:dyDescent="0.3">
      <c r="J9433" s="1"/>
    </row>
    <row r="9434" spans="10:10" x14ac:dyDescent="0.3">
      <c r="J9434" s="1"/>
    </row>
    <row r="9435" spans="10:10" x14ac:dyDescent="0.3">
      <c r="J9435" s="1"/>
    </row>
    <row r="9436" spans="10:10" x14ac:dyDescent="0.3">
      <c r="J9436" s="1"/>
    </row>
    <row r="9437" spans="10:10" x14ac:dyDescent="0.3">
      <c r="J9437" s="1"/>
    </row>
    <row r="9438" spans="10:10" x14ac:dyDescent="0.3">
      <c r="J9438" s="1"/>
    </row>
    <row r="9439" spans="10:10" x14ac:dyDescent="0.3">
      <c r="J9439" s="1"/>
    </row>
    <row r="9440" spans="10:10" x14ac:dyDescent="0.3">
      <c r="J9440" s="1"/>
    </row>
    <row r="9441" spans="10:10" x14ac:dyDescent="0.3">
      <c r="J9441" s="1"/>
    </row>
    <row r="9442" spans="10:10" x14ac:dyDescent="0.3">
      <c r="J9442" s="1"/>
    </row>
    <row r="9443" spans="10:10" x14ac:dyDescent="0.3">
      <c r="J9443" s="1"/>
    </row>
    <row r="9444" spans="10:10" x14ac:dyDescent="0.3">
      <c r="J9444" s="1"/>
    </row>
    <row r="9445" spans="10:10" x14ac:dyDescent="0.3">
      <c r="J9445" s="1"/>
    </row>
    <row r="9446" spans="10:10" x14ac:dyDescent="0.3">
      <c r="J9446" s="1"/>
    </row>
    <row r="9447" spans="10:10" x14ac:dyDescent="0.3">
      <c r="J9447" s="1"/>
    </row>
    <row r="9448" spans="10:10" x14ac:dyDescent="0.3">
      <c r="J9448" s="1"/>
    </row>
    <row r="9449" spans="10:10" x14ac:dyDescent="0.3">
      <c r="J9449" s="1"/>
    </row>
    <row r="9450" spans="10:10" x14ac:dyDescent="0.3">
      <c r="J9450" s="1"/>
    </row>
    <row r="9451" spans="10:10" x14ac:dyDescent="0.3">
      <c r="J9451" s="1"/>
    </row>
    <row r="9452" spans="10:10" x14ac:dyDescent="0.3">
      <c r="J9452" s="1"/>
    </row>
    <row r="9453" spans="10:10" x14ac:dyDescent="0.3">
      <c r="J9453" s="1"/>
    </row>
    <row r="9454" spans="10:10" x14ac:dyDescent="0.3">
      <c r="J9454" s="1"/>
    </row>
    <row r="9455" spans="10:10" x14ac:dyDescent="0.3">
      <c r="J9455" s="1"/>
    </row>
    <row r="9456" spans="10:10" x14ac:dyDescent="0.3">
      <c r="J9456" s="1"/>
    </row>
    <row r="9457" spans="10:10" x14ac:dyDescent="0.3">
      <c r="J9457" s="1"/>
    </row>
    <row r="9458" spans="10:10" x14ac:dyDescent="0.3">
      <c r="J9458" s="1"/>
    </row>
    <row r="9459" spans="10:10" x14ac:dyDescent="0.3">
      <c r="J9459" s="1"/>
    </row>
    <row r="9460" spans="10:10" x14ac:dyDescent="0.3">
      <c r="J9460" s="1"/>
    </row>
    <row r="9461" spans="10:10" x14ac:dyDescent="0.3">
      <c r="J9461" s="1"/>
    </row>
    <row r="9462" spans="10:10" x14ac:dyDescent="0.3">
      <c r="J9462" s="1"/>
    </row>
    <row r="9463" spans="10:10" x14ac:dyDescent="0.3">
      <c r="J9463" s="1"/>
    </row>
    <row r="9464" spans="10:10" x14ac:dyDescent="0.3">
      <c r="J9464" s="1"/>
    </row>
    <row r="9465" spans="10:10" x14ac:dyDescent="0.3">
      <c r="J9465" s="1"/>
    </row>
    <row r="9466" spans="10:10" x14ac:dyDescent="0.3">
      <c r="J9466" s="1"/>
    </row>
    <row r="9467" spans="10:10" x14ac:dyDescent="0.3">
      <c r="J9467" s="1"/>
    </row>
    <row r="9468" spans="10:10" x14ac:dyDescent="0.3">
      <c r="J9468" s="1"/>
    </row>
    <row r="9469" spans="10:10" x14ac:dyDescent="0.3">
      <c r="J9469" s="1"/>
    </row>
    <row r="9470" spans="10:10" x14ac:dyDescent="0.3">
      <c r="J9470" s="1"/>
    </row>
    <row r="9471" spans="10:10" x14ac:dyDescent="0.3">
      <c r="J9471" s="1"/>
    </row>
    <row r="9472" spans="10:10" x14ac:dyDescent="0.3">
      <c r="J9472" s="1"/>
    </row>
    <row r="9473" spans="10:10" x14ac:dyDescent="0.3">
      <c r="J9473" s="1"/>
    </row>
    <row r="9474" spans="10:10" x14ac:dyDescent="0.3">
      <c r="J9474" s="1"/>
    </row>
    <row r="9475" spans="10:10" x14ac:dyDescent="0.3">
      <c r="J9475" s="1"/>
    </row>
    <row r="9476" spans="10:10" x14ac:dyDescent="0.3">
      <c r="J9476" s="1"/>
    </row>
    <row r="9477" spans="10:10" x14ac:dyDescent="0.3">
      <c r="J9477" s="1"/>
    </row>
    <row r="9478" spans="10:10" x14ac:dyDescent="0.3">
      <c r="J9478" s="1"/>
    </row>
    <row r="9479" spans="10:10" x14ac:dyDescent="0.3">
      <c r="J9479" s="1"/>
    </row>
    <row r="9480" spans="10:10" x14ac:dyDescent="0.3">
      <c r="J9480" s="1"/>
    </row>
    <row r="9481" spans="10:10" x14ac:dyDescent="0.3">
      <c r="J9481" s="1"/>
    </row>
    <row r="9482" spans="10:10" x14ac:dyDescent="0.3">
      <c r="J9482" s="1"/>
    </row>
    <row r="9483" spans="10:10" x14ac:dyDescent="0.3">
      <c r="J9483" s="1"/>
    </row>
    <row r="9484" spans="10:10" x14ac:dyDescent="0.3">
      <c r="J9484" s="1"/>
    </row>
    <row r="9485" spans="10:10" x14ac:dyDescent="0.3">
      <c r="J9485" s="1"/>
    </row>
    <row r="9486" spans="10:10" x14ac:dyDescent="0.3">
      <c r="J9486" s="1"/>
    </row>
    <row r="9487" spans="10:10" x14ac:dyDescent="0.3">
      <c r="J9487" s="1"/>
    </row>
    <row r="9488" spans="10:10" x14ac:dyDescent="0.3">
      <c r="J9488" s="1"/>
    </row>
    <row r="9489" spans="10:10" x14ac:dyDescent="0.3">
      <c r="J9489" s="1"/>
    </row>
    <row r="9490" spans="10:10" x14ac:dyDescent="0.3">
      <c r="J9490" s="1"/>
    </row>
    <row r="9491" spans="10:10" x14ac:dyDescent="0.3">
      <c r="J9491" s="1"/>
    </row>
    <row r="9492" spans="10:10" x14ac:dyDescent="0.3">
      <c r="J9492" s="1"/>
    </row>
    <row r="9493" spans="10:10" x14ac:dyDescent="0.3">
      <c r="J9493" s="1"/>
    </row>
    <row r="9494" spans="10:10" x14ac:dyDescent="0.3">
      <c r="J9494" s="1"/>
    </row>
    <row r="9495" spans="10:10" x14ac:dyDescent="0.3">
      <c r="J9495" s="1"/>
    </row>
    <row r="9496" spans="10:10" x14ac:dyDescent="0.3">
      <c r="J9496" s="1"/>
    </row>
    <row r="9497" spans="10:10" x14ac:dyDescent="0.3">
      <c r="J9497" s="1"/>
    </row>
    <row r="9498" spans="10:10" x14ac:dyDescent="0.3">
      <c r="J9498" s="1"/>
    </row>
    <row r="9499" spans="10:10" x14ac:dyDescent="0.3">
      <c r="J9499" s="1"/>
    </row>
    <row r="9500" spans="10:10" x14ac:dyDescent="0.3">
      <c r="J9500" s="1"/>
    </row>
    <row r="9501" spans="10:10" x14ac:dyDescent="0.3">
      <c r="J9501" s="1"/>
    </row>
    <row r="9502" spans="10:10" x14ac:dyDescent="0.3">
      <c r="J9502" s="1"/>
    </row>
    <row r="9503" spans="10:10" x14ac:dyDescent="0.3">
      <c r="J9503" s="1"/>
    </row>
    <row r="9504" spans="10:10" x14ac:dyDescent="0.3">
      <c r="J9504" s="1"/>
    </row>
    <row r="9505" spans="10:10" x14ac:dyDescent="0.3">
      <c r="J9505" s="1"/>
    </row>
    <row r="9506" spans="10:10" x14ac:dyDescent="0.3">
      <c r="J9506" s="1"/>
    </row>
    <row r="9507" spans="10:10" x14ac:dyDescent="0.3">
      <c r="J9507" s="1"/>
    </row>
    <row r="9508" spans="10:10" x14ac:dyDescent="0.3">
      <c r="J9508" s="1"/>
    </row>
    <row r="9509" spans="10:10" x14ac:dyDescent="0.3">
      <c r="J9509" s="1"/>
    </row>
    <row r="9510" spans="10:10" x14ac:dyDescent="0.3">
      <c r="J9510" s="1"/>
    </row>
    <row r="9511" spans="10:10" x14ac:dyDescent="0.3">
      <c r="J9511" s="1"/>
    </row>
    <row r="9512" spans="10:10" x14ac:dyDescent="0.3">
      <c r="J9512" s="1"/>
    </row>
    <row r="9513" spans="10:10" x14ac:dyDescent="0.3">
      <c r="J9513" s="1"/>
    </row>
    <row r="9514" spans="10:10" x14ac:dyDescent="0.3">
      <c r="J9514" s="1"/>
    </row>
    <row r="9515" spans="10:10" x14ac:dyDescent="0.3">
      <c r="J9515" s="1"/>
    </row>
    <row r="9516" spans="10:10" x14ac:dyDescent="0.3">
      <c r="J9516" s="1"/>
    </row>
    <row r="9517" spans="10:10" x14ac:dyDescent="0.3">
      <c r="J9517" s="1"/>
    </row>
    <row r="9518" spans="10:10" x14ac:dyDescent="0.3">
      <c r="J9518" s="1"/>
    </row>
    <row r="9519" spans="10:10" x14ac:dyDescent="0.3">
      <c r="J9519" s="1"/>
    </row>
    <row r="9520" spans="10:10" x14ac:dyDescent="0.3">
      <c r="J9520" s="1"/>
    </row>
    <row r="9521" spans="10:10" x14ac:dyDescent="0.3">
      <c r="J9521" s="1"/>
    </row>
    <row r="9522" spans="10:10" x14ac:dyDescent="0.3">
      <c r="J9522" s="1"/>
    </row>
    <row r="9523" spans="10:10" x14ac:dyDescent="0.3">
      <c r="J9523" s="1"/>
    </row>
    <row r="9524" spans="10:10" x14ac:dyDescent="0.3">
      <c r="J9524" s="1"/>
    </row>
    <row r="9525" spans="10:10" x14ac:dyDescent="0.3">
      <c r="J9525" s="1"/>
    </row>
    <row r="9526" spans="10:10" x14ac:dyDescent="0.3">
      <c r="J9526" s="1"/>
    </row>
    <row r="9527" spans="10:10" x14ac:dyDescent="0.3">
      <c r="J9527" s="1"/>
    </row>
    <row r="9528" spans="10:10" x14ac:dyDescent="0.3">
      <c r="J9528" s="1"/>
    </row>
    <row r="9529" spans="10:10" x14ac:dyDescent="0.3">
      <c r="J9529" s="1"/>
    </row>
    <row r="9530" spans="10:10" x14ac:dyDescent="0.3">
      <c r="J9530" s="1"/>
    </row>
    <row r="9531" spans="10:10" x14ac:dyDescent="0.3">
      <c r="J9531" s="1"/>
    </row>
    <row r="9532" spans="10:10" x14ac:dyDescent="0.3">
      <c r="J9532" s="1"/>
    </row>
    <row r="9533" spans="10:10" x14ac:dyDescent="0.3">
      <c r="J9533" s="1"/>
    </row>
    <row r="9534" spans="10:10" x14ac:dyDescent="0.3">
      <c r="J9534" s="1"/>
    </row>
    <row r="9535" spans="10:10" x14ac:dyDescent="0.3">
      <c r="J9535" s="1"/>
    </row>
    <row r="9536" spans="10:10" x14ac:dyDescent="0.3">
      <c r="J9536" s="1"/>
    </row>
    <row r="9537" spans="10:10" x14ac:dyDescent="0.3">
      <c r="J9537" s="1"/>
    </row>
    <row r="9538" spans="10:10" x14ac:dyDescent="0.3">
      <c r="J9538" s="1"/>
    </row>
    <row r="9539" spans="10:10" x14ac:dyDescent="0.3">
      <c r="J9539" s="1"/>
    </row>
    <row r="9540" spans="10:10" x14ac:dyDescent="0.3">
      <c r="J9540" s="1"/>
    </row>
    <row r="9541" spans="10:10" x14ac:dyDescent="0.3">
      <c r="J9541" s="1"/>
    </row>
    <row r="9542" spans="10:10" x14ac:dyDescent="0.3">
      <c r="J9542" s="1"/>
    </row>
    <row r="9543" spans="10:10" x14ac:dyDescent="0.3">
      <c r="J9543" s="1"/>
    </row>
    <row r="9544" spans="10:10" x14ac:dyDescent="0.3">
      <c r="J9544" s="1"/>
    </row>
    <row r="9545" spans="10:10" x14ac:dyDescent="0.3">
      <c r="J9545" s="1"/>
    </row>
    <row r="9546" spans="10:10" x14ac:dyDescent="0.3">
      <c r="J9546" s="1"/>
    </row>
    <row r="9547" spans="10:10" x14ac:dyDescent="0.3">
      <c r="J9547" s="1"/>
    </row>
    <row r="9548" spans="10:10" x14ac:dyDescent="0.3">
      <c r="J9548" s="1"/>
    </row>
    <row r="9549" spans="10:10" x14ac:dyDescent="0.3">
      <c r="J9549" s="1"/>
    </row>
    <row r="9550" spans="10:10" x14ac:dyDescent="0.3">
      <c r="J9550" s="1"/>
    </row>
    <row r="9551" spans="10:10" x14ac:dyDescent="0.3">
      <c r="J9551" s="1"/>
    </row>
    <row r="9552" spans="10:10" x14ac:dyDescent="0.3">
      <c r="J9552" s="1"/>
    </row>
    <row r="9553" spans="10:10" x14ac:dyDescent="0.3">
      <c r="J9553" s="1"/>
    </row>
    <row r="9554" spans="10:10" x14ac:dyDescent="0.3">
      <c r="J9554" s="1"/>
    </row>
    <row r="9555" spans="10:10" x14ac:dyDescent="0.3">
      <c r="J9555" s="1"/>
    </row>
    <row r="9556" spans="10:10" x14ac:dyDescent="0.3">
      <c r="J9556" s="1"/>
    </row>
    <row r="9557" spans="10:10" x14ac:dyDescent="0.3">
      <c r="J9557" s="1"/>
    </row>
    <row r="9558" spans="10:10" x14ac:dyDescent="0.3">
      <c r="J9558" s="1"/>
    </row>
    <row r="9559" spans="10:10" x14ac:dyDescent="0.3">
      <c r="J9559" s="1"/>
    </row>
    <row r="9560" spans="10:10" x14ac:dyDescent="0.3">
      <c r="J9560" s="1"/>
    </row>
    <row r="9561" spans="10:10" x14ac:dyDescent="0.3">
      <c r="J9561" s="1"/>
    </row>
    <row r="9562" spans="10:10" x14ac:dyDescent="0.3">
      <c r="J9562" s="1"/>
    </row>
    <row r="9563" spans="10:10" x14ac:dyDescent="0.3">
      <c r="J9563" s="1"/>
    </row>
    <row r="9564" spans="10:10" x14ac:dyDescent="0.3">
      <c r="J9564" s="1"/>
    </row>
    <row r="9565" spans="10:10" x14ac:dyDescent="0.3">
      <c r="J9565" s="1"/>
    </row>
    <row r="9566" spans="10:10" x14ac:dyDescent="0.3">
      <c r="J9566" s="1"/>
    </row>
    <row r="9567" spans="10:10" x14ac:dyDescent="0.3">
      <c r="J9567" s="1"/>
    </row>
    <row r="9568" spans="10:10" x14ac:dyDescent="0.3">
      <c r="J9568" s="1"/>
    </row>
    <row r="9569" spans="10:10" x14ac:dyDescent="0.3">
      <c r="J9569" s="1"/>
    </row>
    <row r="9570" spans="10:10" x14ac:dyDescent="0.3">
      <c r="J9570" s="1"/>
    </row>
    <row r="9571" spans="10:10" x14ac:dyDescent="0.3">
      <c r="J9571" s="1"/>
    </row>
    <row r="9572" spans="10:10" x14ac:dyDescent="0.3">
      <c r="J9572" s="1"/>
    </row>
    <row r="9573" spans="10:10" x14ac:dyDescent="0.3">
      <c r="J9573" s="1"/>
    </row>
    <row r="9574" spans="10:10" x14ac:dyDescent="0.3">
      <c r="J9574" s="1"/>
    </row>
    <row r="9575" spans="10:10" x14ac:dyDescent="0.3">
      <c r="J9575" s="1"/>
    </row>
    <row r="9576" spans="10:10" x14ac:dyDescent="0.3">
      <c r="J9576" s="1"/>
    </row>
    <row r="9577" spans="10:10" x14ac:dyDescent="0.3">
      <c r="J9577" s="1"/>
    </row>
    <row r="9578" spans="10:10" x14ac:dyDescent="0.3">
      <c r="J9578" s="1"/>
    </row>
    <row r="9579" spans="10:10" x14ac:dyDescent="0.3">
      <c r="J9579" s="1"/>
    </row>
    <row r="9580" spans="10:10" x14ac:dyDescent="0.3">
      <c r="J9580" s="1"/>
    </row>
    <row r="9581" spans="10:10" x14ac:dyDescent="0.3">
      <c r="J9581" s="1"/>
    </row>
    <row r="9582" spans="10:10" x14ac:dyDescent="0.3">
      <c r="J9582" s="1"/>
    </row>
    <row r="9583" spans="10:10" x14ac:dyDescent="0.3">
      <c r="J9583" s="1"/>
    </row>
    <row r="9584" spans="10:10" x14ac:dyDescent="0.3">
      <c r="J9584" s="1"/>
    </row>
    <row r="9585" spans="10:10" x14ac:dyDescent="0.3">
      <c r="J9585" s="1"/>
    </row>
    <row r="9586" spans="10:10" x14ac:dyDescent="0.3">
      <c r="J9586" s="1"/>
    </row>
    <row r="9587" spans="10:10" x14ac:dyDescent="0.3">
      <c r="J9587" s="1"/>
    </row>
    <row r="9588" spans="10:10" x14ac:dyDescent="0.3">
      <c r="J9588" s="1"/>
    </row>
    <row r="9589" spans="10:10" x14ac:dyDescent="0.3">
      <c r="J9589" s="1"/>
    </row>
    <row r="9590" spans="10:10" x14ac:dyDescent="0.3">
      <c r="J9590" s="1"/>
    </row>
    <row r="9591" spans="10:10" x14ac:dyDescent="0.3">
      <c r="J9591" s="1"/>
    </row>
    <row r="9592" spans="10:10" x14ac:dyDescent="0.3">
      <c r="J9592" s="1"/>
    </row>
    <row r="9593" spans="10:10" x14ac:dyDescent="0.3">
      <c r="J9593" s="1"/>
    </row>
    <row r="9594" spans="10:10" x14ac:dyDescent="0.3">
      <c r="J9594" s="1"/>
    </row>
    <row r="9595" spans="10:10" x14ac:dyDescent="0.3">
      <c r="J9595" s="1"/>
    </row>
    <row r="9596" spans="10:10" x14ac:dyDescent="0.3">
      <c r="J9596" s="1"/>
    </row>
    <row r="9597" spans="10:10" x14ac:dyDescent="0.3">
      <c r="J9597" s="1"/>
    </row>
    <row r="9598" spans="10:10" x14ac:dyDescent="0.3">
      <c r="J9598" s="1"/>
    </row>
    <row r="9599" spans="10:10" x14ac:dyDescent="0.3">
      <c r="J9599" s="1"/>
    </row>
    <row r="9600" spans="10:10" x14ac:dyDescent="0.3">
      <c r="J9600" s="1"/>
    </row>
    <row r="9601" spans="10:10" x14ac:dyDescent="0.3">
      <c r="J9601" s="1"/>
    </row>
    <row r="9602" spans="10:10" x14ac:dyDescent="0.3">
      <c r="J9602" s="1"/>
    </row>
    <row r="9603" spans="10:10" x14ac:dyDescent="0.3">
      <c r="J9603" s="1"/>
    </row>
    <row r="9604" spans="10:10" x14ac:dyDescent="0.3">
      <c r="J9604" s="1"/>
    </row>
    <row r="9605" spans="10:10" x14ac:dyDescent="0.3">
      <c r="J9605" s="1"/>
    </row>
    <row r="9606" spans="10:10" x14ac:dyDescent="0.3">
      <c r="J9606" s="1"/>
    </row>
    <row r="9607" spans="10:10" x14ac:dyDescent="0.3">
      <c r="J9607" s="1"/>
    </row>
    <row r="9608" spans="10:10" x14ac:dyDescent="0.3">
      <c r="J9608" s="1"/>
    </row>
    <row r="9609" spans="10:10" x14ac:dyDescent="0.3">
      <c r="J9609" s="1"/>
    </row>
    <row r="9610" spans="10:10" x14ac:dyDescent="0.3">
      <c r="J9610" s="1"/>
    </row>
    <row r="9611" spans="10:10" x14ac:dyDescent="0.3">
      <c r="J9611" s="1"/>
    </row>
    <row r="9612" spans="10:10" x14ac:dyDescent="0.3">
      <c r="J9612" s="1"/>
    </row>
    <row r="9613" spans="10:10" x14ac:dyDescent="0.3">
      <c r="J9613" s="1"/>
    </row>
    <row r="9614" spans="10:10" x14ac:dyDescent="0.3">
      <c r="J9614" s="1"/>
    </row>
    <row r="9615" spans="10:10" x14ac:dyDescent="0.3">
      <c r="J9615" s="1"/>
    </row>
    <row r="9616" spans="10:10" x14ac:dyDescent="0.3">
      <c r="J9616" s="1"/>
    </row>
    <row r="9617" spans="10:10" x14ac:dyDescent="0.3">
      <c r="J9617" s="1"/>
    </row>
    <row r="9618" spans="10:10" x14ac:dyDescent="0.3">
      <c r="J9618" s="1"/>
    </row>
    <row r="9619" spans="10:10" x14ac:dyDescent="0.3">
      <c r="J9619" s="1"/>
    </row>
    <row r="9620" spans="10:10" x14ac:dyDescent="0.3">
      <c r="J9620" s="1"/>
    </row>
    <row r="9621" spans="10:10" x14ac:dyDescent="0.3">
      <c r="J9621" s="1"/>
    </row>
    <row r="9622" spans="10:10" x14ac:dyDescent="0.3">
      <c r="J9622" s="1"/>
    </row>
    <row r="9623" spans="10:10" x14ac:dyDescent="0.3">
      <c r="J9623" s="1"/>
    </row>
    <row r="9624" spans="10:10" x14ac:dyDescent="0.3">
      <c r="J9624" s="1"/>
    </row>
    <row r="9625" spans="10:10" x14ac:dyDescent="0.3">
      <c r="J9625" s="1"/>
    </row>
    <row r="9626" spans="10:10" x14ac:dyDescent="0.3">
      <c r="J9626" s="1"/>
    </row>
    <row r="9627" spans="10:10" x14ac:dyDescent="0.3">
      <c r="J9627" s="1"/>
    </row>
    <row r="9628" spans="10:10" x14ac:dyDescent="0.3">
      <c r="J9628" s="1"/>
    </row>
    <row r="9629" spans="10:10" x14ac:dyDescent="0.3">
      <c r="J9629" s="1"/>
    </row>
    <row r="9630" spans="10:10" x14ac:dyDescent="0.3">
      <c r="J9630" s="1"/>
    </row>
    <row r="9631" spans="10:10" x14ac:dyDescent="0.3">
      <c r="J9631" s="1"/>
    </row>
    <row r="9632" spans="10:10" x14ac:dyDescent="0.3">
      <c r="J9632" s="1"/>
    </row>
    <row r="9633" spans="10:10" x14ac:dyDescent="0.3">
      <c r="J9633" s="1"/>
    </row>
    <row r="9634" spans="10:10" x14ac:dyDescent="0.3">
      <c r="J9634" s="1"/>
    </row>
    <row r="9635" spans="10:10" x14ac:dyDescent="0.3">
      <c r="J9635" s="1"/>
    </row>
    <row r="9636" spans="10:10" x14ac:dyDescent="0.3">
      <c r="J9636" s="1"/>
    </row>
    <row r="9637" spans="10:10" x14ac:dyDescent="0.3">
      <c r="J9637" s="1"/>
    </row>
    <row r="9638" spans="10:10" x14ac:dyDescent="0.3">
      <c r="J9638" s="1"/>
    </row>
    <row r="9639" spans="10:10" x14ac:dyDescent="0.3">
      <c r="J9639" s="1"/>
    </row>
    <row r="9640" spans="10:10" x14ac:dyDescent="0.3">
      <c r="J9640" s="1"/>
    </row>
    <row r="9641" spans="10:10" x14ac:dyDescent="0.3">
      <c r="J9641" s="1"/>
    </row>
    <row r="9642" spans="10:10" x14ac:dyDescent="0.3">
      <c r="J9642" s="1"/>
    </row>
    <row r="9643" spans="10:10" x14ac:dyDescent="0.3">
      <c r="J9643" s="1"/>
    </row>
    <row r="9644" spans="10:10" x14ac:dyDescent="0.3">
      <c r="J9644" s="1"/>
    </row>
    <row r="9645" spans="10:10" x14ac:dyDescent="0.3">
      <c r="J9645" s="1"/>
    </row>
    <row r="9646" spans="10:10" x14ac:dyDescent="0.3">
      <c r="J9646" s="1"/>
    </row>
    <row r="9647" spans="10:10" x14ac:dyDescent="0.3">
      <c r="J9647" s="1"/>
    </row>
    <row r="9648" spans="10:10" x14ac:dyDescent="0.3">
      <c r="J9648" s="1"/>
    </row>
    <row r="9649" spans="10:10" x14ac:dyDescent="0.3">
      <c r="J9649" s="1"/>
    </row>
    <row r="9650" spans="10:10" x14ac:dyDescent="0.3">
      <c r="J9650" s="1"/>
    </row>
    <row r="9651" spans="10:10" x14ac:dyDescent="0.3">
      <c r="J9651" s="1"/>
    </row>
    <row r="9652" spans="10:10" x14ac:dyDescent="0.3">
      <c r="J9652" s="1"/>
    </row>
    <row r="9653" spans="10:10" x14ac:dyDescent="0.3">
      <c r="J9653" s="1"/>
    </row>
    <row r="9654" spans="10:10" x14ac:dyDescent="0.3">
      <c r="J9654" s="1"/>
    </row>
    <row r="9655" spans="10:10" x14ac:dyDescent="0.3">
      <c r="J9655" s="1"/>
    </row>
    <row r="9656" spans="10:10" x14ac:dyDescent="0.3">
      <c r="J9656" s="1"/>
    </row>
    <row r="9657" spans="10:10" x14ac:dyDescent="0.3">
      <c r="J9657" s="1"/>
    </row>
    <row r="9658" spans="10:10" x14ac:dyDescent="0.3">
      <c r="J9658" s="1"/>
    </row>
    <row r="9659" spans="10:10" x14ac:dyDescent="0.3">
      <c r="J9659" s="1"/>
    </row>
    <row r="9660" spans="10:10" x14ac:dyDescent="0.3">
      <c r="J9660" s="1"/>
    </row>
    <row r="9661" spans="10:10" x14ac:dyDescent="0.3">
      <c r="J9661" s="1"/>
    </row>
    <row r="9662" spans="10:10" x14ac:dyDescent="0.3">
      <c r="J9662" s="1"/>
    </row>
    <row r="9663" spans="10:10" x14ac:dyDescent="0.3">
      <c r="J9663" s="1"/>
    </row>
    <row r="9664" spans="10:10" x14ac:dyDescent="0.3">
      <c r="J9664" s="1"/>
    </row>
    <row r="9665" spans="10:10" x14ac:dyDescent="0.3">
      <c r="J9665" s="1"/>
    </row>
    <row r="9666" spans="10:10" x14ac:dyDescent="0.3">
      <c r="J9666" s="1"/>
    </row>
    <row r="9667" spans="10:10" x14ac:dyDescent="0.3">
      <c r="J9667" s="1"/>
    </row>
    <row r="9668" spans="10:10" x14ac:dyDescent="0.3">
      <c r="J9668" s="1"/>
    </row>
    <row r="9669" spans="10:10" x14ac:dyDescent="0.3">
      <c r="J9669" s="1"/>
    </row>
    <row r="9670" spans="10:10" x14ac:dyDescent="0.3">
      <c r="J9670" s="1"/>
    </row>
    <row r="9671" spans="10:10" x14ac:dyDescent="0.3">
      <c r="J9671" s="1"/>
    </row>
    <row r="9672" spans="10:10" x14ac:dyDescent="0.3">
      <c r="J9672" s="1"/>
    </row>
    <row r="9673" spans="10:10" x14ac:dyDescent="0.3">
      <c r="J9673" s="1"/>
    </row>
    <row r="9674" spans="10:10" x14ac:dyDescent="0.3">
      <c r="J9674" s="1"/>
    </row>
    <row r="9675" spans="10:10" x14ac:dyDescent="0.3">
      <c r="J9675" s="1"/>
    </row>
    <row r="9676" spans="10:10" x14ac:dyDescent="0.3">
      <c r="J9676" s="1"/>
    </row>
    <row r="9677" spans="10:10" x14ac:dyDescent="0.3">
      <c r="J9677" s="1"/>
    </row>
    <row r="9678" spans="10:10" x14ac:dyDescent="0.3">
      <c r="J9678" s="1"/>
    </row>
    <row r="9679" spans="10:10" x14ac:dyDescent="0.3">
      <c r="J9679" s="1"/>
    </row>
    <row r="9680" spans="10:10" x14ac:dyDescent="0.3">
      <c r="J9680" s="1"/>
    </row>
    <row r="9681" spans="10:10" x14ac:dyDescent="0.3">
      <c r="J9681" s="1"/>
    </row>
    <row r="9682" spans="10:10" x14ac:dyDescent="0.3">
      <c r="J9682" s="1"/>
    </row>
    <row r="9683" spans="10:10" x14ac:dyDescent="0.3">
      <c r="J9683" s="1"/>
    </row>
    <row r="9684" spans="10:10" x14ac:dyDescent="0.3">
      <c r="J9684" s="1"/>
    </row>
    <row r="9685" spans="10:10" x14ac:dyDescent="0.3">
      <c r="J9685" s="1"/>
    </row>
    <row r="9686" spans="10:10" x14ac:dyDescent="0.3">
      <c r="J9686" s="1"/>
    </row>
    <row r="9687" spans="10:10" x14ac:dyDescent="0.3">
      <c r="J9687" s="1"/>
    </row>
    <row r="9688" spans="10:10" x14ac:dyDescent="0.3">
      <c r="J9688" s="1"/>
    </row>
    <row r="9689" spans="10:10" x14ac:dyDescent="0.3">
      <c r="J9689" s="1"/>
    </row>
    <row r="9690" spans="10:10" x14ac:dyDescent="0.3">
      <c r="J9690" s="1"/>
    </row>
    <row r="9691" spans="10:10" x14ac:dyDescent="0.3">
      <c r="J9691" s="1"/>
    </row>
    <row r="9692" spans="10:10" x14ac:dyDescent="0.3">
      <c r="J9692" s="1"/>
    </row>
    <row r="9693" spans="10:10" x14ac:dyDescent="0.3">
      <c r="J9693" s="1"/>
    </row>
    <row r="9694" spans="10:10" x14ac:dyDescent="0.3">
      <c r="J9694" s="1"/>
    </row>
    <row r="9695" spans="10:10" x14ac:dyDescent="0.3">
      <c r="J9695" s="1"/>
    </row>
    <row r="9696" spans="10:10" x14ac:dyDescent="0.3">
      <c r="J9696" s="1"/>
    </row>
    <row r="9697" spans="10:10" x14ac:dyDescent="0.3">
      <c r="J9697" s="1"/>
    </row>
    <row r="9698" spans="10:10" x14ac:dyDescent="0.3">
      <c r="J9698" s="1"/>
    </row>
    <row r="9699" spans="10:10" x14ac:dyDescent="0.3">
      <c r="J9699" s="1"/>
    </row>
    <row r="9700" spans="10:10" x14ac:dyDescent="0.3">
      <c r="J9700" s="1"/>
    </row>
    <row r="9701" spans="10:10" x14ac:dyDescent="0.3">
      <c r="J9701" s="1"/>
    </row>
    <row r="9702" spans="10:10" x14ac:dyDescent="0.3">
      <c r="J9702" s="1"/>
    </row>
    <row r="9703" spans="10:10" x14ac:dyDescent="0.3">
      <c r="J9703" s="1"/>
    </row>
    <row r="9704" spans="10:10" x14ac:dyDescent="0.3">
      <c r="J9704" s="1"/>
    </row>
    <row r="9705" spans="10:10" x14ac:dyDescent="0.3">
      <c r="J9705" s="1"/>
    </row>
    <row r="9706" spans="10:10" x14ac:dyDescent="0.3">
      <c r="J9706" s="1"/>
    </row>
    <row r="9707" spans="10:10" x14ac:dyDescent="0.3">
      <c r="J9707" s="1"/>
    </row>
    <row r="9708" spans="10:10" x14ac:dyDescent="0.3">
      <c r="J9708" s="1"/>
    </row>
    <row r="9709" spans="10:10" x14ac:dyDescent="0.3">
      <c r="J9709" s="1"/>
    </row>
    <row r="9710" spans="10:10" x14ac:dyDescent="0.3">
      <c r="J9710" s="1"/>
    </row>
    <row r="9711" spans="10:10" x14ac:dyDescent="0.3">
      <c r="J9711" s="1"/>
    </row>
    <row r="9712" spans="10:10" x14ac:dyDescent="0.3">
      <c r="J9712" s="1"/>
    </row>
    <row r="9713" spans="10:10" x14ac:dyDescent="0.3">
      <c r="J9713" s="1"/>
    </row>
    <row r="9714" spans="10:10" x14ac:dyDescent="0.3">
      <c r="J9714" s="1"/>
    </row>
    <row r="9715" spans="10:10" x14ac:dyDescent="0.3">
      <c r="J9715" s="1"/>
    </row>
    <row r="9716" spans="10:10" x14ac:dyDescent="0.3">
      <c r="J9716" s="1"/>
    </row>
    <row r="9717" spans="10:10" x14ac:dyDescent="0.3">
      <c r="J9717" s="1"/>
    </row>
    <row r="9718" spans="10:10" x14ac:dyDescent="0.3">
      <c r="J9718" s="1"/>
    </row>
    <row r="9719" spans="10:10" x14ac:dyDescent="0.3">
      <c r="J9719" s="1"/>
    </row>
    <row r="9720" spans="10:10" x14ac:dyDescent="0.3">
      <c r="J9720" s="1"/>
    </row>
    <row r="9721" spans="10:10" x14ac:dyDescent="0.3">
      <c r="J9721" s="1"/>
    </row>
    <row r="9722" spans="10:10" x14ac:dyDescent="0.3">
      <c r="J9722" s="1"/>
    </row>
    <row r="9723" spans="10:10" x14ac:dyDescent="0.3">
      <c r="J9723" s="1"/>
    </row>
    <row r="9724" spans="10:10" x14ac:dyDescent="0.3">
      <c r="J9724" s="1"/>
    </row>
    <row r="9725" spans="10:10" x14ac:dyDescent="0.3">
      <c r="J9725" s="1"/>
    </row>
    <row r="9726" spans="10:10" x14ac:dyDescent="0.3">
      <c r="J9726" s="1"/>
    </row>
    <row r="9727" spans="10:10" x14ac:dyDescent="0.3">
      <c r="J9727" s="1"/>
    </row>
    <row r="9728" spans="10:10" x14ac:dyDescent="0.3">
      <c r="J9728" s="1"/>
    </row>
    <row r="9729" spans="10:10" x14ac:dyDescent="0.3">
      <c r="J9729" s="1"/>
    </row>
    <row r="9730" spans="10:10" x14ac:dyDescent="0.3">
      <c r="J9730" s="1"/>
    </row>
    <row r="9731" spans="10:10" x14ac:dyDescent="0.3">
      <c r="J9731" s="1"/>
    </row>
    <row r="9732" spans="10:10" x14ac:dyDescent="0.3">
      <c r="J9732" s="1"/>
    </row>
    <row r="9733" spans="10:10" x14ac:dyDescent="0.3">
      <c r="J9733" s="1"/>
    </row>
    <row r="9734" spans="10:10" x14ac:dyDescent="0.3">
      <c r="J9734" s="1"/>
    </row>
    <row r="9735" spans="10:10" x14ac:dyDescent="0.3">
      <c r="J9735" s="1"/>
    </row>
    <row r="9736" spans="10:10" x14ac:dyDescent="0.3">
      <c r="J9736" s="1"/>
    </row>
    <row r="9737" spans="10:10" x14ac:dyDescent="0.3">
      <c r="J9737" s="1"/>
    </row>
    <row r="9738" spans="10:10" x14ac:dyDescent="0.3">
      <c r="J9738" s="1"/>
    </row>
    <row r="9739" spans="10:10" x14ac:dyDescent="0.3">
      <c r="J9739" s="1"/>
    </row>
    <row r="9740" spans="10:10" x14ac:dyDescent="0.3">
      <c r="J9740" s="1"/>
    </row>
    <row r="9741" spans="10:10" x14ac:dyDescent="0.3">
      <c r="J9741" s="1"/>
    </row>
    <row r="9742" spans="10:10" x14ac:dyDescent="0.3">
      <c r="J9742" s="1"/>
    </row>
    <row r="9743" spans="10:10" x14ac:dyDescent="0.3">
      <c r="J9743" s="1"/>
    </row>
    <row r="9744" spans="10:10" x14ac:dyDescent="0.3">
      <c r="J9744" s="1"/>
    </row>
    <row r="9745" spans="10:10" x14ac:dyDescent="0.3">
      <c r="J9745" s="1"/>
    </row>
    <row r="9746" spans="10:10" x14ac:dyDescent="0.3">
      <c r="J9746" s="1"/>
    </row>
    <row r="9747" spans="10:10" x14ac:dyDescent="0.3">
      <c r="J9747" s="1"/>
    </row>
    <row r="9748" spans="10:10" x14ac:dyDescent="0.3">
      <c r="J9748" s="1"/>
    </row>
    <row r="9749" spans="10:10" x14ac:dyDescent="0.3">
      <c r="J9749" s="1"/>
    </row>
    <row r="9750" spans="10:10" x14ac:dyDescent="0.3">
      <c r="J9750" s="1"/>
    </row>
    <row r="9751" spans="10:10" x14ac:dyDescent="0.3">
      <c r="J9751" s="1"/>
    </row>
    <row r="9752" spans="10:10" x14ac:dyDescent="0.3">
      <c r="J9752" s="1"/>
    </row>
    <row r="9753" spans="10:10" x14ac:dyDescent="0.3">
      <c r="J9753" s="1"/>
    </row>
    <row r="9754" spans="10:10" x14ac:dyDescent="0.3">
      <c r="J9754" s="1"/>
    </row>
    <row r="9755" spans="10:10" x14ac:dyDescent="0.3">
      <c r="J9755" s="1"/>
    </row>
    <row r="9756" spans="10:10" x14ac:dyDescent="0.3">
      <c r="J9756" s="1"/>
    </row>
    <row r="9757" spans="10:10" x14ac:dyDescent="0.3">
      <c r="J9757" s="1"/>
    </row>
    <row r="9758" spans="10:10" x14ac:dyDescent="0.3">
      <c r="J9758" s="1"/>
    </row>
    <row r="9759" spans="10:10" x14ac:dyDescent="0.3">
      <c r="J9759" s="1"/>
    </row>
    <row r="9760" spans="10:10" x14ac:dyDescent="0.3">
      <c r="J9760" s="1"/>
    </row>
    <row r="9761" spans="10:10" x14ac:dyDescent="0.3">
      <c r="J9761" s="1"/>
    </row>
    <row r="9762" spans="10:10" x14ac:dyDescent="0.3">
      <c r="J9762" s="1"/>
    </row>
    <row r="9763" spans="10:10" x14ac:dyDescent="0.3">
      <c r="J9763" s="1"/>
    </row>
    <row r="9764" spans="10:10" x14ac:dyDescent="0.3">
      <c r="J9764" s="1"/>
    </row>
    <row r="9765" spans="10:10" x14ac:dyDescent="0.3">
      <c r="J9765" s="1"/>
    </row>
    <row r="9766" spans="10:10" x14ac:dyDescent="0.3">
      <c r="J9766" s="1"/>
    </row>
    <row r="9767" spans="10:10" x14ac:dyDescent="0.3">
      <c r="J9767" s="1"/>
    </row>
    <row r="9768" spans="10:10" x14ac:dyDescent="0.3">
      <c r="J9768" s="1"/>
    </row>
    <row r="9769" spans="10:10" x14ac:dyDescent="0.3">
      <c r="J9769" s="1"/>
    </row>
    <row r="9770" spans="10:10" x14ac:dyDescent="0.3">
      <c r="J9770" s="1"/>
    </row>
    <row r="9771" spans="10:10" x14ac:dyDescent="0.3">
      <c r="J9771" s="1"/>
    </row>
    <row r="9772" spans="10:10" x14ac:dyDescent="0.3">
      <c r="J9772" s="1"/>
    </row>
    <row r="9773" spans="10:10" x14ac:dyDescent="0.3">
      <c r="J9773" s="1"/>
    </row>
    <row r="9774" spans="10:10" x14ac:dyDescent="0.3">
      <c r="J9774" s="1"/>
    </row>
    <row r="9775" spans="10:10" x14ac:dyDescent="0.3">
      <c r="J9775" s="1"/>
    </row>
    <row r="9776" spans="10:10" x14ac:dyDescent="0.3">
      <c r="J9776" s="1"/>
    </row>
    <row r="9777" spans="10:10" x14ac:dyDescent="0.3">
      <c r="J9777" s="1"/>
    </row>
    <row r="9778" spans="10:10" x14ac:dyDescent="0.3">
      <c r="J9778" s="1"/>
    </row>
    <row r="9779" spans="10:10" x14ac:dyDescent="0.3">
      <c r="J9779" s="1"/>
    </row>
    <row r="9780" spans="10:10" x14ac:dyDescent="0.3">
      <c r="J9780" s="1"/>
    </row>
    <row r="9781" spans="10:10" x14ac:dyDescent="0.3">
      <c r="J9781" s="1"/>
    </row>
    <row r="9782" spans="10:10" x14ac:dyDescent="0.3">
      <c r="J9782" s="1"/>
    </row>
    <row r="9783" spans="10:10" x14ac:dyDescent="0.3">
      <c r="J9783" s="1"/>
    </row>
    <row r="9784" spans="10:10" x14ac:dyDescent="0.3">
      <c r="J9784" s="1"/>
    </row>
    <row r="9785" spans="10:10" x14ac:dyDescent="0.3">
      <c r="J9785" s="1"/>
    </row>
    <row r="9786" spans="10:10" x14ac:dyDescent="0.3">
      <c r="J9786" s="1"/>
    </row>
    <row r="9787" spans="10:10" x14ac:dyDescent="0.3">
      <c r="J9787" s="1"/>
    </row>
    <row r="9788" spans="10:10" x14ac:dyDescent="0.3">
      <c r="J9788" s="1"/>
    </row>
    <row r="9789" spans="10:10" x14ac:dyDescent="0.3">
      <c r="J9789" s="1"/>
    </row>
    <row r="9790" spans="10:10" x14ac:dyDescent="0.3">
      <c r="J9790" s="1"/>
    </row>
    <row r="9791" spans="10:10" x14ac:dyDescent="0.3">
      <c r="J9791" s="1"/>
    </row>
    <row r="9792" spans="10:10" x14ac:dyDescent="0.3">
      <c r="J9792" s="1"/>
    </row>
    <row r="9793" spans="10:10" x14ac:dyDescent="0.3">
      <c r="J9793" s="1"/>
    </row>
    <row r="9794" spans="10:10" x14ac:dyDescent="0.3">
      <c r="J9794" s="1"/>
    </row>
    <row r="9795" spans="10:10" x14ac:dyDescent="0.3">
      <c r="J9795" s="1"/>
    </row>
    <row r="9796" spans="10:10" x14ac:dyDescent="0.3">
      <c r="J9796" s="1"/>
    </row>
    <row r="9797" spans="10:10" x14ac:dyDescent="0.3">
      <c r="J9797" s="1"/>
    </row>
    <row r="9798" spans="10:10" x14ac:dyDescent="0.3">
      <c r="J9798" s="1"/>
    </row>
    <row r="9799" spans="10:10" x14ac:dyDescent="0.3">
      <c r="J9799" s="1"/>
    </row>
    <row r="9800" spans="10:10" x14ac:dyDescent="0.3">
      <c r="J9800" s="1"/>
    </row>
    <row r="9801" spans="10:10" x14ac:dyDescent="0.3">
      <c r="J9801" s="1"/>
    </row>
    <row r="9802" spans="10:10" x14ac:dyDescent="0.3">
      <c r="J9802" s="1"/>
    </row>
    <row r="9803" spans="10:10" x14ac:dyDescent="0.3">
      <c r="J9803" s="1"/>
    </row>
    <row r="9804" spans="10:10" x14ac:dyDescent="0.3">
      <c r="J9804" s="1"/>
    </row>
    <row r="9805" spans="10:10" x14ac:dyDescent="0.3">
      <c r="J9805" s="1"/>
    </row>
    <row r="9806" spans="10:10" x14ac:dyDescent="0.3">
      <c r="J9806" s="1"/>
    </row>
    <row r="9807" spans="10:10" x14ac:dyDescent="0.3">
      <c r="J9807" s="1"/>
    </row>
    <row r="9808" spans="10:10" x14ac:dyDescent="0.3">
      <c r="J9808" s="1"/>
    </row>
    <row r="9809" spans="10:10" x14ac:dyDescent="0.3">
      <c r="J9809" s="1"/>
    </row>
    <row r="9810" spans="10:10" x14ac:dyDescent="0.3">
      <c r="J9810" s="1"/>
    </row>
    <row r="9811" spans="10:10" x14ac:dyDescent="0.3">
      <c r="J9811" s="1"/>
    </row>
    <row r="9812" spans="10:10" x14ac:dyDescent="0.3">
      <c r="J9812" s="1"/>
    </row>
    <row r="9813" spans="10:10" x14ac:dyDescent="0.3">
      <c r="J9813" s="1"/>
    </row>
    <row r="9814" spans="10:10" x14ac:dyDescent="0.3">
      <c r="J9814" s="1"/>
    </row>
    <row r="9815" spans="10:10" x14ac:dyDescent="0.3">
      <c r="J9815" s="1"/>
    </row>
    <row r="9816" spans="10:10" x14ac:dyDescent="0.3">
      <c r="J9816" s="1"/>
    </row>
    <row r="9817" spans="10:10" x14ac:dyDescent="0.3">
      <c r="J9817" s="1"/>
    </row>
    <row r="9818" spans="10:10" x14ac:dyDescent="0.3">
      <c r="J9818" s="1"/>
    </row>
    <row r="9819" spans="10:10" x14ac:dyDescent="0.3">
      <c r="J9819" s="1"/>
    </row>
    <row r="9820" spans="10:10" x14ac:dyDescent="0.3">
      <c r="J9820" s="1"/>
    </row>
    <row r="9821" spans="10:10" x14ac:dyDescent="0.3">
      <c r="J9821" s="1"/>
    </row>
    <row r="9822" spans="10:10" x14ac:dyDescent="0.3">
      <c r="J9822" s="1"/>
    </row>
    <row r="9823" spans="10:10" x14ac:dyDescent="0.3">
      <c r="J9823" s="1"/>
    </row>
    <row r="9824" spans="10:10" x14ac:dyDescent="0.3">
      <c r="J9824" s="1"/>
    </row>
    <row r="9825" spans="10:10" x14ac:dyDescent="0.3">
      <c r="J9825" s="1"/>
    </row>
    <row r="9826" spans="10:10" x14ac:dyDescent="0.3">
      <c r="J9826" s="1"/>
    </row>
    <row r="9827" spans="10:10" x14ac:dyDescent="0.3">
      <c r="J9827" s="1"/>
    </row>
    <row r="9828" spans="10:10" x14ac:dyDescent="0.3">
      <c r="J9828" s="1"/>
    </row>
    <row r="9829" spans="10:10" x14ac:dyDescent="0.3">
      <c r="J9829" s="1"/>
    </row>
    <row r="9830" spans="10:10" x14ac:dyDescent="0.3">
      <c r="J9830" s="1"/>
    </row>
    <row r="9831" spans="10:10" x14ac:dyDescent="0.3">
      <c r="J9831" s="1"/>
    </row>
    <row r="9832" spans="10:10" x14ac:dyDescent="0.3">
      <c r="J9832" s="1"/>
    </row>
    <row r="9833" spans="10:10" x14ac:dyDescent="0.3">
      <c r="J9833" s="1"/>
    </row>
    <row r="9834" spans="10:10" x14ac:dyDescent="0.3">
      <c r="J9834" s="1"/>
    </row>
    <row r="9835" spans="10:10" x14ac:dyDescent="0.3">
      <c r="J9835" s="1"/>
    </row>
    <row r="9836" spans="10:10" x14ac:dyDescent="0.3">
      <c r="J9836" s="1"/>
    </row>
    <row r="9837" spans="10:10" x14ac:dyDescent="0.3">
      <c r="J9837" s="1"/>
    </row>
    <row r="9838" spans="10:10" x14ac:dyDescent="0.3">
      <c r="J9838" s="1"/>
    </row>
    <row r="9839" spans="10:10" x14ac:dyDescent="0.3">
      <c r="J9839" s="1"/>
    </row>
    <row r="9840" spans="10:10" x14ac:dyDescent="0.3">
      <c r="J9840" s="1"/>
    </row>
    <row r="9841" spans="10:10" x14ac:dyDescent="0.3">
      <c r="J9841" s="1"/>
    </row>
    <row r="9842" spans="10:10" x14ac:dyDescent="0.3">
      <c r="J9842" s="1"/>
    </row>
    <row r="9843" spans="10:10" x14ac:dyDescent="0.3">
      <c r="J9843" s="1"/>
    </row>
    <row r="9844" spans="10:10" x14ac:dyDescent="0.3">
      <c r="J9844" s="1"/>
    </row>
    <row r="9845" spans="10:10" x14ac:dyDescent="0.3">
      <c r="J9845" s="1"/>
    </row>
    <row r="9846" spans="10:10" x14ac:dyDescent="0.3">
      <c r="J9846" s="1"/>
    </row>
    <row r="9847" spans="10:10" x14ac:dyDescent="0.3">
      <c r="J9847" s="1"/>
    </row>
    <row r="9848" spans="10:10" x14ac:dyDescent="0.3">
      <c r="J9848" s="1"/>
    </row>
    <row r="9849" spans="10:10" x14ac:dyDescent="0.3">
      <c r="J9849" s="1"/>
    </row>
    <row r="9850" spans="10:10" x14ac:dyDescent="0.3">
      <c r="J9850" s="1"/>
    </row>
    <row r="9851" spans="10:10" x14ac:dyDescent="0.3">
      <c r="J9851" s="1"/>
    </row>
    <row r="9852" spans="10:10" x14ac:dyDescent="0.3">
      <c r="J9852" s="1"/>
    </row>
    <row r="9853" spans="10:10" x14ac:dyDescent="0.3">
      <c r="J9853" s="1"/>
    </row>
    <row r="9854" spans="10:10" x14ac:dyDescent="0.3">
      <c r="J9854" s="1"/>
    </row>
    <row r="9855" spans="10:10" x14ac:dyDescent="0.3">
      <c r="J9855" s="1"/>
    </row>
    <row r="9856" spans="10:10" x14ac:dyDescent="0.3">
      <c r="J9856" s="1"/>
    </row>
    <row r="9857" spans="10:10" x14ac:dyDescent="0.3">
      <c r="J9857" s="1"/>
    </row>
    <row r="9858" spans="10:10" x14ac:dyDescent="0.3">
      <c r="J9858" s="1"/>
    </row>
    <row r="9859" spans="10:10" x14ac:dyDescent="0.3">
      <c r="J9859" s="1"/>
    </row>
    <row r="9860" spans="10:10" x14ac:dyDescent="0.3">
      <c r="J9860" s="1"/>
    </row>
    <row r="9861" spans="10:10" x14ac:dyDescent="0.3">
      <c r="J9861" s="1"/>
    </row>
    <row r="9862" spans="10:10" x14ac:dyDescent="0.3">
      <c r="J9862" s="1"/>
    </row>
    <row r="9863" spans="10:10" x14ac:dyDescent="0.3">
      <c r="J9863" s="1"/>
    </row>
    <row r="9864" spans="10:10" x14ac:dyDescent="0.3">
      <c r="J9864" s="1"/>
    </row>
    <row r="9865" spans="10:10" x14ac:dyDescent="0.3">
      <c r="J9865" s="1"/>
    </row>
    <row r="9866" spans="10:10" x14ac:dyDescent="0.3">
      <c r="J9866" s="1"/>
    </row>
    <row r="9867" spans="10:10" x14ac:dyDescent="0.3">
      <c r="J9867" s="1"/>
    </row>
    <row r="9868" spans="10:10" x14ac:dyDescent="0.3">
      <c r="J9868" s="1"/>
    </row>
    <row r="9869" spans="10:10" x14ac:dyDescent="0.3">
      <c r="J9869" s="1"/>
    </row>
    <row r="9870" spans="10:10" x14ac:dyDescent="0.3">
      <c r="J9870" s="1"/>
    </row>
    <row r="9871" spans="10:10" x14ac:dyDescent="0.3">
      <c r="J9871" s="1"/>
    </row>
    <row r="9872" spans="10:10" x14ac:dyDescent="0.3">
      <c r="J9872" s="1"/>
    </row>
    <row r="9873" spans="10:10" x14ac:dyDescent="0.3">
      <c r="J9873" s="1"/>
    </row>
    <row r="9874" spans="10:10" x14ac:dyDescent="0.3">
      <c r="J9874" s="1"/>
    </row>
    <row r="9875" spans="10:10" x14ac:dyDescent="0.3">
      <c r="J9875" s="1"/>
    </row>
    <row r="9876" spans="10:10" x14ac:dyDescent="0.3">
      <c r="J9876" s="1"/>
    </row>
    <row r="9877" spans="10:10" x14ac:dyDescent="0.3">
      <c r="J9877" s="1"/>
    </row>
    <row r="9878" spans="10:10" x14ac:dyDescent="0.3">
      <c r="J9878" s="1"/>
    </row>
    <row r="9879" spans="10:10" x14ac:dyDescent="0.3">
      <c r="J9879" s="1"/>
    </row>
    <row r="9880" spans="10:10" x14ac:dyDescent="0.3">
      <c r="J9880" s="1"/>
    </row>
    <row r="9881" spans="10:10" x14ac:dyDescent="0.3">
      <c r="J9881" s="1"/>
    </row>
    <row r="9882" spans="10:10" x14ac:dyDescent="0.3">
      <c r="J9882" s="1"/>
    </row>
    <row r="9883" spans="10:10" x14ac:dyDescent="0.3">
      <c r="J9883" s="1"/>
    </row>
    <row r="9884" spans="10:10" x14ac:dyDescent="0.3">
      <c r="J9884" s="1"/>
    </row>
    <row r="9885" spans="10:10" x14ac:dyDescent="0.3">
      <c r="J9885" s="1"/>
    </row>
    <row r="9886" spans="10:10" x14ac:dyDescent="0.3">
      <c r="J9886" s="1"/>
    </row>
    <row r="9887" spans="10:10" x14ac:dyDescent="0.3">
      <c r="J9887" s="1"/>
    </row>
    <row r="9888" spans="10:10" x14ac:dyDescent="0.3">
      <c r="J9888" s="1"/>
    </row>
    <row r="9889" spans="10:10" x14ac:dyDescent="0.3">
      <c r="J9889" s="1"/>
    </row>
    <row r="9890" spans="10:10" x14ac:dyDescent="0.3">
      <c r="J9890" s="1"/>
    </row>
    <row r="9891" spans="10:10" x14ac:dyDescent="0.3">
      <c r="J9891" s="1"/>
    </row>
    <row r="9892" spans="10:10" x14ac:dyDescent="0.3">
      <c r="J9892" s="1"/>
    </row>
    <row r="9893" spans="10:10" x14ac:dyDescent="0.3">
      <c r="J9893" s="1"/>
    </row>
    <row r="9894" spans="10:10" x14ac:dyDescent="0.3">
      <c r="J9894" s="1"/>
    </row>
    <row r="9895" spans="10:10" x14ac:dyDescent="0.3">
      <c r="J9895" s="1"/>
    </row>
    <row r="9896" spans="10:10" x14ac:dyDescent="0.3">
      <c r="J9896" s="1"/>
    </row>
    <row r="9897" spans="10:10" x14ac:dyDescent="0.3">
      <c r="J9897" s="1"/>
    </row>
    <row r="9898" spans="10:10" x14ac:dyDescent="0.3">
      <c r="J9898" s="1"/>
    </row>
    <row r="9899" spans="10:10" x14ac:dyDescent="0.3">
      <c r="J9899" s="1"/>
    </row>
    <row r="9900" spans="10:10" x14ac:dyDescent="0.3">
      <c r="J9900" s="1"/>
    </row>
    <row r="9901" spans="10:10" x14ac:dyDescent="0.3">
      <c r="J9901" s="1"/>
    </row>
    <row r="9902" spans="10:10" x14ac:dyDescent="0.3">
      <c r="J9902" s="1"/>
    </row>
    <row r="9903" spans="10:10" x14ac:dyDescent="0.3">
      <c r="J9903" s="1"/>
    </row>
    <row r="9904" spans="10:10" x14ac:dyDescent="0.3">
      <c r="J9904" s="1"/>
    </row>
    <row r="9905" spans="10:10" x14ac:dyDescent="0.3">
      <c r="J9905" s="1"/>
    </row>
    <row r="9906" spans="10:10" x14ac:dyDescent="0.3">
      <c r="J9906" s="1"/>
    </row>
    <row r="9907" spans="10:10" x14ac:dyDescent="0.3">
      <c r="J9907" s="1"/>
    </row>
    <row r="9908" spans="10:10" x14ac:dyDescent="0.3">
      <c r="J9908" s="1"/>
    </row>
    <row r="9909" spans="10:10" x14ac:dyDescent="0.3">
      <c r="J9909" s="1"/>
    </row>
    <row r="9910" spans="10:10" x14ac:dyDescent="0.3">
      <c r="J9910" s="1"/>
    </row>
    <row r="9911" spans="10:10" x14ac:dyDescent="0.3">
      <c r="J9911" s="1"/>
    </row>
    <row r="9912" spans="10:10" x14ac:dyDescent="0.3">
      <c r="J9912" s="1"/>
    </row>
    <row r="9913" spans="10:10" x14ac:dyDescent="0.3">
      <c r="J9913" s="1"/>
    </row>
    <row r="9914" spans="10:10" x14ac:dyDescent="0.3">
      <c r="J9914" s="1"/>
    </row>
    <row r="9915" spans="10:10" x14ac:dyDescent="0.3">
      <c r="J9915" s="1"/>
    </row>
    <row r="9916" spans="10:10" x14ac:dyDescent="0.3">
      <c r="J9916" s="1"/>
    </row>
    <row r="9917" spans="10:10" x14ac:dyDescent="0.3">
      <c r="J9917" s="1"/>
    </row>
    <row r="9918" spans="10:10" x14ac:dyDescent="0.3">
      <c r="J9918" s="1"/>
    </row>
    <row r="9919" spans="10:10" x14ac:dyDescent="0.3">
      <c r="J9919" s="1"/>
    </row>
    <row r="9920" spans="10:10" x14ac:dyDescent="0.3">
      <c r="J9920" s="1"/>
    </row>
    <row r="9921" spans="10:10" x14ac:dyDescent="0.3">
      <c r="J9921" s="1"/>
    </row>
    <row r="9922" spans="10:10" x14ac:dyDescent="0.3">
      <c r="J9922" s="1"/>
    </row>
    <row r="9923" spans="10:10" x14ac:dyDescent="0.3">
      <c r="J9923" s="1"/>
    </row>
    <row r="9924" spans="10:10" x14ac:dyDescent="0.3">
      <c r="J9924" s="1"/>
    </row>
    <row r="9925" spans="10:10" x14ac:dyDescent="0.3">
      <c r="J9925" s="1"/>
    </row>
    <row r="9926" spans="10:10" x14ac:dyDescent="0.3">
      <c r="J9926" s="1"/>
    </row>
    <row r="9927" spans="10:10" x14ac:dyDescent="0.3">
      <c r="J9927" s="1"/>
    </row>
    <row r="9928" spans="10:10" x14ac:dyDescent="0.3">
      <c r="J9928" s="1"/>
    </row>
    <row r="9929" spans="10:10" x14ac:dyDescent="0.3">
      <c r="J9929" s="1"/>
    </row>
    <row r="9930" spans="10:10" x14ac:dyDescent="0.3">
      <c r="J9930" s="1"/>
    </row>
    <row r="9931" spans="10:10" x14ac:dyDescent="0.3">
      <c r="J9931" s="1"/>
    </row>
    <row r="9932" spans="10:10" x14ac:dyDescent="0.3">
      <c r="J9932" s="1"/>
    </row>
    <row r="9933" spans="10:10" x14ac:dyDescent="0.3">
      <c r="J9933" s="1"/>
    </row>
    <row r="9934" spans="10:10" x14ac:dyDescent="0.3">
      <c r="J9934" s="1"/>
    </row>
    <row r="9935" spans="10:10" x14ac:dyDescent="0.3">
      <c r="J9935" s="1"/>
    </row>
    <row r="9936" spans="10:10" x14ac:dyDescent="0.3">
      <c r="J9936" s="1"/>
    </row>
    <row r="9937" spans="10:10" x14ac:dyDescent="0.3">
      <c r="J9937" s="1"/>
    </row>
    <row r="9938" spans="10:10" x14ac:dyDescent="0.3">
      <c r="J9938" s="1"/>
    </row>
    <row r="9939" spans="10:10" x14ac:dyDescent="0.3">
      <c r="J9939" s="1"/>
    </row>
    <row r="9940" spans="10:10" x14ac:dyDescent="0.3">
      <c r="J9940" s="1"/>
    </row>
    <row r="9941" spans="10:10" x14ac:dyDescent="0.3">
      <c r="J9941" s="1"/>
    </row>
    <row r="9942" spans="10:10" x14ac:dyDescent="0.3">
      <c r="J9942" s="1"/>
    </row>
    <row r="9943" spans="10:10" x14ac:dyDescent="0.3">
      <c r="J9943" s="1"/>
    </row>
    <row r="9944" spans="10:10" x14ac:dyDescent="0.3">
      <c r="J9944" s="1"/>
    </row>
    <row r="9945" spans="10:10" x14ac:dyDescent="0.3">
      <c r="J9945" s="1"/>
    </row>
    <row r="9946" spans="10:10" x14ac:dyDescent="0.3">
      <c r="J9946" s="1"/>
    </row>
    <row r="9947" spans="10:10" x14ac:dyDescent="0.3">
      <c r="J9947" s="1"/>
    </row>
    <row r="9948" spans="10:10" x14ac:dyDescent="0.3">
      <c r="J9948" s="1"/>
    </row>
    <row r="9949" spans="10:10" x14ac:dyDescent="0.3">
      <c r="J9949" s="1"/>
    </row>
    <row r="9950" spans="10:10" x14ac:dyDescent="0.3">
      <c r="J9950" s="1"/>
    </row>
    <row r="9951" spans="10:10" x14ac:dyDescent="0.3">
      <c r="J9951" s="1"/>
    </row>
    <row r="9952" spans="10:10" x14ac:dyDescent="0.3">
      <c r="J9952" s="1"/>
    </row>
    <row r="9953" spans="10:10" x14ac:dyDescent="0.3">
      <c r="J9953" s="1"/>
    </row>
    <row r="9954" spans="10:10" x14ac:dyDescent="0.3">
      <c r="J9954" s="1"/>
    </row>
    <row r="9955" spans="10:10" x14ac:dyDescent="0.3">
      <c r="J9955" s="1"/>
    </row>
    <row r="9956" spans="10:10" x14ac:dyDescent="0.3">
      <c r="J9956" s="1"/>
    </row>
    <row r="9957" spans="10:10" x14ac:dyDescent="0.3">
      <c r="J9957" s="1"/>
    </row>
    <row r="9958" spans="10:10" x14ac:dyDescent="0.3">
      <c r="J9958" s="1"/>
    </row>
    <row r="9959" spans="10:10" x14ac:dyDescent="0.3">
      <c r="J9959" s="1"/>
    </row>
    <row r="9960" spans="10:10" x14ac:dyDescent="0.3">
      <c r="J9960" s="1"/>
    </row>
    <row r="9961" spans="10:10" x14ac:dyDescent="0.3">
      <c r="J9961" s="1"/>
    </row>
    <row r="9962" spans="10:10" x14ac:dyDescent="0.3">
      <c r="J9962" s="1"/>
    </row>
    <row r="9963" spans="10:10" x14ac:dyDescent="0.3">
      <c r="J9963" s="1"/>
    </row>
    <row r="9964" spans="10:10" x14ac:dyDescent="0.3">
      <c r="J9964" s="1"/>
    </row>
    <row r="9965" spans="10:10" x14ac:dyDescent="0.3">
      <c r="J9965" s="1"/>
    </row>
    <row r="9966" spans="10:10" x14ac:dyDescent="0.3">
      <c r="J9966" s="1"/>
    </row>
    <row r="9967" spans="10:10" x14ac:dyDescent="0.3">
      <c r="J9967" s="1"/>
    </row>
    <row r="9968" spans="10:10" x14ac:dyDescent="0.3">
      <c r="J9968" s="1"/>
    </row>
    <row r="9969" spans="10:10" x14ac:dyDescent="0.3">
      <c r="J9969" s="1"/>
    </row>
    <row r="9970" spans="10:10" x14ac:dyDescent="0.3">
      <c r="J9970" s="1"/>
    </row>
    <row r="9971" spans="10:10" x14ac:dyDescent="0.3">
      <c r="J9971" s="1"/>
    </row>
    <row r="9972" spans="10:10" x14ac:dyDescent="0.3">
      <c r="J9972" s="1"/>
    </row>
    <row r="9973" spans="10:10" x14ac:dyDescent="0.3">
      <c r="J9973" s="1"/>
    </row>
    <row r="9974" spans="10:10" x14ac:dyDescent="0.3">
      <c r="J9974" s="1"/>
    </row>
    <row r="9975" spans="10:10" x14ac:dyDescent="0.3">
      <c r="J9975" s="1"/>
    </row>
    <row r="9976" spans="10:10" x14ac:dyDescent="0.3">
      <c r="J9976" s="1"/>
    </row>
    <row r="9977" spans="10:10" x14ac:dyDescent="0.3">
      <c r="J9977" s="1"/>
    </row>
    <row r="9978" spans="10:10" x14ac:dyDescent="0.3">
      <c r="J9978" s="1"/>
    </row>
    <row r="9979" spans="10:10" x14ac:dyDescent="0.3">
      <c r="J9979" s="1"/>
    </row>
    <row r="9980" spans="10:10" x14ac:dyDescent="0.3">
      <c r="J9980" s="1"/>
    </row>
    <row r="9981" spans="10:10" x14ac:dyDescent="0.3">
      <c r="J9981" s="1"/>
    </row>
    <row r="9982" spans="10:10" x14ac:dyDescent="0.3">
      <c r="J9982" s="1"/>
    </row>
    <row r="9983" spans="10:10" x14ac:dyDescent="0.3">
      <c r="J9983" s="1"/>
    </row>
    <row r="9984" spans="10:10" x14ac:dyDescent="0.3">
      <c r="J9984" s="1"/>
    </row>
    <row r="9985" spans="10:10" x14ac:dyDescent="0.3">
      <c r="J9985" s="1"/>
    </row>
    <row r="9986" spans="10:10" x14ac:dyDescent="0.3">
      <c r="J9986" s="1"/>
    </row>
    <row r="9987" spans="10:10" x14ac:dyDescent="0.3">
      <c r="J9987" s="1"/>
    </row>
    <row r="9988" spans="10:10" x14ac:dyDescent="0.3">
      <c r="J9988" s="1"/>
    </row>
    <row r="9989" spans="10:10" x14ac:dyDescent="0.3">
      <c r="J9989" s="1"/>
    </row>
    <row r="9990" spans="10:10" x14ac:dyDescent="0.3">
      <c r="J9990" s="1"/>
    </row>
    <row r="9991" spans="10:10" x14ac:dyDescent="0.3">
      <c r="J9991" s="1"/>
    </row>
    <row r="9992" spans="10:10" x14ac:dyDescent="0.3">
      <c r="J9992" s="1"/>
    </row>
    <row r="9993" spans="10:10" x14ac:dyDescent="0.3">
      <c r="J9993" s="1"/>
    </row>
    <row r="9994" spans="10:10" x14ac:dyDescent="0.3">
      <c r="J9994" s="1"/>
    </row>
    <row r="9995" spans="10:10" x14ac:dyDescent="0.3">
      <c r="J9995" s="1"/>
    </row>
    <row r="9996" spans="10:10" x14ac:dyDescent="0.3">
      <c r="J9996" s="1"/>
    </row>
    <row r="9997" spans="10:10" x14ac:dyDescent="0.3">
      <c r="J9997" s="1"/>
    </row>
    <row r="9998" spans="10:10" x14ac:dyDescent="0.3">
      <c r="J9998" s="1"/>
    </row>
    <row r="9999" spans="10:10" x14ac:dyDescent="0.3">
      <c r="J9999" s="1"/>
    </row>
    <row r="10000" spans="10:10" x14ac:dyDescent="0.3">
      <c r="J10000" s="1"/>
    </row>
    <row r="10001" spans="10:10" x14ac:dyDescent="0.3">
      <c r="J10001" s="1"/>
    </row>
    <row r="10002" spans="10:10" x14ac:dyDescent="0.3">
      <c r="J10002" s="1"/>
    </row>
    <row r="10003" spans="10:10" x14ac:dyDescent="0.3">
      <c r="J10003" s="1"/>
    </row>
    <row r="10004" spans="10:10" x14ac:dyDescent="0.3">
      <c r="J10004" s="1"/>
    </row>
    <row r="10005" spans="10:10" x14ac:dyDescent="0.3">
      <c r="J10005" s="1"/>
    </row>
    <row r="10006" spans="10:10" x14ac:dyDescent="0.3">
      <c r="J10006" s="1"/>
    </row>
    <row r="10007" spans="10:10" x14ac:dyDescent="0.3">
      <c r="J10007" s="1"/>
    </row>
    <row r="10008" spans="10:10" x14ac:dyDescent="0.3">
      <c r="J10008" s="1"/>
    </row>
    <row r="10009" spans="10:10" x14ac:dyDescent="0.3">
      <c r="J10009" s="1"/>
    </row>
    <row r="10010" spans="10:10" x14ac:dyDescent="0.3">
      <c r="J10010" s="1"/>
    </row>
    <row r="10011" spans="10:10" x14ac:dyDescent="0.3">
      <c r="J10011" s="1"/>
    </row>
    <row r="10012" spans="10:10" x14ac:dyDescent="0.3">
      <c r="J10012" s="1"/>
    </row>
    <row r="10013" spans="10:10" x14ac:dyDescent="0.3">
      <c r="J10013" s="1"/>
    </row>
    <row r="10014" spans="10:10" x14ac:dyDescent="0.3">
      <c r="J10014" s="1"/>
    </row>
    <row r="10015" spans="10:10" x14ac:dyDescent="0.3">
      <c r="J10015" s="1"/>
    </row>
    <row r="10016" spans="10:10" x14ac:dyDescent="0.3">
      <c r="J10016" s="1"/>
    </row>
    <row r="10017" spans="10:10" x14ac:dyDescent="0.3">
      <c r="J10017" s="1"/>
    </row>
    <row r="10018" spans="10:10" x14ac:dyDescent="0.3">
      <c r="J10018" s="1"/>
    </row>
    <row r="10019" spans="10:10" x14ac:dyDescent="0.3">
      <c r="J10019" s="1"/>
    </row>
    <row r="10020" spans="10:10" x14ac:dyDescent="0.3">
      <c r="J10020" s="1"/>
    </row>
    <row r="10021" spans="10:10" x14ac:dyDescent="0.3">
      <c r="J10021" s="1"/>
    </row>
    <row r="10022" spans="10:10" x14ac:dyDescent="0.3">
      <c r="J10022" s="1"/>
    </row>
    <row r="10023" spans="10:10" x14ac:dyDescent="0.3">
      <c r="J10023" s="1"/>
    </row>
    <row r="10024" spans="10:10" x14ac:dyDescent="0.3">
      <c r="J10024" s="1"/>
    </row>
    <row r="10025" spans="10:10" x14ac:dyDescent="0.3">
      <c r="J10025" s="1"/>
    </row>
    <row r="10026" spans="10:10" x14ac:dyDescent="0.3">
      <c r="J10026" s="1"/>
    </row>
    <row r="10027" spans="10:10" x14ac:dyDescent="0.3">
      <c r="J10027" s="1"/>
    </row>
    <row r="10028" spans="10:10" x14ac:dyDescent="0.3">
      <c r="J10028" s="1"/>
    </row>
    <row r="10029" spans="10:10" x14ac:dyDescent="0.3">
      <c r="J10029" s="1"/>
    </row>
    <row r="10030" spans="10:10" x14ac:dyDescent="0.3">
      <c r="J10030" s="1"/>
    </row>
    <row r="10031" spans="10:10" x14ac:dyDescent="0.3">
      <c r="J10031" s="1"/>
    </row>
    <row r="10032" spans="10:10" x14ac:dyDescent="0.3">
      <c r="J10032" s="1"/>
    </row>
    <row r="10033" spans="10:10" x14ac:dyDescent="0.3">
      <c r="J10033" s="1"/>
    </row>
    <row r="10034" spans="10:10" x14ac:dyDescent="0.3">
      <c r="J10034" s="1"/>
    </row>
    <row r="10035" spans="10:10" x14ac:dyDescent="0.3">
      <c r="J10035" s="1"/>
    </row>
    <row r="10036" spans="10:10" x14ac:dyDescent="0.3">
      <c r="J10036" s="1"/>
    </row>
    <row r="10037" spans="10:10" x14ac:dyDescent="0.3">
      <c r="J10037" s="1"/>
    </row>
    <row r="10038" spans="10:10" x14ac:dyDescent="0.3">
      <c r="J10038" s="1"/>
    </row>
    <row r="10039" spans="10:10" x14ac:dyDescent="0.3">
      <c r="J10039" s="1"/>
    </row>
    <row r="10040" spans="10:10" x14ac:dyDescent="0.3">
      <c r="J10040" s="1"/>
    </row>
    <row r="10041" spans="10:10" x14ac:dyDescent="0.3">
      <c r="J10041" s="1"/>
    </row>
    <row r="10042" spans="10:10" x14ac:dyDescent="0.3">
      <c r="J10042" s="1"/>
    </row>
    <row r="10043" spans="10:10" x14ac:dyDescent="0.3">
      <c r="J10043" s="1"/>
    </row>
    <row r="10044" spans="10:10" x14ac:dyDescent="0.3">
      <c r="J10044" s="1"/>
    </row>
    <row r="10045" spans="10:10" x14ac:dyDescent="0.3">
      <c r="J10045" s="1"/>
    </row>
    <row r="10046" spans="10:10" x14ac:dyDescent="0.3">
      <c r="J10046" s="1"/>
    </row>
    <row r="10047" spans="10:10" x14ac:dyDescent="0.3">
      <c r="J10047" s="1"/>
    </row>
    <row r="10048" spans="10:10" x14ac:dyDescent="0.3">
      <c r="J10048" s="1"/>
    </row>
    <row r="10049" spans="10:10" x14ac:dyDescent="0.3">
      <c r="J10049" s="1"/>
    </row>
    <row r="10050" spans="10:10" x14ac:dyDescent="0.3">
      <c r="J10050" s="1"/>
    </row>
    <row r="10051" spans="10:10" x14ac:dyDescent="0.3">
      <c r="J10051" s="1"/>
    </row>
    <row r="10052" spans="10:10" x14ac:dyDescent="0.3">
      <c r="J10052" s="1"/>
    </row>
    <row r="10053" spans="10:10" x14ac:dyDescent="0.3">
      <c r="J10053" s="1"/>
    </row>
    <row r="10054" spans="10:10" x14ac:dyDescent="0.3">
      <c r="J10054" s="1"/>
    </row>
    <row r="10055" spans="10:10" x14ac:dyDescent="0.3">
      <c r="J10055" s="1"/>
    </row>
    <row r="10056" spans="10:10" x14ac:dyDescent="0.3">
      <c r="J10056" s="1"/>
    </row>
    <row r="10057" spans="10:10" x14ac:dyDescent="0.3">
      <c r="J10057" s="1"/>
    </row>
    <row r="10058" spans="10:10" x14ac:dyDescent="0.3">
      <c r="J10058" s="1"/>
    </row>
    <row r="10059" spans="10:10" x14ac:dyDescent="0.3">
      <c r="J10059" s="1"/>
    </row>
    <row r="10060" spans="10:10" x14ac:dyDescent="0.3">
      <c r="J10060" s="1"/>
    </row>
    <row r="10061" spans="10:10" x14ac:dyDescent="0.3">
      <c r="J10061" s="1"/>
    </row>
    <row r="10062" spans="10:10" x14ac:dyDescent="0.3">
      <c r="J10062" s="1"/>
    </row>
    <row r="10063" spans="10:10" x14ac:dyDescent="0.3">
      <c r="J10063" s="1"/>
    </row>
    <row r="10064" spans="10:10" x14ac:dyDescent="0.3">
      <c r="J10064" s="1"/>
    </row>
    <row r="10065" spans="10:10" x14ac:dyDescent="0.3">
      <c r="J10065" s="1"/>
    </row>
    <row r="10066" spans="10:10" x14ac:dyDescent="0.3">
      <c r="J10066" s="1"/>
    </row>
    <row r="10067" spans="10:10" x14ac:dyDescent="0.3">
      <c r="J10067" s="1"/>
    </row>
    <row r="10068" spans="10:10" x14ac:dyDescent="0.3">
      <c r="J10068" s="1"/>
    </row>
    <row r="10069" spans="10:10" x14ac:dyDescent="0.3">
      <c r="J10069" s="1"/>
    </row>
    <row r="10070" spans="10:10" x14ac:dyDescent="0.3">
      <c r="J10070" s="1"/>
    </row>
    <row r="10071" spans="10:10" x14ac:dyDescent="0.3">
      <c r="J10071" s="1"/>
    </row>
    <row r="10072" spans="10:10" x14ac:dyDescent="0.3">
      <c r="J10072" s="1"/>
    </row>
    <row r="10073" spans="10:10" x14ac:dyDescent="0.3">
      <c r="J10073" s="1"/>
    </row>
    <row r="10074" spans="10:10" x14ac:dyDescent="0.3">
      <c r="J10074" s="1"/>
    </row>
    <row r="10075" spans="10:10" x14ac:dyDescent="0.3">
      <c r="J10075" s="1"/>
    </row>
    <row r="10076" spans="10:10" x14ac:dyDescent="0.3">
      <c r="J10076" s="1"/>
    </row>
    <row r="10077" spans="10:10" x14ac:dyDescent="0.3">
      <c r="J10077" s="1"/>
    </row>
    <row r="10078" spans="10:10" x14ac:dyDescent="0.3">
      <c r="J10078" s="1"/>
    </row>
    <row r="10079" spans="10:10" x14ac:dyDescent="0.3">
      <c r="J10079" s="1"/>
    </row>
    <row r="10080" spans="10:10" x14ac:dyDescent="0.3">
      <c r="J10080" s="1"/>
    </row>
    <row r="10081" spans="10:10" x14ac:dyDescent="0.3">
      <c r="J10081" s="1"/>
    </row>
    <row r="10082" spans="10:10" x14ac:dyDescent="0.3">
      <c r="J10082" s="1"/>
    </row>
    <row r="10083" spans="10:10" x14ac:dyDescent="0.3">
      <c r="J10083" s="1"/>
    </row>
    <row r="10084" spans="10:10" x14ac:dyDescent="0.3">
      <c r="J10084" s="1"/>
    </row>
    <row r="10085" spans="10:10" x14ac:dyDescent="0.3">
      <c r="J10085" s="1"/>
    </row>
    <row r="10086" spans="10:10" x14ac:dyDescent="0.3">
      <c r="J10086" s="1"/>
    </row>
    <row r="10087" spans="10:10" x14ac:dyDescent="0.3">
      <c r="J10087" s="1"/>
    </row>
    <row r="10088" spans="10:10" x14ac:dyDescent="0.3">
      <c r="J10088" s="1"/>
    </row>
    <row r="10089" spans="10:10" x14ac:dyDescent="0.3">
      <c r="J10089" s="1"/>
    </row>
    <row r="10090" spans="10:10" x14ac:dyDescent="0.3">
      <c r="J10090" s="1"/>
    </row>
    <row r="10091" spans="10:10" x14ac:dyDescent="0.3">
      <c r="J10091" s="1"/>
    </row>
    <row r="10092" spans="10:10" x14ac:dyDescent="0.3">
      <c r="J10092" s="1"/>
    </row>
    <row r="10093" spans="10:10" x14ac:dyDescent="0.3">
      <c r="J10093" s="1"/>
    </row>
    <row r="10094" spans="10:10" x14ac:dyDescent="0.3">
      <c r="J10094" s="1"/>
    </row>
    <row r="10095" spans="10:10" x14ac:dyDescent="0.3">
      <c r="J10095" s="1"/>
    </row>
    <row r="10096" spans="10:10" x14ac:dyDescent="0.3">
      <c r="J10096" s="1"/>
    </row>
    <row r="10097" spans="10:10" x14ac:dyDescent="0.3">
      <c r="J10097" s="1"/>
    </row>
    <row r="10098" spans="10:10" x14ac:dyDescent="0.3">
      <c r="J10098" s="1"/>
    </row>
    <row r="10099" spans="10:10" x14ac:dyDescent="0.3">
      <c r="J10099" s="1"/>
    </row>
    <row r="10100" spans="10:10" x14ac:dyDescent="0.3">
      <c r="J10100" s="1"/>
    </row>
    <row r="10101" spans="10:10" x14ac:dyDescent="0.3">
      <c r="J10101" s="1"/>
    </row>
    <row r="10102" spans="10:10" x14ac:dyDescent="0.3">
      <c r="J10102" s="1"/>
    </row>
    <row r="10103" spans="10:10" x14ac:dyDescent="0.3">
      <c r="J10103" s="1"/>
    </row>
    <row r="10104" spans="10:10" x14ac:dyDescent="0.3">
      <c r="J10104" s="1"/>
    </row>
    <row r="10105" spans="10:10" x14ac:dyDescent="0.3">
      <c r="J10105" s="1"/>
    </row>
    <row r="10106" spans="10:10" x14ac:dyDescent="0.3">
      <c r="J10106" s="1"/>
    </row>
    <row r="10107" spans="10:10" x14ac:dyDescent="0.3">
      <c r="J10107" s="1"/>
    </row>
    <row r="10108" spans="10:10" x14ac:dyDescent="0.3">
      <c r="J10108" s="1"/>
    </row>
    <row r="10109" spans="10:10" x14ac:dyDescent="0.3">
      <c r="J10109" s="1"/>
    </row>
    <row r="10110" spans="10:10" x14ac:dyDescent="0.3">
      <c r="J10110" s="1"/>
    </row>
    <row r="10111" spans="10:10" x14ac:dyDescent="0.3">
      <c r="J10111" s="1"/>
    </row>
    <row r="10112" spans="10:10" x14ac:dyDescent="0.3">
      <c r="J10112" s="1"/>
    </row>
    <row r="10113" spans="10:10" x14ac:dyDescent="0.3">
      <c r="J10113" s="1"/>
    </row>
    <row r="10114" spans="10:10" x14ac:dyDescent="0.3">
      <c r="J10114" s="1"/>
    </row>
    <row r="10115" spans="10:10" x14ac:dyDescent="0.3">
      <c r="J10115" s="1"/>
    </row>
    <row r="10116" spans="10:10" x14ac:dyDescent="0.3">
      <c r="J10116" s="1"/>
    </row>
    <row r="10117" spans="10:10" x14ac:dyDescent="0.3">
      <c r="J10117" s="1"/>
    </row>
    <row r="10118" spans="10:10" x14ac:dyDescent="0.3">
      <c r="J10118" s="1"/>
    </row>
    <row r="10119" spans="10:10" x14ac:dyDescent="0.3">
      <c r="J10119" s="1"/>
    </row>
    <row r="10120" spans="10:10" x14ac:dyDescent="0.3">
      <c r="J10120" s="1"/>
    </row>
    <row r="10121" spans="10:10" x14ac:dyDescent="0.3">
      <c r="J10121" s="1"/>
    </row>
    <row r="10122" spans="10:10" x14ac:dyDescent="0.3">
      <c r="J10122" s="1"/>
    </row>
    <row r="10123" spans="10:10" x14ac:dyDescent="0.3">
      <c r="J10123" s="1"/>
    </row>
    <row r="10124" spans="10:10" x14ac:dyDescent="0.3">
      <c r="J10124" s="1"/>
    </row>
    <row r="10125" spans="10:10" x14ac:dyDescent="0.3">
      <c r="J10125" s="1"/>
    </row>
    <row r="10126" spans="10:10" x14ac:dyDescent="0.3">
      <c r="J10126" s="1"/>
    </row>
    <row r="10127" spans="10:10" x14ac:dyDescent="0.3">
      <c r="J10127" s="1"/>
    </row>
    <row r="10128" spans="10:10" x14ac:dyDescent="0.3">
      <c r="J10128" s="1"/>
    </row>
    <row r="10129" spans="10:10" x14ac:dyDescent="0.3">
      <c r="J10129" s="1"/>
    </row>
    <row r="10130" spans="10:10" x14ac:dyDescent="0.3">
      <c r="J10130" s="1"/>
    </row>
    <row r="10131" spans="10:10" x14ac:dyDescent="0.3">
      <c r="J10131" s="1"/>
    </row>
    <row r="10132" spans="10:10" x14ac:dyDescent="0.3">
      <c r="J10132" s="1"/>
    </row>
    <row r="10133" spans="10:10" x14ac:dyDescent="0.3">
      <c r="J10133" s="1"/>
    </row>
    <row r="10134" spans="10:10" x14ac:dyDescent="0.3">
      <c r="J10134" s="1"/>
    </row>
    <row r="10135" spans="10:10" x14ac:dyDescent="0.3">
      <c r="J10135" s="1"/>
    </row>
    <row r="10136" spans="10:10" x14ac:dyDescent="0.3">
      <c r="J10136" s="1"/>
    </row>
    <row r="10137" spans="10:10" x14ac:dyDescent="0.3">
      <c r="J10137" s="1"/>
    </row>
    <row r="10138" spans="10:10" x14ac:dyDescent="0.3">
      <c r="J10138" s="1"/>
    </row>
    <row r="10139" spans="10:10" x14ac:dyDescent="0.3">
      <c r="J10139" s="1"/>
    </row>
    <row r="10140" spans="10:10" x14ac:dyDescent="0.3">
      <c r="J10140" s="1"/>
    </row>
    <row r="10141" spans="10:10" x14ac:dyDescent="0.3">
      <c r="J10141" s="1"/>
    </row>
    <row r="10142" spans="10:10" x14ac:dyDescent="0.3">
      <c r="J10142" s="1"/>
    </row>
    <row r="10143" spans="10:10" x14ac:dyDescent="0.3">
      <c r="J10143" s="1"/>
    </row>
    <row r="10144" spans="10:10" x14ac:dyDescent="0.3">
      <c r="J10144" s="1"/>
    </row>
    <row r="10145" spans="10:10" x14ac:dyDescent="0.3">
      <c r="J10145" s="1"/>
    </row>
    <row r="10146" spans="10:10" x14ac:dyDescent="0.3">
      <c r="J10146" s="1"/>
    </row>
    <row r="10147" spans="10:10" x14ac:dyDescent="0.3">
      <c r="J10147" s="1"/>
    </row>
    <row r="10148" spans="10:10" x14ac:dyDescent="0.3">
      <c r="J10148" s="1"/>
    </row>
    <row r="10149" spans="10:10" x14ac:dyDescent="0.3">
      <c r="J10149" s="1"/>
    </row>
    <row r="10150" spans="10:10" x14ac:dyDescent="0.3">
      <c r="J10150" s="1"/>
    </row>
    <row r="10151" spans="10:10" x14ac:dyDescent="0.3">
      <c r="J10151" s="1"/>
    </row>
    <row r="10152" spans="10:10" x14ac:dyDescent="0.3">
      <c r="J10152" s="1"/>
    </row>
    <row r="10153" spans="10:10" x14ac:dyDescent="0.3">
      <c r="J10153" s="1"/>
    </row>
    <row r="10154" spans="10:10" x14ac:dyDescent="0.3">
      <c r="J10154" s="1"/>
    </row>
    <row r="10155" spans="10:10" x14ac:dyDescent="0.3">
      <c r="J10155" s="1"/>
    </row>
    <row r="10156" spans="10:10" x14ac:dyDescent="0.3">
      <c r="J10156" s="1"/>
    </row>
    <row r="10157" spans="10:10" x14ac:dyDescent="0.3">
      <c r="J10157" s="1"/>
    </row>
    <row r="10158" spans="10:10" x14ac:dyDescent="0.3">
      <c r="J10158" s="1"/>
    </row>
    <row r="10159" spans="10:10" x14ac:dyDescent="0.3">
      <c r="J10159" s="1"/>
    </row>
    <row r="10160" spans="10:10" x14ac:dyDescent="0.3">
      <c r="J10160" s="1"/>
    </row>
    <row r="10161" spans="10:10" x14ac:dyDescent="0.3">
      <c r="J10161" s="1"/>
    </row>
    <row r="10162" spans="10:10" x14ac:dyDescent="0.3">
      <c r="J10162" s="1"/>
    </row>
    <row r="10163" spans="10:10" x14ac:dyDescent="0.3">
      <c r="J10163" s="1"/>
    </row>
    <row r="10164" spans="10:10" x14ac:dyDescent="0.3">
      <c r="J10164" s="1"/>
    </row>
    <row r="10165" spans="10:10" x14ac:dyDescent="0.3">
      <c r="J10165" s="1"/>
    </row>
    <row r="10166" spans="10:10" x14ac:dyDescent="0.3">
      <c r="J10166" s="1"/>
    </row>
    <row r="10167" spans="10:10" x14ac:dyDescent="0.3">
      <c r="J10167" s="1"/>
    </row>
    <row r="10168" spans="10:10" x14ac:dyDescent="0.3">
      <c r="J10168" s="1"/>
    </row>
    <row r="10169" spans="10:10" x14ac:dyDescent="0.3">
      <c r="J10169" s="1"/>
    </row>
    <row r="10170" spans="10:10" x14ac:dyDescent="0.3">
      <c r="J10170" s="1"/>
    </row>
    <row r="10171" spans="10:10" x14ac:dyDescent="0.3">
      <c r="J10171" s="1"/>
    </row>
    <row r="10172" spans="10:10" x14ac:dyDescent="0.3">
      <c r="J10172" s="1"/>
    </row>
    <row r="10173" spans="10:10" x14ac:dyDescent="0.3">
      <c r="J10173" s="1"/>
    </row>
    <row r="10174" spans="10:10" x14ac:dyDescent="0.3">
      <c r="J10174" s="1"/>
    </row>
    <row r="10175" spans="10:10" x14ac:dyDescent="0.3">
      <c r="J10175" s="1"/>
    </row>
    <row r="10176" spans="10:10" x14ac:dyDescent="0.3">
      <c r="J10176" s="1"/>
    </row>
    <row r="10177" spans="10:10" x14ac:dyDescent="0.3">
      <c r="J10177" s="1"/>
    </row>
    <row r="10178" spans="10:10" x14ac:dyDescent="0.3">
      <c r="J10178" s="1"/>
    </row>
    <row r="10179" spans="10:10" x14ac:dyDescent="0.3">
      <c r="J10179" s="1"/>
    </row>
    <row r="10180" spans="10:10" x14ac:dyDescent="0.3">
      <c r="J10180" s="1"/>
    </row>
    <row r="10181" spans="10:10" x14ac:dyDescent="0.3">
      <c r="J10181" s="1"/>
    </row>
    <row r="10182" spans="10:10" x14ac:dyDescent="0.3">
      <c r="J10182" s="1"/>
    </row>
    <row r="10183" spans="10:10" x14ac:dyDescent="0.3">
      <c r="J10183" s="1"/>
    </row>
    <row r="10184" spans="10:10" x14ac:dyDescent="0.3">
      <c r="J10184" s="1"/>
    </row>
    <row r="10185" spans="10:10" x14ac:dyDescent="0.3">
      <c r="J10185" s="1"/>
    </row>
    <row r="10186" spans="10:10" x14ac:dyDescent="0.3">
      <c r="J10186" s="1"/>
    </row>
    <row r="10187" spans="10:10" x14ac:dyDescent="0.3">
      <c r="J10187" s="1"/>
    </row>
    <row r="10188" spans="10:10" x14ac:dyDescent="0.3">
      <c r="J10188" s="1"/>
    </row>
    <row r="10189" spans="10:10" x14ac:dyDescent="0.3">
      <c r="J10189" s="1"/>
    </row>
    <row r="10190" spans="10:10" x14ac:dyDescent="0.3">
      <c r="J10190" s="1"/>
    </row>
    <row r="10191" spans="10:10" x14ac:dyDescent="0.3">
      <c r="J10191" s="1"/>
    </row>
    <row r="10192" spans="10:10" x14ac:dyDescent="0.3">
      <c r="J10192" s="1"/>
    </row>
    <row r="10193" spans="10:10" x14ac:dyDescent="0.3">
      <c r="J10193" s="1"/>
    </row>
    <row r="10194" spans="10:10" x14ac:dyDescent="0.3">
      <c r="J10194" s="1"/>
    </row>
    <row r="10195" spans="10:10" x14ac:dyDescent="0.3">
      <c r="J10195" s="1"/>
    </row>
    <row r="10196" spans="10:10" x14ac:dyDescent="0.3">
      <c r="J10196" s="1"/>
    </row>
    <row r="10197" spans="10:10" x14ac:dyDescent="0.3">
      <c r="J10197" s="1"/>
    </row>
    <row r="10198" spans="10:10" x14ac:dyDescent="0.3">
      <c r="J10198" s="1"/>
    </row>
    <row r="10199" spans="10:10" x14ac:dyDescent="0.3">
      <c r="J10199" s="1"/>
    </row>
    <row r="10200" spans="10:10" x14ac:dyDescent="0.3">
      <c r="J10200" s="1"/>
    </row>
    <row r="10201" spans="10:10" x14ac:dyDescent="0.3">
      <c r="J10201" s="1"/>
    </row>
    <row r="10202" spans="10:10" x14ac:dyDescent="0.3">
      <c r="J10202" s="1"/>
    </row>
    <row r="10203" spans="10:10" x14ac:dyDescent="0.3">
      <c r="J10203" s="1"/>
    </row>
    <row r="10204" spans="10:10" x14ac:dyDescent="0.3">
      <c r="J10204" s="1"/>
    </row>
    <row r="10205" spans="10:10" x14ac:dyDescent="0.3">
      <c r="J10205" s="1"/>
    </row>
    <row r="10206" spans="10:10" x14ac:dyDescent="0.3">
      <c r="J10206" s="1"/>
    </row>
    <row r="10207" spans="10:10" x14ac:dyDescent="0.3">
      <c r="J10207" s="1"/>
    </row>
    <row r="10208" spans="10:10" x14ac:dyDescent="0.3">
      <c r="J10208" s="1"/>
    </row>
    <row r="10209" spans="10:10" x14ac:dyDescent="0.3">
      <c r="J10209" s="1"/>
    </row>
    <row r="10210" spans="10:10" x14ac:dyDescent="0.3">
      <c r="J10210" s="1"/>
    </row>
    <row r="10211" spans="10:10" x14ac:dyDescent="0.3">
      <c r="J10211" s="1"/>
    </row>
    <row r="10212" spans="10:10" x14ac:dyDescent="0.3">
      <c r="J10212" s="1"/>
    </row>
    <row r="10213" spans="10:10" x14ac:dyDescent="0.3">
      <c r="J10213" s="1"/>
    </row>
    <row r="10214" spans="10:10" x14ac:dyDescent="0.3">
      <c r="J10214" s="1"/>
    </row>
    <row r="10215" spans="10:10" x14ac:dyDescent="0.3">
      <c r="J10215" s="1"/>
    </row>
    <row r="10216" spans="10:10" x14ac:dyDescent="0.3">
      <c r="J10216" s="1"/>
    </row>
    <row r="10217" spans="10:10" x14ac:dyDescent="0.3">
      <c r="J10217" s="1"/>
    </row>
    <row r="10218" spans="10:10" x14ac:dyDescent="0.3">
      <c r="J10218" s="1"/>
    </row>
    <row r="10219" spans="10:10" x14ac:dyDescent="0.3">
      <c r="J10219" s="1"/>
    </row>
    <row r="10220" spans="10:10" x14ac:dyDescent="0.3">
      <c r="J10220" s="1"/>
    </row>
    <row r="10221" spans="10:10" x14ac:dyDescent="0.3">
      <c r="J10221" s="1"/>
    </row>
    <row r="10222" spans="10:10" x14ac:dyDescent="0.3">
      <c r="J10222" s="1"/>
    </row>
    <row r="10223" spans="10:10" x14ac:dyDescent="0.3">
      <c r="J10223" s="1"/>
    </row>
    <row r="10224" spans="10:10" x14ac:dyDescent="0.3">
      <c r="J10224" s="1"/>
    </row>
    <row r="10225" spans="10:10" x14ac:dyDescent="0.3">
      <c r="J10225" s="1"/>
    </row>
    <row r="10226" spans="10:10" x14ac:dyDescent="0.3">
      <c r="J10226" s="1"/>
    </row>
    <row r="10227" spans="10:10" x14ac:dyDescent="0.3">
      <c r="J10227" s="1"/>
    </row>
    <row r="10228" spans="10:10" x14ac:dyDescent="0.3">
      <c r="J10228" s="1"/>
    </row>
    <row r="10229" spans="10:10" x14ac:dyDescent="0.3">
      <c r="J10229" s="1"/>
    </row>
    <row r="10230" spans="10:10" x14ac:dyDescent="0.3">
      <c r="J10230" s="1"/>
    </row>
    <row r="10231" spans="10:10" x14ac:dyDescent="0.3">
      <c r="J10231" s="1"/>
    </row>
    <row r="10232" spans="10:10" x14ac:dyDescent="0.3">
      <c r="J10232" s="1"/>
    </row>
    <row r="10233" spans="10:10" x14ac:dyDescent="0.3">
      <c r="J10233" s="1"/>
    </row>
    <row r="10234" spans="10:10" x14ac:dyDescent="0.3">
      <c r="J10234" s="1"/>
    </row>
    <row r="10235" spans="10:10" x14ac:dyDescent="0.3">
      <c r="J10235" s="1"/>
    </row>
    <row r="10236" spans="10:10" x14ac:dyDescent="0.3">
      <c r="J10236" s="1"/>
    </row>
    <row r="10237" spans="10:10" x14ac:dyDescent="0.3">
      <c r="J10237" s="1"/>
    </row>
    <row r="10238" spans="10:10" x14ac:dyDescent="0.3">
      <c r="J10238" s="1"/>
    </row>
    <row r="10239" spans="10:10" x14ac:dyDescent="0.3">
      <c r="J10239" s="1"/>
    </row>
    <row r="10240" spans="10:10" x14ac:dyDescent="0.3">
      <c r="J10240" s="1"/>
    </row>
    <row r="10241" spans="10:10" x14ac:dyDescent="0.3">
      <c r="J10241" s="1"/>
    </row>
    <row r="10242" spans="10:10" x14ac:dyDescent="0.3">
      <c r="J10242" s="1"/>
    </row>
    <row r="10243" spans="10:10" x14ac:dyDescent="0.3">
      <c r="J10243" s="1"/>
    </row>
    <row r="10244" spans="10:10" x14ac:dyDescent="0.3">
      <c r="J10244" s="1"/>
    </row>
    <row r="10245" spans="10:10" x14ac:dyDescent="0.3">
      <c r="J10245" s="1"/>
    </row>
    <row r="10246" spans="10:10" x14ac:dyDescent="0.3">
      <c r="J10246" s="1"/>
    </row>
    <row r="10247" spans="10:10" x14ac:dyDescent="0.3">
      <c r="J10247" s="1"/>
    </row>
    <row r="10248" spans="10:10" x14ac:dyDescent="0.3">
      <c r="J10248" s="1"/>
    </row>
    <row r="10249" spans="10:10" x14ac:dyDescent="0.3">
      <c r="J10249" s="1"/>
    </row>
    <row r="10250" spans="10:10" x14ac:dyDescent="0.3">
      <c r="J10250" s="1"/>
    </row>
    <row r="10251" spans="10:10" x14ac:dyDescent="0.3">
      <c r="J10251" s="1"/>
    </row>
    <row r="10252" spans="10:10" x14ac:dyDescent="0.3">
      <c r="J10252" s="1"/>
    </row>
    <row r="10253" spans="10:10" x14ac:dyDescent="0.3">
      <c r="J10253" s="1"/>
    </row>
    <row r="10254" spans="10:10" x14ac:dyDescent="0.3">
      <c r="J10254" s="1"/>
    </row>
    <row r="10255" spans="10:10" x14ac:dyDescent="0.3">
      <c r="J10255" s="1"/>
    </row>
    <row r="10256" spans="10:10" x14ac:dyDescent="0.3">
      <c r="J10256" s="1"/>
    </row>
    <row r="10257" spans="10:10" x14ac:dyDescent="0.3">
      <c r="J10257" s="1"/>
    </row>
    <row r="10258" spans="10:10" x14ac:dyDescent="0.3">
      <c r="J10258" s="1"/>
    </row>
    <row r="10259" spans="10:10" x14ac:dyDescent="0.3">
      <c r="J10259" s="1"/>
    </row>
    <row r="10260" spans="10:10" x14ac:dyDescent="0.3">
      <c r="J10260" s="1"/>
    </row>
    <row r="10261" spans="10:10" x14ac:dyDescent="0.3">
      <c r="J10261" s="1"/>
    </row>
    <row r="10262" spans="10:10" x14ac:dyDescent="0.3">
      <c r="J10262" s="1"/>
    </row>
    <row r="10263" spans="10:10" x14ac:dyDescent="0.3">
      <c r="J10263" s="1"/>
    </row>
    <row r="10264" spans="10:10" x14ac:dyDescent="0.3">
      <c r="J10264" s="1"/>
    </row>
    <row r="10265" spans="10:10" x14ac:dyDescent="0.3">
      <c r="J10265" s="1"/>
    </row>
    <row r="10266" spans="10:10" x14ac:dyDescent="0.3">
      <c r="J10266" s="1"/>
    </row>
    <row r="10267" spans="10:10" x14ac:dyDescent="0.3">
      <c r="J10267" s="1"/>
    </row>
    <row r="10268" spans="10:10" x14ac:dyDescent="0.3">
      <c r="J10268" s="1"/>
    </row>
    <row r="10269" spans="10:10" x14ac:dyDescent="0.3">
      <c r="J10269" s="1"/>
    </row>
    <row r="10270" spans="10:10" x14ac:dyDescent="0.3">
      <c r="J10270" s="1"/>
    </row>
    <row r="10271" spans="10:10" x14ac:dyDescent="0.3">
      <c r="J10271" s="1"/>
    </row>
    <row r="10272" spans="10:10" x14ac:dyDescent="0.3">
      <c r="J10272" s="1"/>
    </row>
    <row r="10273" spans="10:10" x14ac:dyDescent="0.3">
      <c r="J10273" s="1"/>
    </row>
    <row r="10274" spans="10:10" x14ac:dyDescent="0.3">
      <c r="J10274" s="1"/>
    </row>
    <row r="10275" spans="10:10" x14ac:dyDescent="0.3">
      <c r="J10275" s="1"/>
    </row>
    <row r="10276" spans="10:10" x14ac:dyDescent="0.3">
      <c r="J10276" s="1"/>
    </row>
    <row r="10277" spans="10:10" x14ac:dyDescent="0.3">
      <c r="J10277" s="1"/>
    </row>
    <row r="10278" spans="10:10" x14ac:dyDescent="0.3">
      <c r="J10278" s="1"/>
    </row>
    <row r="10279" spans="10:10" x14ac:dyDescent="0.3">
      <c r="J10279" s="1"/>
    </row>
    <row r="10280" spans="10:10" x14ac:dyDescent="0.3">
      <c r="J10280" s="1"/>
    </row>
    <row r="10281" spans="10:10" x14ac:dyDescent="0.3">
      <c r="J10281" s="1"/>
    </row>
    <row r="10282" spans="10:10" x14ac:dyDescent="0.3">
      <c r="J10282" s="1"/>
    </row>
    <row r="10283" spans="10:10" x14ac:dyDescent="0.3">
      <c r="J10283" s="1"/>
    </row>
    <row r="10284" spans="10:10" x14ac:dyDescent="0.3">
      <c r="J10284" s="1"/>
    </row>
    <row r="10285" spans="10:10" x14ac:dyDescent="0.3">
      <c r="J10285" s="1"/>
    </row>
    <row r="10286" spans="10:10" x14ac:dyDescent="0.3">
      <c r="J10286" s="1"/>
    </row>
    <row r="10287" spans="10:10" x14ac:dyDescent="0.3">
      <c r="J10287" s="1"/>
    </row>
    <row r="10288" spans="10:10" x14ac:dyDescent="0.3">
      <c r="J10288" s="1"/>
    </row>
    <row r="10289" spans="10:10" x14ac:dyDescent="0.3">
      <c r="J10289" s="1"/>
    </row>
    <row r="10290" spans="10:10" x14ac:dyDescent="0.3">
      <c r="J10290" s="1"/>
    </row>
    <row r="10291" spans="10:10" x14ac:dyDescent="0.3">
      <c r="J10291" s="1"/>
    </row>
    <row r="10292" spans="10:10" x14ac:dyDescent="0.3">
      <c r="J10292" s="1"/>
    </row>
    <row r="10293" spans="10:10" x14ac:dyDescent="0.3">
      <c r="J10293" s="1"/>
    </row>
    <row r="10294" spans="10:10" x14ac:dyDescent="0.3">
      <c r="J10294" s="1"/>
    </row>
    <row r="10295" spans="10:10" x14ac:dyDescent="0.3">
      <c r="J10295" s="1"/>
    </row>
    <row r="10296" spans="10:10" x14ac:dyDescent="0.3">
      <c r="J10296" s="1"/>
    </row>
    <row r="10297" spans="10:10" x14ac:dyDescent="0.3">
      <c r="J10297" s="1"/>
    </row>
    <row r="10298" spans="10:10" x14ac:dyDescent="0.3">
      <c r="J10298" s="1"/>
    </row>
    <row r="10299" spans="10:10" x14ac:dyDescent="0.3">
      <c r="J10299" s="1"/>
    </row>
    <row r="10300" spans="10:10" x14ac:dyDescent="0.3">
      <c r="J10300" s="1"/>
    </row>
    <row r="10301" spans="10:10" x14ac:dyDescent="0.3">
      <c r="J10301" s="1"/>
    </row>
    <row r="10302" spans="10:10" x14ac:dyDescent="0.3">
      <c r="J10302" s="1"/>
    </row>
    <row r="10303" spans="10:10" x14ac:dyDescent="0.3">
      <c r="J10303" s="1"/>
    </row>
    <row r="10304" spans="10:10" x14ac:dyDescent="0.3">
      <c r="J10304" s="1"/>
    </row>
    <row r="10305" spans="10:10" x14ac:dyDescent="0.3">
      <c r="J10305" s="1"/>
    </row>
    <row r="10306" spans="10:10" x14ac:dyDescent="0.3">
      <c r="J10306" s="1"/>
    </row>
    <row r="10307" spans="10:10" x14ac:dyDescent="0.3">
      <c r="J10307" s="1"/>
    </row>
    <row r="10308" spans="10:10" x14ac:dyDescent="0.3">
      <c r="J10308" s="1"/>
    </row>
    <row r="10309" spans="10:10" x14ac:dyDescent="0.3">
      <c r="J10309" s="1"/>
    </row>
    <row r="10310" spans="10:10" x14ac:dyDescent="0.3">
      <c r="J10310" s="1"/>
    </row>
    <row r="10311" spans="10:10" x14ac:dyDescent="0.3">
      <c r="J10311" s="1"/>
    </row>
    <row r="10312" spans="10:10" x14ac:dyDescent="0.3">
      <c r="J10312" s="1"/>
    </row>
    <row r="10313" spans="10:10" x14ac:dyDescent="0.3">
      <c r="J10313" s="1"/>
    </row>
    <row r="10314" spans="10:10" x14ac:dyDescent="0.3">
      <c r="J10314" s="1"/>
    </row>
    <row r="10315" spans="10:10" x14ac:dyDescent="0.3">
      <c r="J10315" s="1"/>
    </row>
    <row r="10316" spans="10:10" x14ac:dyDescent="0.3">
      <c r="J10316" s="1"/>
    </row>
    <row r="10317" spans="10:10" x14ac:dyDescent="0.3">
      <c r="J10317" s="1"/>
    </row>
    <row r="10318" spans="10:10" x14ac:dyDescent="0.3">
      <c r="J10318" s="1"/>
    </row>
    <row r="10319" spans="10:10" x14ac:dyDescent="0.3">
      <c r="J10319" s="1"/>
    </row>
    <row r="10320" spans="10:10" x14ac:dyDescent="0.3">
      <c r="J10320" s="1"/>
    </row>
    <row r="10321" spans="10:10" x14ac:dyDescent="0.3">
      <c r="J10321" s="1"/>
    </row>
    <row r="10322" spans="10:10" x14ac:dyDescent="0.3">
      <c r="J10322" s="1"/>
    </row>
    <row r="10323" spans="10:10" x14ac:dyDescent="0.3">
      <c r="J10323" s="1"/>
    </row>
    <row r="10324" spans="10:10" x14ac:dyDescent="0.3">
      <c r="J10324" s="1"/>
    </row>
    <row r="10325" spans="10:10" x14ac:dyDescent="0.3">
      <c r="J10325" s="1"/>
    </row>
    <row r="10326" spans="10:10" x14ac:dyDescent="0.3">
      <c r="J10326" s="1"/>
    </row>
    <row r="10327" spans="10:10" x14ac:dyDescent="0.3">
      <c r="J10327" s="1"/>
    </row>
    <row r="10328" spans="10:10" x14ac:dyDescent="0.3">
      <c r="J10328" s="1"/>
    </row>
    <row r="10329" spans="10:10" x14ac:dyDescent="0.3">
      <c r="J10329" s="1"/>
    </row>
    <row r="10330" spans="10:10" x14ac:dyDescent="0.3">
      <c r="J10330" s="1"/>
    </row>
    <row r="10331" spans="10:10" x14ac:dyDescent="0.3">
      <c r="J10331" s="1"/>
    </row>
    <row r="10332" spans="10:10" x14ac:dyDescent="0.3">
      <c r="J10332" s="1"/>
    </row>
    <row r="10333" spans="10:10" x14ac:dyDescent="0.3">
      <c r="J10333" s="1"/>
    </row>
    <row r="10334" spans="10:10" x14ac:dyDescent="0.3">
      <c r="J10334" s="1"/>
    </row>
    <row r="10335" spans="10:10" x14ac:dyDescent="0.3">
      <c r="J10335" s="1"/>
    </row>
    <row r="10336" spans="10:10" x14ac:dyDescent="0.3">
      <c r="J10336" s="1"/>
    </row>
    <row r="10337" spans="10:10" x14ac:dyDescent="0.3">
      <c r="J10337" s="1"/>
    </row>
    <row r="10338" spans="10:10" x14ac:dyDescent="0.3">
      <c r="J10338" s="1"/>
    </row>
    <row r="10339" spans="10:10" x14ac:dyDescent="0.3">
      <c r="J10339" s="1"/>
    </row>
    <row r="10340" spans="10:10" x14ac:dyDescent="0.3">
      <c r="J10340" s="1"/>
    </row>
    <row r="10341" spans="10:10" x14ac:dyDescent="0.3">
      <c r="J10341" s="1"/>
    </row>
    <row r="10342" spans="10:10" x14ac:dyDescent="0.3">
      <c r="J10342" s="1"/>
    </row>
    <row r="10343" spans="10:10" x14ac:dyDescent="0.3">
      <c r="J10343" s="1"/>
    </row>
    <row r="10344" spans="10:10" x14ac:dyDescent="0.3">
      <c r="J10344" s="1"/>
    </row>
    <row r="10345" spans="10:10" x14ac:dyDescent="0.3">
      <c r="J10345" s="1"/>
    </row>
    <row r="10346" spans="10:10" x14ac:dyDescent="0.3">
      <c r="J10346" s="1"/>
    </row>
    <row r="10347" spans="10:10" x14ac:dyDescent="0.3">
      <c r="J10347" s="1"/>
    </row>
    <row r="10348" spans="10:10" x14ac:dyDescent="0.3">
      <c r="J10348" s="1"/>
    </row>
    <row r="10349" spans="10:10" x14ac:dyDescent="0.3">
      <c r="J10349" s="1"/>
    </row>
    <row r="10350" spans="10:10" x14ac:dyDescent="0.3">
      <c r="J10350" s="1"/>
    </row>
    <row r="10351" spans="10:10" x14ac:dyDescent="0.3">
      <c r="J10351" s="1"/>
    </row>
    <row r="10352" spans="10:10" x14ac:dyDescent="0.3">
      <c r="J10352" s="1"/>
    </row>
    <row r="10353" spans="10:10" x14ac:dyDescent="0.3">
      <c r="J10353" s="1"/>
    </row>
    <row r="10354" spans="10:10" x14ac:dyDescent="0.3">
      <c r="J10354" s="1"/>
    </row>
    <row r="10355" spans="10:10" x14ac:dyDescent="0.3">
      <c r="J10355" s="1"/>
    </row>
    <row r="10356" spans="10:10" x14ac:dyDescent="0.3">
      <c r="J10356" s="1"/>
    </row>
    <row r="10357" spans="10:10" x14ac:dyDescent="0.3">
      <c r="J10357" s="1"/>
    </row>
    <row r="10358" spans="10:10" x14ac:dyDescent="0.3">
      <c r="J10358" s="1"/>
    </row>
    <row r="10359" spans="10:10" x14ac:dyDescent="0.3">
      <c r="J10359" s="1"/>
    </row>
    <row r="10360" spans="10:10" x14ac:dyDescent="0.3">
      <c r="J10360" s="1"/>
    </row>
    <row r="10361" spans="10:10" x14ac:dyDescent="0.3">
      <c r="J10361" s="1"/>
    </row>
    <row r="10362" spans="10:10" x14ac:dyDescent="0.3">
      <c r="J10362" s="1"/>
    </row>
    <row r="10363" spans="10:10" x14ac:dyDescent="0.3">
      <c r="J10363" s="1"/>
    </row>
    <row r="10364" spans="10:10" x14ac:dyDescent="0.3">
      <c r="J10364" s="1"/>
    </row>
    <row r="10365" spans="10:10" x14ac:dyDescent="0.3">
      <c r="J10365" s="1"/>
    </row>
    <row r="10366" spans="10:10" x14ac:dyDescent="0.3">
      <c r="J10366" s="1"/>
    </row>
    <row r="10367" spans="10:10" x14ac:dyDescent="0.3">
      <c r="J10367" s="1"/>
    </row>
    <row r="10368" spans="10:10" x14ac:dyDescent="0.3">
      <c r="J10368" s="1"/>
    </row>
    <row r="10369" spans="10:10" x14ac:dyDescent="0.3">
      <c r="J10369" s="1"/>
    </row>
    <row r="10370" spans="10:10" x14ac:dyDescent="0.3">
      <c r="J10370" s="1"/>
    </row>
    <row r="10371" spans="10:10" x14ac:dyDescent="0.3">
      <c r="J10371" s="1"/>
    </row>
    <row r="10372" spans="10:10" x14ac:dyDescent="0.3">
      <c r="J10372" s="1"/>
    </row>
    <row r="10373" spans="10:10" x14ac:dyDescent="0.3">
      <c r="J10373" s="1"/>
    </row>
    <row r="10374" spans="10:10" x14ac:dyDescent="0.3">
      <c r="J10374" s="1"/>
    </row>
    <row r="10375" spans="10:10" x14ac:dyDescent="0.3">
      <c r="J10375" s="1"/>
    </row>
    <row r="10376" spans="10:10" x14ac:dyDescent="0.3">
      <c r="J10376" s="1"/>
    </row>
    <row r="10377" spans="10:10" x14ac:dyDescent="0.3">
      <c r="J10377" s="1"/>
    </row>
    <row r="10378" spans="10:10" x14ac:dyDescent="0.3">
      <c r="J10378" s="1"/>
    </row>
    <row r="10379" spans="10:10" x14ac:dyDescent="0.3">
      <c r="J10379" s="1"/>
    </row>
    <row r="10380" spans="10:10" x14ac:dyDescent="0.3">
      <c r="J10380" s="1"/>
    </row>
    <row r="10381" spans="10:10" x14ac:dyDescent="0.3">
      <c r="J10381" s="1"/>
    </row>
    <row r="10382" spans="10:10" x14ac:dyDescent="0.3">
      <c r="J10382" s="1"/>
    </row>
    <row r="10383" spans="10:10" x14ac:dyDescent="0.3">
      <c r="J10383" s="1"/>
    </row>
    <row r="10384" spans="10:10" x14ac:dyDescent="0.3">
      <c r="J10384" s="1"/>
    </row>
    <row r="10385" spans="10:10" x14ac:dyDescent="0.3">
      <c r="J10385" s="1"/>
    </row>
    <row r="10386" spans="10:10" x14ac:dyDescent="0.3">
      <c r="J10386" s="1"/>
    </row>
    <row r="10387" spans="10:10" x14ac:dyDescent="0.3">
      <c r="J10387" s="1"/>
    </row>
    <row r="10388" spans="10:10" x14ac:dyDescent="0.3">
      <c r="J10388" s="1"/>
    </row>
    <row r="10389" spans="10:10" x14ac:dyDescent="0.3">
      <c r="J10389" s="1"/>
    </row>
    <row r="10390" spans="10:10" x14ac:dyDescent="0.3">
      <c r="J10390" s="1"/>
    </row>
    <row r="10391" spans="10:10" x14ac:dyDescent="0.3">
      <c r="J10391" s="1"/>
    </row>
    <row r="10392" spans="10:10" x14ac:dyDescent="0.3">
      <c r="J10392" s="1"/>
    </row>
    <row r="10393" spans="10:10" x14ac:dyDescent="0.3">
      <c r="J10393" s="1"/>
    </row>
    <row r="10394" spans="10:10" x14ac:dyDescent="0.3">
      <c r="J10394" s="1"/>
    </row>
    <row r="10395" spans="10:10" x14ac:dyDescent="0.3">
      <c r="J10395" s="1"/>
    </row>
    <row r="10396" spans="10:10" x14ac:dyDescent="0.3">
      <c r="J10396" s="1"/>
    </row>
    <row r="10397" spans="10:10" x14ac:dyDescent="0.3">
      <c r="J10397" s="1"/>
    </row>
    <row r="10398" spans="10:10" x14ac:dyDescent="0.3">
      <c r="J10398" s="1"/>
    </row>
    <row r="10399" spans="10:10" x14ac:dyDescent="0.3">
      <c r="J10399" s="1"/>
    </row>
    <row r="10400" spans="10:10" x14ac:dyDescent="0.3">
      <c r="J10400" s="1"/>
    </row>
    <row r="10401" spans="10:10" x14ac:dyDescent="0.3">
      <c r="J10401" s="1"/>
    </row>
    <row r="10402" spans="10:10" x14ac:dyDescent="0.3">
      <c r="J10402" s="1"/>
    </row>
    <row r="10403" spans="10:10" x14ac:dyDescent="0.3">
      <c r="J10403" s="1"/>
    </row>
    <row r="10404" spans="10:10" x14ac:dyDescent="0.3">
      <c r="J10404" s="1"/>
    </row>
    <row r="10405" spans="10:10" x14ac:dyDescent="0.3">
      <c r="J10405" s="1"/>
    </row>
    <row r="10406" spans="10:10" x14ac:dyDescent="0.3">
      <c r="J10406" s="1"/>
    </row>
    <row r="10407" spans="10:10" x14ac:dyDescent="0.3">
      <c r="J10407" s="1"/>
    </row>
    <row r="10408" spans="10:10" x14ac:dyDescent="0.3">
      <c r="J10408" s="1"/>
    </row>
    <row r="10409" spans="10:10" x14ac:dyDescent="0.3">
      <c r="J10409" s="1"/>
    </row>
    <row r="10410" spans="10:10" x14ac:dyDescent="0.3">
      <c r="J10410" s="1"/>
    </row>
    <row r="10411" spans="10:10" x14ac:dyDescent="0.3">
      <c r="J10411" s="1"/>
    </row>
    <row r="10412" spans="10:10" x14ac:dyDescent="0.3">
      <c r="J10412" s="1"/>
    </row>
    <row r="10413" spans="10:10" x14ac:dyDescent="0.3">
      <c r="J10413" s="1"/>
    </row>
    <row r="10414" spans="10:10" x14ac:dyDescent="0.3">
      <c r="J10414" s="1"/>
    </row>
    <row r="10415" spans="10:10" x14ac:dyDescent="0.3">
      <c r="J10415" s="1"/>
    </row>
    <row r="10416" spans="10:10" x14ac:dyDescent="0.3">
      <c r="J10416" s="1"/>
    </row>
    <row r="10417" spans="10:10" x14ac:dyDescent="0.3">
      <c r="J10417" s="1"/>
    </row>
    <row r="10418" spans="10:10" x14ac:dyDescent="0.3">
      <c r="J10418" s="1"/>
    </row>
    <row r="10419" spans="10:10" x14ac:dyDescent="0.3">
      <c r="J10419" s="1"/>
    </row>
    <row r="10420" spans="10:10" x14ac:dyDescent="0.3">
      <c r="J10420" s="1"/>
    </row>
    <row r="10421" spans="10:10" x14ac:dyDescent="0.3">
      <c r="J10421" s="1"/>
    </row>
    <row r="10422" spans="10:10" x14ac:dyDescent="0.3">
      <c r="J10422" s="1"/>
    </row>
    <row r="10423" spans="10:10" x14ac:dyDescent="0.3">
      <c r="J10423" s="1"/>
    </row>
    <row r="10424" spans="10:10" x14ac:dyDescent="0.3">
      <c r="J10424" s="1"/>
    </row>
    <row r="10425" spans="10:10" x14ac:dyDescent="0.3">
      <c r="J10425" s="1"/>
    </row>
    <row r="10426" spans="10:10" x14ac:dyDescent="0.3">
      <c r="J10426" s="1"/>
    </row>
    <row r="10427" spans="10:10" x14ac:dyDescent="0.3">
      <c r="J10427" s="1"/>
    </row>
    <row r="10428" spans="10:10" x14ac:dyDescent="0.3">
      <c r="J10428" s="1"/>
    </row>
    <row r="10429" spans="10:10" x14ac:dyDescent="0.3">
      <c r="J10429" s="1"/>
    </row>
    <row r="10430" spans="10:10" x14ac:dyDescent="0.3">
      <c r="J10430" s="1"/>
    </row>
    <row r="10431" spans="10:10" x14ac:dyDescent="0.3">
      <c r="J10431" s="1"/>
    </row>
    <row r="10432" spans="10:10" x14ac:dyDescent="0.3">
      <c r="J10432" s="1"/>
    </row>
    <row r="10433" spans="10:10" x14ac:dyDescent="0.3">
      <c r="J10433" s="1"/>
    </row>
    <row r="10434" spans="10:10" x14ac:dyDescent="0.3">
      <c r="J10434" s="1"/>
    </row>
    <row r="10435" spans="10:10" x14ac:dyDescent="0.3">
      <c r="J10435" s="1"/>
    </row>
    <row r="10436" spans="10:10" x14ac:dyDescent="0.3">
      <c r="J10436" s="1"/>
    </row>
    <row r="10437" spans="10:10" x14ac:dyDescent="0.3">
      <c r="J10437" s="1"/>
    </row>
    <row r="10438" spans="10:10" x14ac:dyDescent="0.3">
      <c r="J10438" s="1"/>
    </row>
    <row r="10439" spans="10:10" x14ac:dyDescent="0.3">
      <c r="J10439" s="1"/>
    </row>
    <row r="10440" spans="10:10" x14ac:dyDescent="0.3">
      <c r="J10440" s="1"/>
    </row>
    <row r="10441" spans="10:10" x14ac:dyDescent="0.3">
      <c r="J10441" s="1"/>
    </row>
    <row r="10442" spans="10:10" x14ac:dyDescent="0.3">
      <c r="J10442" s="1"/>
    </row>
    <row r="10443" spans="10:10" x14ac:dyDescent="0.3">
      <c r="J10443" s="1"/>
    </row>
    <row r="10444" spans="10:10" x14ac:dyDescent="0.3">
      <c r="J10444" s="1"/>
    </row>
    <row r="10445" spans="10:10" x14ac:dyDescent="0.3">
      <c r="J10445" s="1"/>
    </row>
    <row r="10446" spans="10:10" x14ac:dyDescent="0.3">
      <c r="J10446" s="1"/>
    </row>
    <row r="10447" spans="10:10" x14ac:dyDescent="0.3">
      <c r="J10447" s="1"/>
    </row>
    <row r="10448" spans="10:10" x14ac:dyDescent="0.3">
      <c r="J10448" s="1"/>
    </row>
    <row r="10449" spans="10:10" x14ac:dyDescent="0.3">
      <c r="J10449" s="1"/>
    </row>
    <row r="10450" spans="10:10" x14ac:dyDescent="0.3">
      <c r="J10450" s="1"/>
    </row>
    <row r="10451" spans="10:10" x14ac:dyDescent="0.3">
      <c r="J10451" s="1"/>
    </row>
    <row r="10452" spans="10:10" x14ac:dyDescent="0.3">
      <c r="J10452" s="1"/>
    </row>
    <row r="10453" spans="10:10" x14ac:dyDescent="0.3">
      <c r="J10453" s="1"/>
    </row>
    <row r="10454" spans="10:10" x14ac:dyDescent="0.3">
      <c r="J10454" s="1"/>
    </row>
    <row r="10455" spans="10:10" x14ac:dyDescent="0.3">
      <c r="J10455" s="1"/>
    </row>
    <row r="10456" spans="10:10" x14ac:dyDescent="0.3">
      <c r="J10456" s="1"/>
    </row>
    <row r="10457" spans="10:10" x14ac:dyDescent="0.3">
      <c r="J10457" s="1"/>
    </row>
    <row r="10458" spans="10:10" x14ac:dyDescent="0.3">
      <c r="J10458" s="1"/>
    </row>
    <row r="10459" spans="10:10" x14ac:dyDescent="0.3">
      <c r="J10459" s="1"/>
    </row>
    <row r="10460" spans="10:10" x14ac:dyDescent="0.3">
      <c r="J10460" s="1"/>
    </row>
    <row r="10461" spans="10:10" x14ac:dyDescent="0.3">
      <c r="J10461" s="1"/>
    </row>
    <row r="10462" spans="10:10" x14ac:dyDescent="0.3">
      <c r="J10462" s="1"/>
    </row>
    <row r="10463" spans="10:10" x14ac:dyDescent="0.3">
      <c r="J10463" s="1"/>
    </row>
    <row r="10464" spans="10:10" x14ac:dyDescent="0.3">
      <c r="J10464" s="1"/>
    </row>
    <row r="10465" spans="10:10" x14ac:dyDescent="0.3">
      <c r="J10465" s="1"/>
    </row>
    <row r="10466" spans="10:10" x14ac:dyDescent="0.3">
      <c r="J10466" s="1"/>
    </row>
    <row r="10467" spans="10:10" x14ac:dyDescent="0.3">
      <c r="J10467" s="1"/>
    </row>
    <row r="10468" spans="10:10" x14ac:dyDescent="0.3">
      <c r="J10468" s="1"/>
    </row>
    <row r="10469" spans="10:10" x14ac:dyDescent="0.3">
      <c r="J10469" s="1"/>
    </row>
    <row r="10470" spans="10:10" x14ac:dyDescent="0.3">
      <c r="J10470" s="1"/>
    </row>
    <row r="10471" spans="10:10" x14ac:dyDescent="0.3">
      <c r="J10471" s="1"/>
    </row>
    <row r="10472" spans="10:10" x14ac:dyDescent="0.3">
      <c r="J10472" s="1"/>
    </row>
    <row r="10473" spans="10:10" x14ac:dyDescent="0.3">
      <c r="J10473" s="1"/>
    </row>
    <row r="10474" spans="10:10" x14ac:dyDescent="0.3">
      <c r="J10474" s="1"/>
    </row>
    <row r="10475" spans="10:10" x14ac:dyDescent="0.3">
      <c r="J10475" s="1"/>
    </row>
    <row r="10476" spans="10:10" x14ac:dyDescent="0.3">
      <c r="J10476" s="1"/>
    </row>
    <row r="10477" spans="10:10" x14ac:dyDescent="0.3">
      <c r="J10477" s="1"/>
    </row>
    <row r="10478" spans="10:10" x14ac:dyDescent="0.3">
      <c r="J10478" s="1"/>
    </row>
    <row r="10479" spans="10:10" x14ac:dyDescent="0.3">
      <c r="J10479" s="1"/>
    </row>
    <row r="10480" spans="10:10" x14ac:dyDescent="0.3">
      <c r="J10480" s="1"/>
    </row>
    <row r="10481" spans="10:10" x14ac:dyDescent="0.3">
      <c r="J10481" s="1"/>
    </row>
    <row r="10482" spans="10:10" x14ac:dyDescent="0.3">
      <c r="J10482" s="1"/>
    </row>
    <row r="10483" spans="10:10" x14ac:dyDescent="0.3">
      <c r="J10483" s="1"/>
    </row>
    <row r="10484" spans="10:10" x14ac:dyDescent="0.3">
      <c r="J10484" s="1"/>
    </row>
    <row r="10485" spans="10:10" x14ac:dyDescent="0.3">
      <c r="J10485" s="1"/>
    </row>
    <row r="10486" spans="10:10" x14ac:dyDescent="0.3">
      <c r="J10486" s="1"/>
    </row>
    <row r="10487" spans="10:10" x14ac:dyDescent="0.3">
      <c r="J10487" s="1"/>
    </row>
    <row r="10488" spans="10:10" x14ac:dyDescent="0.3">
      <c r="J10488" s="1"/>
    </row>
    <row r="10489" spans="10:10" x14ac:dyDescent="0.3">
      <c r="J10489" s="1"/>
    </row>
    <row r="10490" spans="10:10" x14ac:dyDescent="0.3">
      <c r="J10490" s="1"/>
    </row>
    <row r="10491" spans="10:10" x14ac:dyDescent="0.3">
      <c r="J10491" s="1"/>
    </row>
    <row r="10492" spans="10:10" x14ac:dyDescent="0.3">
      <c r="J10492" s="1"/>
    </row>
    <row r="10493" spans="10:10" x14ac:dyDescent="0.3">
      <c r="J10493" s="1"/>
    </row>
    <row r="10494" spans="10:10" x14ac:dyDescent="0.3">
      <c r="J10494" s="1"/>
    </row>
    <row r="10495" spans="10:10" x14ac:dyDescent="0.3">
      <c r="J10495" s="1"/>
    </row>
    <row r="10496" spans="10:10" x14ac:dyDescent="0.3">
      <c r="J10496" s="1"/>
    </row>
    <row r="10497" spans="10:10" x14ac:dyDescent="0.3">
      <c r="J10497" s="1"/>
    </row>
    <row r="10498" spans="10:10" x14ac:dyDescent="0.3">
      <c r="J10498" s="1"/>
    </row>
    <row r="10499" spans="10:10" x14ac:dyDescent="0.3">
      <c r="J10499" s="1"/>
    </row>
    <row r="10500" spans="10:10" x14ac:dyDescent="0.3">
      <c r="J10500" s="1"/>
    </row>
    <row r="10501" spans="10:10" x14ac:dyDescent="0.3">
      <c r="J10501" s="1"/>
    </row>
    <row r="10502" spans="10:10" x14ac:dyDescent="0.3">
      <c r="J10502" s="1"/>
    </row>
    <row r="10503" spans="10:10" x14ac:dyDescent="0.3">
      <c r="J10503" s="1"/>
    </row>
    <row r="10504" spans="10:10" x14ac:dyDescent="0.3">
      <c r="J10504" s="1"/>
    </row>
    <row r="10505" spans="10:10" x14ac:dyDescent="0.3">
      <c r="J10505" s="1"/>
    </row>
    <row r="10506" spans="10:10" x14ac:dyDescent="0.3">
      <c r="J10506" s="1"/>
    </row>
    <row r="10507" spans="10:10" x14ac:dyDescent="0.3">
      <c r="J10507" s="1"/>
    </row>
    <row r="10508" spans="10:10" x14ac:dyDescent="0.3">
      <c r="J10508" s="1"/>
    </row>
    <row r="10509" spans="10:10" x14ac:dyDescent="0.3">
      <c r="J10509" s="1"/>
    </row>
    <row r="10510" spans="10:10" x14ac:dyDescent="0.3">
      <c r="J10510" s="1"/>
    </row>
    <row r="10511" spans="10:10" x14ac:dyDescent="0.3">
      <c r="J10511" s="1"/>
    </row>
    <row r="10512" spans="10:10" x14ac:dyDescent="0.3">
      <c r="J10512" s="1"/>
    </row>
    <row r="10513" spans="10:10" x14ac:dyDescent="0.3">
      <c r="J10513" s="1"/>
    </row>
    <row r="10514" spans="10:10" x14ac:dyDescent="0.3">
      <c r="J10514" s="1"/>
    </row>
    <row r="10515" spans="10:10" x14ac:dyDescent="0.3">
      <c r="J10515" s="1"/>
    </row>
    <row r="10516" spans="10:10" x14ac:dyDescent="0.3">
      <c r="J10516" s="1"/>
    </row>
    <row r="10517" spans="10:10" x14ac:dyDescent="0.3">
      <c r="J10517" s="1"/>
    </row>
    <row r="10518" spans="10:10" x14ac:dyDescent="0.3">
      <c r="J10518" s="1"/>
    </row>
    <row r="10519" spans="10:10" x14ac:dyDescent="0.3">
      <c r="J10519" s="1"/>
    </row>
    <row r="10520" spans="10:10" x14ac:dyDescent="0.3">
      <c r="J10520" s="1"/>
    </row>
    <row r="10521" spans="10:10" x14ac:dyDescent="0.3">
      <c r="J10521" s="1"/>
    </row>
    <row r="10522" spans="10:10" x14ac:dyDescent="0.3">
      <c r="J10522" s="1"/>
    </row>
    <row r="10523" spans="10:10" x14ac:dyDescent="0.3">
      <c r="J10523" s="1"/>
    </row>
    <row r="10524" spans="10:10" x14ac:dyDescent="0.3">
      <c r="J10524" s="1"/>
    </row>
    <row r="10525" spans="10:10" x14ac:dyDescent="0.3">
      <c r="J10525" s="1"/>
    </row>
    <row r="10526" spans="10:10" x14ac:dyDescent="0.3">
      <c r="J10526" s="1"/>
    </row>
    <row r="10527" spans="10:10" x14ac:dyDescent="0.3">
      <c r="J10527" s="1"/>
    </row>
    <row r="10528" spans="10:10" x14ac:dyDescent="0.3">
      <c r="J10528" s="1"/>
    </row>
    <row r="10529" spans="10:10" x14ac:dyDescent="0.3">
      <c r="J10529" s="1"/>
    </row>
    <row r="10530" spans="10:10" x14ac:dyDescent="0.3">
      <c r="J10530" s="1"/>
    </row>
    <row r="10531" spans="10:10" x14ac:dyDescent="0.3">
      <c r="J10531" s="1"/>
    </row>
    <row r="10532" spans="10:10" x14ac:dyDescent="0.3">
      <c r="J10532" s="1"/>
    </row>
    <row r="10533" spans="10:10" x14ac:dyDescent="0.3">
      <c r="J10533" s="1"/>
    </row>
    <row r="10534" spans="10:10" x14ac:dyDescent="0.3">
      <c r="J10534" s="1"/>
    </row>
    <row r="10535" spans="10:10" x14ac:dyDescent="0.3">
      <c r="J10535" s="1"/>
    </row>
    <row r="10536" spans="10:10" x14ac:dyDescent="0.3">
      <c r="J10536" s="1"/>
    </row>
    <row r="10537" spans="10:10" x14ac:dyDescent="0.3">
      <c r="J10537" s="1"/>
    </row>
    <row r="10538" spans="10:10" x14ac:dyDescent="0.3">
      <c r="J10538" s="1"/>
    </row>
    <row r="10539" spans="10:10" x14ac:dyDescent="0.3">
      <c r="J10539" s="1"/>
    </row>
    <row r="10540" spans="10:10" x14ac:dyDescent="0.3">
      <c r="J10540" s="1"/>
    </row>
    <row r="10541" spans="10:10" x14ac:dyDescent="0.3">
      <c r="J10541" s="1"/>
    </row>
    <row r="10542" spans="10:10" x14ac:dyDescent="0.3">
      <c r="J10542" s="1"/>
    </row>
    <row r="10543" spans="10:10" x14ac:dyDescent="0.3">
      <c r="J10543" s="1"/>
    </row>
    <row r="10544" spans="10:10" x14ac:dyDescent="0.3">
      <c r="J10544" s="1"/>
    </row>
    <row r="10545" spans="10:10" x14ac:dyDescent="0.3">
      <c r="J10545" s="1"/>
    </row>
    <row r="10546" spans="10:10" x14ac:dyDescent="0.3">
      <c r="J10546" s="1"/>
    </row>
    <row r="10547" spans="10:10" x14ac:dyDescent="0.3">
      <c r="J10547" s="1"/>
    </row>
    <row r="10548" spans="10:10" x14ac:dyDescent="0.3">
      <c r="J10548" s="1"/>
    </row>
    <row r="10549" spans="10:10" x14ac:dyDescent="0.3">
      <c r="J10549" s="1"/>
    </row>
    <row r="10550" spans="10:10" x14ac:dyDescent="0.3">
      <c r="J10550" s="1"/>
    </row>
    <row r="10551" spans="10:10" x14ac:dyDescent="0.3">
      <c r="J10551" s="1"/>
    </row>
    <row r="10552" spans="10:10" x14ac:dyDescent="0.3">
      <c r="J10552" s="1"/>
    </row>
    <row r="10553" spans="10:10" x14ac:dyDescent="0.3">
      <c r="J10553" s="1"/>
    </row>
    <row r="10554" spans="10:10" x14ac:dyDescent="0.3">
      <c r="J10554" s="1"/>
    </row>
    <row r="10555" spans="10:10" x14ac:dyDescent="0.3">
      <c r="J10555" s="1"/>
    </row>
    <row r="10556" spans="10:10" x14ac:dyDescent="0.3">
      <c r="J10556" s="1"/>
    </row>
    <row r="10557" spans="10:10" x14ac:dyDescent="0.3">
      <c r="J10557" s="1"/>
    </row>
    <row r="10558" spans="10:10" x14ac:dyDescent="0.3">
      <c r="J10558" s="1"/>
    </row>
    <row r="10559" spans="10:10" x14ac:dyDescent="0.3">
      <c r="J10559" s="1"/>
    </row>
    <row r="10560" spans="10:10" x14ac:dyDescent="0.3">
      <c r="J10560" s="1"/>
    </row>
    <row r="10561" spans="10:10" x14ac:dyDescent="0.3">
      <c r="J10561" s="1"/>
    </row>
    <row r="10562" spans="10:10" x14ac:dyDescent="0.3">
      <c r="J10562" s="1"/>
    </row>
    <row r="10563" spans="10:10" x14ac:dyDescent="0.3">
      <c r="J10563" s="1"/>
    </row>
    <row r="10564" spans="10:10" x14ac:dyDescent="0.3">
      <c r="J10564" s="1"/>
    </row>
    <row r="10565" spans="10:10" x14ac:dyDescent="0.3">
      <c r="J10565" s="1"/>
    </row>
    <row r="10566" spans="10:10" x14ac:dyDescent="0.3">
      <c r="J10566" s="1"/>
    </row>
    <row r="10567" spans="10:10" x14ac:dyDescent="0.3">
      <c r="J10567" s="1"/>
    </row>
    <row r="10568" spans="10:10" x14ac:dyDescent="0.3">
      <c r="J10568" s="1"/>
    </row>
    <row r="10569" spans="10:10" x14ac:dyDescent="0.3">
      <c r="J10569" s="1"/>
    </row>
    <row r="10570" spans="10:10" x14ac:dyDescent="0.3">
      <c r="J10570" s="1"/>
    </row>
    <row r="10571" spans="10:10" x14ac:dyDescent="0.3">
      <c r="J10571" s="1"/>
    </row>
    <row r="10572" spans="10:10" x14ac:dyDescent="0.3">
      <c r="J10572" s="1"/>
    </row>
    <row r="10573" spans="10:10" x14ac:dyDescent="0.3">
      <c r="J10573" s="1"/>
    </row>
    <row r="10574" spans="10:10" x14ac:dyDescent="0.3">
      <c r="J10574" s="1"/>
    </row>
    <row r="10575" spans="10:10" x14ac:dyDescent="0.3">
      <c r="J10575" s="1"/>
    </row>
    <row r="10576" spans="10:10" x14ac:dyDescent="0.3">
      <c r="J10576" s="1"/>
    </row>
    <row r="10577" spans="10:10" x14ac:dyDescent="0.3">
      <c r="J10577" s="1"/>
    </row>
    <row r="10578" spans="10:10" x14ac:dyDescent="0.3">
      <c r="J10578" s="1"/>
    </row>
    <row r="10579" spans="10:10" x14ac:dyDescent="0.3">
      <c r="J10579" s="1"/>
    </row>
    <row r="10580" spans="10:10" x14ac:dyDescent="0.3">
      <c r="J10580" s="1"/>
    </row>
    <row r="10581" spans="10:10" x14ac:dyDescent="0.3">
      <c r="J10581" s="1"/>
    </row>
    <row r="10582" spans="10:10" x14ac:dyDescent="0.3">
      <c r="J10582" s="1"/>
    </row>
    <row r="10583" spans="10:10" x14ac:dyDescent="0.3">
      <c r="J10583" s="1"/>
    </row>
    <row r="10584" spans="10:10" x14ac:dyDescent="0.3">
      <c r="J10584" s="1"/>
    </row>
    <row r="10585" spans="10:10" x14ac:dyDescent="0.3">
      <c r="J10585" s="1"/>
    </row>
    <row r="10586" spans="10:10" x14ac:dyDescent="0.3">
      <c r="J10586" s="1"/>
    </row>
    <row r="10587" spans="10:10" x14ac:dyDescent="0.3">
      <c r="J10587" s="1"/>
    </row>
    <row r="10588" spans="10:10" x14ac:dyDescent="0.3">
      <c r="J10588" s="1"/>
    </row>
    <row r="10589" spans="10:10" x14ac:dyDescent="0.3">
      <c r="J10589" s="1"/>
    </row>
    <row r="10590" spans="10:10" x14ac:dyDescent="0.3">
      <c r="J10590" s="1"/>
    </row>
    <row r="10591" spans="10:10" x14ac:dyDescent="0.3">
      <c r="J10591" s="1"/>
    </row>
    <row r="10592" spans="10:10" x14ac:dyDescent="0.3">
      <c r="J10592" s="1"/>
    </row>
    <row r="10593" spans="10:10" x14ac:dyDescent="0.3">
      <c r="J10593" s="1"/>
    </row>
    <row r="10594" spans="10:10" x14ac:dyDescent="0.3">
      <c r="J10594" s="1"/>
    </row>
    <row r="10595" spans="10:10" x14ac:dyDescent="0.3">
      <c r="J10595" s="1"/>
    </row>
    <row r="10596" spans="10:10" x14ac:dyDescent="0.3">
      <c r="J10596" s="1"/>
    </row>
    <row r="10597" spans="10:10" x14ac:dyDescent="0.3">
      <c r="J10597" s="1"/>
    </row>
    <row r="10598" spans="10:10" x14ac:dyDescent="0.3">
      <c r="J10598" s="1"/>
    </row>
    <row r="10599" spans="10:10" x14ac:dyDescent="0.3">
      <c r="J10599" s="1"/>
    </row>
    <row r="10600" spans="10:10" x14ac:dyDescent="0.3">
      <c r="J10600" s="1"/>
    </row>
    <row r="10601" spans="10:10" x14ac:dyDescent="0.3">
      <c r="J10601" s="1"/>
    </row>
    <row r="10602" spans="10:10" x14ac:dyDescent="0.3">
      <c r="J10602" s="1"/>
    </row>
    <row r="10603" spans="10:10" x14ac:dyDescent="0.3">
      <c r="J10603" s="1"/>
    </row>
    <row r="10604" spans="10:10" x14ac:dyDescent="0.3">
      <c r="J10604" s="1"/>
    </row>
    <row r="10605" spans="10:10" x14ac:dyDescent="0.3">
      <c r="J10605" s="1"/>
    </row>
    <row r="10606" spans="10:10" x14ac:dyDescent="0.3">
      <c r="J10606" s="1"/>
    </row>
    <row r="10607" spans="10:10" x14ac:dyDescent="0.3">
      <c r="J10607" s="1"/>
    </row>
    <row r="10608" spans="10:10" x14ac:dyDescent="0.3">
      <c r="J10608" s="1"/>
    </row>
    <row r="10609" spans="10:10" x14ac:dyDescent="0.3">
      <c r="J10609" s="1"/>
    </row>
    <row r="10610" spans="10:10" x14ac:dyDescent="0.3">
      <c r="J10610" s="1"/>
    </row>
    <row r="10611" spans="10:10" x14ac:dyDescent="0.3">
      <c r="J10611" s="1"/>
    </row>
    <row r="10612" spans="10:10" x14ac:dyDescent="0.3">
      <c r="J10612" s="1"/>
    </row>
    <row r="10613" spans="10:10" x14ac:dyDescent="0.3">
      <c r="J10613" s="1"/>
    </row>
    <row r="10614" spans="10:10" x14ac:dyDescent="0.3">
      <c r="J10614" s="1"/>
    </row>
    <row r="10615" spans="10:10" x14ac:dyDescent="0.3">
      <c r="J10615" s="1"/>
    </row>
    <row r="10616" spans="10:10" x14ac:dyDescent="0.3">
      <c r="J10616" s="1"/>
    </row>
    <row r="10617" spans="10:10" x14ac:dyDescent="0.3">
      <c r="J10617" s="1"/>
    </row>
    <row r="10618" spans="10:10" x14ac:dyDescent="0.3">
      <c r="J10618" s="1"/>
    </row>
    <row r="10619" spans="10:10" x14ac:dyDescent="0.3">
      <c r="J10619" s="1"/>
    </row>
    <row r="10620" spans="10:10" x14ac:dyDescent="0.3">
      <c r="J10620" s="1"/>
    </row>
    <row r="10621" spans="10:10" x14ac:dyDescent="0.3">
      <c r="J10621" s="1"/>
    </row>
    <row r="10622" spans="10:10" x14ac:dyDescent="0.3">
      <c r="J10622" s="1"/>
    </row>
    <row r="10623" spans="10:10" x14ac:dyDescent="0.3">
      <c r="J10623" s="1"/>
    </row>
    <row r="10624" spans="10:10" x14ac:dyDescent="0.3">
      <c r="J10624" s="1"/>
    </row>
    <row r="10625" spans="10:10" x14ac:dyDescent="0.3">
      <c r="J10625" s="1"/>
    </row>
    <row r="10626" spans="10:10" x14ac:dyDescent="0.3">
      <c r="J10626" s="1"/>
    </row>
    <row r="10627" spans="10:10" x14ac:dyDescent="0.3">
      <c r="J10627" s="1"/>
    </row>
    <row r="10628" spans="10:10" x14ac:dyDescent="0.3">
      <c r="J10628" s="1"/>
    </row>
    <row r="10629" spans="10:10" x14ac:dyDescent="0.3">
      <c r="J10629" s="1"/>
    </row>
    <row r="10630" spans="10:10" x14ac:dyDescent="0.3">
      <c r="J10630" s="1"/>
    </row>
    <row r="10631" spans="10:10" x14ac:dyDescent="0.3">
      <c r="J10631" s="1"/>
    </row>
    <row r="10632" spans="10:10" x14ac:dyDescent="0.3">
      <c r="J10632" s="1"/>
    </row>
    <row r="10633" spans="10:10" x14ac:dyDescent="0.3">
      <c r="J10633" s="1"/>
    </row>
    <row r="10634" spans="10:10" x14ac:dyDescent="0.3">
      <c r="J10634" s="1"/>
    </row>
    <row r="10635" spans="10:10" x14ac:dyDescent="0.3">
      <c r="J10635" s="1"/>
    </row>
    <row r="10636" spans="10:10" x14ac:dyDescent="0.3">
      <c r="J10636" s="1"/>
    </row>
    <row r="10637" spans="10:10" x14ac:dyDescent="0.3">
      <c r="J10637" s="1"/>
    </row>
    <row r="10638" spans="10:10" x14ac:dyDescent="0.3">
      <c r="J10638" s="1"/>
    </row>
    <row r="10639" spans="10:10" x14ac:dyDescent="0.3">
      <c r="J10639" s="1"/>
    </row>
    <row r="10640" spans="10:10" x14ac:dyDescent="0.3">
      <c r="J10640" s="1"/>
    </row>
    <row r="10641" spans="10:10" x14ac:dyDescent="0.3">
      <c r="J10641" s="1"/>
    </row>
    <row r="10642" spans="10:10" x14ac:dyDescent="0.3">
      <c r="J10642" s="1"/>
    </row>
    <row r="10643" spans="10:10" x14ac:dyDescent="0.3">
      <c r="J10643" s="1"/>
    </row>
    <row r="10644" spans="10:10" x14ac:dyDescent="0.3">
      <c r="J10644" s="1"/>
    </row>
    <row r="10645" spans="10:10" x14ac:dyDescent="0.3">
      <c r="J10645" s="1"/>
    </row>
    <row r="10646" spans="10:10" x14ac:dyDescent="0.3">
      <c r="J10646" s="1"/>
    </row>
    <row r="10647" spans="10:10" x14ac:dyDescent="0.3">
      <c r="J10647" s="1"/>
    </row>
    <row r="10648" spans="10:10" x14ac:dyDescent="0.3">
      <c r="J10648" s="1"/>
    </row>
    <row r="10649" spans="10:10" x14ac:dyDescent="0.3">
      <c r="J10649" s="1"/>
    </row>
    <row r="10650" spans="10:10" x14ac:dyDescent="0.3">
      <c r="J10650" s="1"/>
    </row>
    <row r="10651" spans="10:10" x14ac:dyDescent="0.3">
      <c r="J10651" s="1"/>
    </row>
    <row r="10652" spans="10:10" x14ac:dyDescent="0.3">
      <c r="J10652" s="1"/>
    </row>
    <row r="10653" spans="10:10" x14ac:dyDescent="0.3">
      <c r="J10653" s="1"/>
    </row>
    <row r="10654" spans="10:10" x14ac:dyDescent="0.3">
      <c r="J10654" s="1"/>
    </row>
    <row r="10655" spans="10:10" x14ac:dyDescent="0.3">
      <c r="J10655" s="1"/>
    </row>
    <row r="10656" spans="10:10" x14ac:dyDescent="0.3">
      <c r="J10656" s="1"/>
    </row>
    <row r="10657" spans="10:10" x14ac:dyDescent="0.3">
      <c r="J10657" s="1"/>
    </row>
    <row r="10658" spans="10:10" x14ac:dyDescent="0.3">
      <c r="J10658" s="1"/>
    </row>
    <row r="10659" spans="10:10" x14ac:dyDescent="0.3">
      <c r="J10659" s="1"/>
    </row>
    <row r="10660" spans="10:10" x14ac:dyDescent="0.3">
      <c r="J10660" s="1"/>
    </row>
    <row r="10661" spans="10:10" x14ac:dyDescent="0.3">
      <c r="J10661" s="1"/>
    </row>
    <row r="10662" spans="10:10" x14ac:dyDescent="0.3">
      <c r="J10662" s="1"/>
    </row>
    <row r="10663" spans="10:10" x14ac:dyDescent="0.3">
      <c r="J10663" s="1"/>
    </row>
    <row r="10664" spans="10:10" x14ac:dyDescent="0.3">
      <c r="J10664" s="1"/>
    </row>
    <row r="10665" spans="10:10" x14ac:dyDescent="0.3">
      <c r="J10665" s="1"/>
    </row>
    <row r="10666" spans="10:10" x14ac:dyDescent="0.3">
      <c r="J10666" s="1"/>
    </row>
    <row r="10667" spans="10:10" x14ac:dyDescent="0.3">
      <c r="J10667" s="1"/>
    </row>
    <row r="10668" spans="10:10" x14ac:dyDescent="0.3">
      <c r="J10668" s="1"/>
    </row>
    <row r="10669" spans="10:10" x14ac:dyDescent="0.3">
      <c r="J10669" s="1"/>
    </row>
    <row r="10670" spans="10:10" x14ac:dyDescent="0.3">
      <c r="J10670" s="1"/>
    </row>
    <row r="10671" spans="10:10" x14ac:dyDescent="0.3">
      <c r="J10671" s="1"/>
    </row>
    <row r="10672" spans="10:10" x14ac:dyDescent="0.3">
      <c r="J10672" s="1"/>
    </row>
    <row r="10673" spans="10:10" x14ac:dyDescent="0.3">
      <c r="J10673" s="1"/>
    </row>
    <row r="10674" spans="10:10" x14ac:dyDescent="0.3">
      <c r="J10674" s="1"/>
    </row>
    <row r="10675" spans="10:10" x14ac:dyDescent="0.3">
      <c r="J10675" s="1"/>
    </row>
    <row r="10676" spans="10:10" x14ac:dyDescent="0.3">
      <c r="J10676" s="1"/>
    </row>
    <row r="10677" spans="10:10" x14ac:dyDescent="0.3">
      <c r="J10677" s="1"/>
    </row>
    <row r="10678" spans="10:10" x14ac:dyDescent="0.3">
      <c r="J10678" s="1"/>
    </row>
    <row r="10679" spans="10:10" x14ac:dyDescent="0.3">
      <c r="J10679" s="1"/>
    </row>
    <row r="10680" spans="10:10" x14ac:dyDescent="0.3">
      <c r="J10680" s="1"/>
    </row>
    <row r="10681" spans="10:10" x14ac:dyDescent="0.3">
      <c r="J10681" s="1"/>
    </row>
    <row r="10682" spans="10:10" x14ac:dyDescent="0.3">
      <c r="J10682" s="1"/>
    </row>
    <row r="10683" spans="10:10" x14ac:dyDescent="0.3">
      <c r="J10683" s="1"/>
    </row>
    <row r="10684" spans="10:10" x14ac:dyDescent="0.3">
      <c r="J10684" s="1"/>
    </row>
    <row r="10685" spans="10:10" x14ac:dyDescent="0.3">
      <c r="J10685" s="1"/>
    </row>
    <row r="10686" spans="10:10" x14ac:dyDescent="0.3">
      <c r="J10686" s="1"/>
    </row>
    <row r="10687" spans="10:10" x14ac:dyDescent="0.3">
      <c r="J10687" s="1"/>
    </row>
    <row r="10688" spans="10:10" x14ac:dyDescent="0.3">
      <c r="J10688" s="1"/>
    </row>
    <row r="10689" spans="10:10" x14ac:dyDescent="0.3">
      <c r="J10689" s="1"/>
    </row>
    <row r="10690" spans="10:10" x14ac:dyDescent="0.3">
      <c r="J10690" s="1"/>
    </row>
    <row r="10691" spans="10:10" x14ac:dyDescent="0.3">
      <c r="J10691" s="1"/>
    </row>
    <row r="10692" spans="10:10" x14ac:dyDescent="0.3">
      <c r="J10692" s="1"/>
    </row>
    <row r="10693" spans="10:10" x14ac:dyDescent="0.3">
      <c r="J10693" s="1"/>
    </row>
    <row r="10694" spans="10:10" x14ac:dyDescent="0.3">
      <c r="J10694" s="1"/>
    </row>
    <row r="10695" spans="10:10" x14ac:dyDescent="0.3">
      <c r="J10695" s="1"/>
    </row>
    <row r="10696" spans="10:10" x14ac:dyDescent="0.3">
      <c r="J10696" s="1"/>
    </row>
    <row r="10697" spans="10:10" x14ac:dyDescent="0.3">
      <c r="J10697" s="1"/>
    </row>
    <row r="10698" spans="10:10" x14ac:dyDescent="0.3">
      <c r="J10698" s="1"/>
    </row>
    <row r="10699" spans="10:10" x14ac:dyDescent="0.3">
      <c r="J10699" s="1"/>
    </row>
    <row r="10700" spans="10:10" x14ac:dyDescent="0.3">
      <c r="J10700" s="1"/>
    </row>
    <row r="10701" spans="10:10" x14ac:dyDescent="0.3">
      <c r="J10701" s="1"/>
    </row>
    <row r="10702" spans="10:10" x14ac:dyDescent="0.3">
      <c r="J10702" s="1"/>
    </row>
    <row r="10703" spans="10:10" x14ac:dyDescent="0.3">
      <c r="J10703" s="1"/>
    </row>
    <row r="10704" spans="10:10" x14ac:dyDescent="0.3">
      <c r="J10704" s="1"/>
    </row>
    <row r="10705" spans="10:10" x14ac:dyDescent="0.3">
      <c r="J10705" s="1"/>
    </row>
    <row r="10706" spans="10:10" x14ac:dyDescent="0.3">
      <c r="J10706" s="1"/>
    </row>
    <row r="10707" spans="10:10" x14ac:dyDescent="0.3">
      <c r="J10707" s="1"/>
    </row>
    <row r="10708" spans="10:10" x14ac:dyDescent="0.3">
      <c r="J10708" s="1"/>
    </row>
    <row r="10709" spans="10:10" x14ac:dyDescent="0.3">
      <c r="J10709" s="1"/>
    </row>
    <row r="10710" spans="10:10" x14ac:dyDescent="0.3">
      <c r="J10710" s="1"/>
    </row>
    <row r="10711" spans="10:10" x14ac:dyDescent="0.3">
      <c r="J10711" s="1"/>
    </row>
    <row r="10712" spans="10:10" x14ac:dyDescent="0.3">
      <c r="J10712" s="1"/>
    </row>
    <row r="10713" spans="10:10" x14ac:dyDescent="0.3">
      <c r="J10713" s="1"/>
    </row>
    <row r="10714" spans="10:10" x14ac:dyDescent="0.3">
      <c r="J10714" s="1"/>
    </row>
    <row r="10715" spans="10:10" x14ac:dyDescent="0.3">
      <c r="J10715" s="1"/>
    </row>
    <row r="10716" spans="10:10" x14ac:dyDescent="0.3">
      <c r="J10716" s="1"/>
    </row>
    <row r="10717" spans="10:10" x14ac:dyDescent="0.3">
      <c r="J10717" s="1"/>
    </row>
    <row r="10718" spans="10:10" x14ac:dyDescent="0.3">
      <c r="J10718" s="1"/>
    </row>
    <row r="10719" spans="10:10" x14ac:dyDescent="0.3">
      <c r="J10719" s="1"/>
    </row>
    <row r="10720" spans="10:10" x14ac:dyDescent="0.3">
      <c r="J10720" s="1"/>
    </row>
    <row r="10721" spans="10:10" x14ac:dyDescent="0.3">
      <c r="J10721" s="1"/>
    </row>
    <row r="10722" spans="10:10" x14ac:dyDescent="0.3">
      <c r="J10722" s="1"/>
    </row>
    <row r="10723" spans="10:10" x14ac:dyDescent="0.3">
      <c r="J10723" s="1"/>
    </row>
    <row r="10724" spans="10:10" x14ac:dyDescent="0.3">
      <c r="J10724" s="1"/>
    </row>
    <row r="10725" spans="10:10" x14ac:dyDescent="0.3">
      <c r="J10725" s="1"/>
    </row>
    <row r="10726" spans="10:10" x14ac:dyDescent="0.3">
      <c r="J10726" s="1"/>
    </row>
    <row r="10727" spans="10:10" x14ac:dyDescent="0.3">
      <c r="J10727" s="1"/>
    </row>
    <row r="10728" spans="10:10" x14ac:dyDescent="0.3">
      <c r="J10728" s="1"/>
    </row>
    <row r="10729" spans="10:10" x14ac:dyDescent="0.3">
      <c r="J10729" s="1"/>
    </row>
    <row r="10730" spans="10:10" x14ac:dyDescent="0.3">
      <c r="J10730" s="1"/>
    </row>
    <row r="10731" spans="10:10" x14ac:dyDescent="0.3">
      <c r="J10731" s="1"/>
    </row>
    <row r="10732" spans="10:10" x14ac:dyDescent="0.3">
      <c r="J10732" s="1"/>
    </row>
    <row r="10733" spans="10:10" x14ac:dyDescent="0.3">
      <c r="J10733" s="1"/>
    </row>
    <row r="10734" spans="10:10" x14ac:dyDescent="0.3">
      <c r="J10734" s="1"/>
    </row>
    <row r="10735" spans="10:10" x14ac:dyDescent="0.3">
      <c r="J10735" s="1"/>
    </row>
    <row r="10736" spans="10:10" x14ac:dyDescent="0.3">
      <c r="J10736" s="1"/>
    </row>
    <row r="10737" spans="10:10" x14ac:dyDescent="0.3">
      <c r="J10737" s="1"/>
    </row>
    <row r="10738" spans="10:10" x14ac:dyDescent="0.3">
      <c r="J10738" s="1"/>
    </row>
    <row r="10739" spans="10:10" x14ac:dyDescent="0.3">
      <c r="J10739" s="1"/>
    </row>
    <row r="10740" spans="10:10" x14ac:dyDescent="0.3">
      <c r="J10740" s="1"/>
    </row>
    <row r="10741" spans="10:10" x14ac:dyDescent="0.3">
      <c r="J10741" s="1"/>
    </row>
    <row r="10742" spans="10:10" x14ac:dyDescent="0.3">
      <c r="J10742" s="1"/>
    </row>
    <row r="10743" spans="10:10" x14ac:dyDescent="0.3">
      <c r="J10743" s="1"/>
    </row>
    <row r="10744" spans="10:10" x14ac:dyDescent="0.3">
      <c r="J10744" s="1"/>
    </row>
    <row r="10745" spans="10:10" x14ac:dyDescent="0.3">
      <c r="J10745" s="1"/>
    </row>
    <row r="10746" spans="10:10" x14ac:dyDescent="0.3">
      <c r="J10746" s="1"/>
    </row>
    <row r="10747" spans="10:10" x14ac:dyDescent="0.3">
      <c r="J10747" s="1"/>
    </row>
    <row r="10748" spans="10:10" x14ac:dyDescent="0.3">
      <c r="J10748" s="1"/>
    </row>
    <row r="10749" spans="10:10" x14ac:dyDescent="0.3">
      <c r="J10749" s="1"/>
    </row>
    <row r="10750" spans="10:10" x14ac:dyDescent="0.3">
      <c r="J10750" s="1"/>
    </row>
    <row r="10751" spans="10:10" x14ac:dyDescent="0.3">
      <c r="J10751" s="1"/>
    </row>
    <row r="10752" spans="10:10" x14ac:dyDescent="0.3">
      <c r="J10752" s="1"/>
    </row>
    <row r="10753" spans="10:10" x14ac:dyDescent="0.3">
      <c r="J10753" s="1"/>
    </row>
    <row r="10754" spans="10:10" x14ac:dyDescent="0.3">
      <c r="J10754" s="1"/>
    </row>
    <row r="10755" spans="10:10" x14ac:dyDescent="0.3">
      <c r="J10755" s="1"/>
    </row>
    <row r="10756" spans="10:10" x14ac:dyDescent="0.3">
      <c r="J10756" s="1"/>
    </row>
    <row r="10757" spans="10:10" x14ac:dyDescent="0.3">
      <c r="J10757" s="1"/>
    </row>
    <row r="10758" spans="10:10" x14ac:dyDescent="0.3">
      <c r="J10758" s="1"/>
    </row>
    <row r="10759" spans="10:10" x14ac:dyDescent="0.3">
      <c r="J10759" s="1"/>
    </row>
    <row r="10760" spans="10:10" x14ac:dyDescent="0.3">
      <c r="J10760" s="1"/>
    </row>
    <row r="10761" spans="10:10" x14ac:dyDescent="0.3">
      <c r="J10761" s="1"/>
    </row>
    <row r="10762" spans="10:10" x14ac:dyDescent="0.3">
      <c r="J10762" s="1"/>
    </row>
    <row r="10763" spans="10:10" x14ac:dyDescent="0.3">
      <c r="J10763" s="1"/>
    </row>
    <row r="10764" spans="10:10" x14ac:dyDescent="0.3">
      <c r="J10764" s="1"/>
    </row>
    <row r="10765" spans="10:10" x14ac:dyDescent="0.3">
      <c r="J10765" s="1"/>
    </row>
    <row r="10766" spans="10:10" x14ac:dyDescent="0.3">
      <c r="J10766" s="1"/>
    </row>
    <row r="10767" spans="10:10" x14ac:dyDescent="0.3">
      <c r="J10767" s="1"/>
    </row>
    <row r="10768" spans="10:10" x14ac:dyDescent="0.3">
      <c r="J10768" s="1"/>
    </row>
    <row r="10769" spans="10:10" x14ac:dyDescent="0.3">
      <c r="J10769" s="1"/>
    </row>
    <row r="10770" spans="10:10" x14ac:dyDescent="0.3">
      <c r="J10770" s="1"/>
    </row>
    <row r="10771" spans="10:10" x14ac:dyDescent="0.3">
      <c r="J10771" s="1"/>
    </row>
    <row r="10772" spans="10:10" x14ac:dyDescent="0.3">
      <c r="J10772" s="1"/>
    </row>
    <row r="10773" spans="10:10" x14ac:dyDescent="0.3">
      <c r="J10773" s="1"/>
    </row>
    <row r="10774" spans="10:10" x14ac:dyDescent="0.3">
      <c r="J10774" s="1"/>
    </row>
    <row r="10775" spans="10:10" x14ac:dyDescent="0.3">
      <c r="J10775" s="1"/>
    </row>
    <row r="10776" spans="10:10" x14ac:dyDescent="0.3">
      <c r="J10776" s="1"/>
    </row>
    <row r="10777" spans="10:10" x14ac:dyDescent="0.3">
      <c r="J10777" s="1"/>
    </row>
    <row r="10778" spans="10:10" x14ac:dyDescent="0.3">
      <c r="J10778" s="1"/>
    </row>
    <row r="10779" spans="10:10" x14ac:dyDescent="0.3">
      <c r="J10779" s="1"/>
    </row>
    <row r="10780" spans="10:10" x14ac:dyDescent="0.3">
      <c r="J10780" s="1"/>
    </row>
    <row r="10781" spans="10:10" x14ac:dyDescent="0.3">
      <c r="J10781" s="1"/>
    </row>
    <row r="10782" spans="10:10" x14ac:dyDescent="0.3">
      <c r="J10782" s="1"/>
    </row>
    <row r="10783" spans="10:10" x14ac:dyDescent="0.3">
      <c r="J10783" s="1"/>
    </row>
    <row r="10784" spans="10:10" x14ac:dyDescent="0.3">
      <c r="J10784" s="1"/>
    </row>
    <row r="10785" spans="10:10" x14ac:dyDescent="0.3">
      <c r="J10785" s="1"/>
    </row>
    <row r="10786" spans="10:10" x14ac:dyDescent="0.3">
      <c r="J10786" s="1"/>
    </row>
    <row r="10787" spans="10:10" x14ac:dyDescent="0.3">
      <c r="J10787" s="1"/>
    </row>
    <row r="10788" spans="10:10" x14ac:dyDescent="0.3">
      <c r="J10788" s="1"/>
    </row>
    <row r="10789" spans="10:10" x14ac:dyDescent="0.3">
      <c r="J10789" s="1"/>
    </row>
    <row r="10790" spans="10:10" x14ac:dyDescent="0.3">
      <c r="J10790" s="1"/>
    </row>
    <row r="10791" spans="10:10" x14ac:dyDescent="0.3">
      <c r="J10791" s="1"/>
    </row>
    <row r="10792" spans="10:10" x14ac:dyDescent="0.3">
      <c r="J10792" s="1"/>
    </row>
    <row r="10793" spans="10:10" x14ac:dyDescent="0.3">
      <c r="J10793" s="1"/>
    </row>
    <row r="10794" spans="10:10" x14ac:dyDescent="0.3">
      <c r="J10794" s="1"/>
    </row>
    <row r="10795" spans="10:10" x14ac:dyDescent="0.3">
      <c r="J10795" s="1"/>
    </row>
    <row r="10796" spans="10:10" x14ac:dyDescent="0.3">
      <c r="J10796" s="1"/>
    </row>
    <row r="10797" spans="10:10" x14ac:dyDescent="0.3">
      <c r="J10797" s="1"/>
    </row>
    <row r="10798" spans="10:10" x14ac:dyDescent="0.3">
      <c r="J10798" s="1"/>
    </row>
    <row r="10799" spans="10:10" x14ac:dyDescent="0.3">
      <c r="J10799" s="1"/>
    </row>
    <row r="10800" spans="10:10" x14ac:dyDescent="0.3">
      <c r="J10800" s="1"/>
    </row>
    <row r="10801" spans="10:10" x14ac:dyDescent="0.3">
      <c r="J10801" s="1"/>
    </row>
    <row r="10802" spans="10:10" x14ac:dyDescent="0.3">
      <c r="J10802" s="1"/>
    </row>
    <row r="10803" spans="10:10" x14ac:dyDescent="0.3">
      <c r="J10803" s="1"/>
    </row>
    <row r="10804" spans="10:10" x14ac:dyDescent="0.3">
      <c r="J10804" s="1"/>
    </row>
    <row r="10805" spans="10:10" x14ac:dyDescent="0.3">
      <c r="J10805" s="1"/>
    </row>
    <row r="10806" spans="10:10" x14ac:dyDescent="0.3">
      <c r="J10806" s="1"/>
    </row>
    <row r="10807" spans="10:10" x14ac:dyDescent="0.3">
      <c r="J10807" s="1"/>
    </row>
    <row r="10808" spans="10:10" x14ac:dyDescent="0.3">
      <c r="J10808" s="1"/>
    </row>
    <row r="10809" spans="10:10" x14ac:dyDescent="0.3">
      <c r="J10809" s="1"/>
    </row>
    <row r="10810" spans="10:10" x14ac:dyDescent="0.3">
      <c r="J10810" s="1"/>
    </row>
    <row r="10811" spans="10:10" x14ac:dyDescent="0.3">
      <c r="J10811" s="1"/>
    </row>
    <row r="10812" spans="10:10" x14ac:dyDescent="0.3">
      <c r="J10812" s="1"/>
    </row>
    <row r="10813" spans="10:10" x14ac:dyDescent="0.3">
      <c r="J10813" s="1"/>
    </row>
    <row r="10814" spans="10:10" x14ac:dyDescent="0.3">
      <c r="J10814" s="1"/>
    </row>
    <row r="10815" spans="10:10" x14ac:dyDescent="0.3">
      <c r="J10815" s="1"/>
    </row>
    <row r="10816" spans="10:10" x14ac:dyDescent="0.3">
      <c r="J10816" s="1"/>
    </row>
    <row r="10817" spans="10:10" x14ac:dyDescent="0.3">
      <c r="J10817" s="1"/>
    </row>
    <row r="10818" spans="10:10" x14ac:dyDescent="0.3">
      <c r="J10818" s="1"/>
    </row>
    <row r="10819" spans="10:10" x14ac:dyDescent="0.3">
      <c r="J10819" s="1"/>
    </row>
    <row r="10820" spans="10:10" x14ac:dyDescent="0.3">
      <c r="J10820" s="1"/>
    </row>
    <row r="10821" spans="10:10" x14ac:dyDescent="0.3">
      <c r="J10821" s="1"/>
    </row>
    <row r="10822" spans="10:10" x14ac:dyDescent="0.3">
      <c r="J10822" s="1"/>
    </row>
    <row r="10823" spans="10:10" x14ac:dyDescent="0.3">
      <c r="J10823" s="1"/>
    </row>
    <row r="10824" spans="10:10" x14ac:dyDescent="0.3">
      <c r="J10824" s="1"/>
    </row>
    <row r="10825" spans="10:10" x14ac:dyDescent="0.3">
      <c r="J10825" s="1"/>
    </row>
    <row r="10826" spans="10:10" x14ac:dyDescent="0.3">
      <c r="J10826" s="1"/>
    </row>
    <row r="10827" spans="10:10" x14ac:dyDescent="0.3">
      <c r="J10827" s="1"/>
    </row>
    <row r="10828" spans="10:10" x14ac:dyDescent="0.3">
      <c r="J10828" s="1"/>
    </row>
    <row r="10829" spans="10:10" x14ac:dyDescent="0.3">
      <c r="J10829" s="1"/>
    </row>
    <row r="10830" spans="10:10" x14ac:dyDescent="0.3">
      <c r="J10830" s="1"/>
    </row>
    <row r="10831" spans="10:10" x14ac:dyDescent="0.3">
      <c r="J10831" s="1"/>
    </row>
    <row r="10832" spans="10:10" x14ac:dyDescent="0.3">
      <c r="J10832" s="1"/>
    </row>
    <row r="10833" spans="10:10" x14ac:dyDescent="0.3">
      <c r="J10833" s="1"/>
    </row>
    <row r="10834" spans="10:10" x14ac:dyDescent="0.3">
      <c r="J10834" s="1"/>
    </row>
    <row r="10835" spans="10:10" x14ac:dyDescent="0.3">
      <c r="J10835" s="1"/>
    </row>
    <row r="10836" spans="10:10" x14ac:dyDescent="0.3">
      <c r="J10836" s="1"/>
    </row>
    <row r="10837" spans="10:10" x14ac:dyDescent="0.3">
      <c r="J10837" s="1"/>
    </row>
    <row r="10838" spans="10:10" x14ac:dyDescent="0.3">
      <c r="J10838" s="1"/>
    </row>
    <row r="10839" spans="10:10" x14ac:dyDescent="0.3">
      <c r="J10839" s="1"/>
    </row>
    <row r="10840" spans="10:10" x14ac:dyDescent="0.3">
      <c r="J10840" s="1"/>
    </row>
    <row r="10841" spans="10:10" x14ac:dyDescent="0.3">
      <c r="J10841" s="1"/>
    </row>
    <row r="10842" spans="10:10" x14ac:dyDescent="0.3">
      <c r="J10842" s="1"/>
    </row>
    <row r="10843" spans="10:10" x14ac:dyDescent="0.3">
      <c r="J10843" s="1"/>
    </row>
    <row r="10844" spans="10:10" x14ac:dyDescent="0.3">
      <c r="J10844" s="1"/>
    </row>
    <row r="10845" spans="10:10" x14ac:dyDescent="0.3">
      <c r="J10845" s="1"/>
    </row>
    <row r="10846" spans="10:10" x14ac:dyDescent="0.3">
      <c r="J10846" s="1"/>
    </row>
    <row r="10847" spans="10:10" x14ac:dyDescent="0.3">
      <c r="J10847" s="1"/>
    </row>
    <row r="10848" spans="10:10" x14ac:dyDescent="0.3">
      <c r="J10848" s="1"/>
    </row>
    <row r="10849" spans="10:10" x14ac:dyDescent="0.3">
      <c r="J10849" s="1"/>
    </row>
    <row r="10850" spans="10:10" x14ac:dyDescent="0.3">
      <c r="J10850" s="1"/>
    </row>
    <row r="10851" spans="10:10" x14ac:dyDescent="0.3">
      <c r="J10851" s="1"/>
    </row>
    <row r="10852" spans="10:10" x14ac:dyDescent="0.3">
      <c r="J10852" s="1"/>
    </row>
    <row r="10853" spans="10:10" x14ac:dyDescent="0.3">
      <c r="J10853" s="1"/>
    </row>
    <row r="10854" spans="10:10" x14ac:dyDescent="0.3">
      <c r="J10854" s="1"/>
    </row>
    <row r="10855" spans="10:10" x14ac:dyDescent="0.3">
      <c r="J10855" s="1"/>
    </row>
    <row r="10856" spans="10:10" x14ac:dyDescent="0.3">
      <c r="J10856" s="1"/>
    </row>
    <row r="10857" spans="10:10" x14ac:dyDescent="0.3">
      <c r="J10857" s="1"/>
    </row>
    <row r="10858" spans="10:10" x14ac:dyDescent="0.3">
      <c r="J10858" s="1"/>
    </row>
    <row r="10859" spans="10:10" x14ac:dyDescent="0.3">
      <c r="J10859" s="1"/>
    </row>
    <row r="10860" spans="10:10" x14ac:dyDescent="0.3">
      <c r="J10860" s="1"/>
    </row>
    <row r="10861" spans="10:10" x14ac:dyDescent="0.3">
      <c r="J10861" s="1"/>
    </row>
    <row r="10862" spans="10:10" x14ac:dyDescent="0.3">
      <c r="J10862" s="1"/>
    </row>
    <row r="10863" spans="10:10" x14ac:dyDescent="0.3">
      <c r="J10863" s="1"/>
    </row>
    <row r="10864" spans="10:10" x14ac:dyDescent="0.3">
      <c r="J10864" s="1"/>
    </row>
    <row r="10865" spans="10:10" x14ac:dyDescent="0.3">
      <c r="J10865" s="1"/>
    </row>
    <row r="10866" spans="10:10" x14ac:dyDescent="0.3">
      <c r="J10866" s="1"/>
    </row>
    <row r="10867" spans="10:10" x14ac:dyDescent="0.3">
      <c r="J10867" s="1"/>
    </row>
    <row r="10868" spans="10:10" x14ac:dyDescent="0.3">
      <c r="J10868" s="1"/>
    </row>
    <row r="10869" spans="10:10" x14ac:dyDescent="0.3">
      <c r="J10869" s="1"/>
    </row>
    <row r="10870" spans="10:10" x14ac:dyDescent="0.3">
      <c r="J10870" s="1"/>
    </row>
    <row r="10871" spans="10:10" x14ac:dyDescent="0.3">
      <c r="J10871" s="1"/>
    </row>
    <row r="10872" spans="10:10" x14ac:dyDescent="0.3">
      <c r="J10872" s="1"/>
    </row>
    <row r="10873" spans="10:10" x14ac:dyDescent="0.3">
      <c r="J10873" s="1"/>
    </row>
    <row r="10874" spans="10:10" x14ac:dyDescent="0.3">
      <c r="J10874" s="1"/>
    </row>
    <row r="10875" spans="10:10" x14ac:dyDescent="0.3">
      <c r="J10875" s="1"/>
    </row>
    <row r="10876" spans="10:10" x14ac:dyDescent="0.3">
      <c r="J10876" s="1"/>
    </row>
    <row r="10877" spans="10:10" x14ac:dyDescent="0.3">
      <c r="J10877" s="1"/>
    </row>
    <row r="10878" spans="10:10" x14ac:dyDescent="0.3">
      <c r="J10878" s="1"/>
    </row>
    <row r="10879" spans="10:10" x14ac:dyDescent="0.3">
      <c r="J10879" s="1"/>
    </row>
    <row r="10880" spans="10:10" x14ac:dyDescent="0.3">
      <c r="J10880" s="1"/>
    </row>
    <row r="10881" spans="10:10" x14ac:dyDescent="0.3">
      <c r="J10881" s="1"/>
    </row>
    <row r="10882" spans="10:10" x14ac:dyDescent="0.3">
      <c r="J10882" s="1"/>
    </row>
    <row r="10883" spans="10:10" x14ac:dyDescent="0.3">
      <c r="J10883" s="1"/>
    </row>
    <row r="10884" spans="10:10" x14ac:dyDescent="0.3">
      <c r="J10884" s="1"/>
    </row>
    <row r="10885" spans="10:10" x14ac:dyDescent="0.3">
      <c r="J10885" s="1"/>
    </row>
    <row r="10886" spans="10:10" x14ac:dyDescent="0.3">
      <c r="J10886" s="1"/>
    </row>
    <row r="10887" spans="10:10" x14ac:dyDescent="0.3">
      <c r="J10887" s="1"/>
    </row>
    <row r="10888" spans="10:10" x14ac:dyDescent="0.3">
      <c r="J10888" s="1"/>
    </row>
    <row r="10889" spans="10:10" x14ac:dyDescent="0.3">
      <c r="J10889" s="1"/>
    </row>
    <row r="10890" spans="10:10" x14ac:dyDescent="0.3">
      <c r="J10890" s="1"/>
    </row>
    <row r="10891" spans="10:10" x14ac:dyDescent="0.3">
      <c r="J10891" s="1"/>
    </row>
    <row r="10892" spans="10:10" x14ac:dyDescent="0.3">
      <c r="J10892" s="1"/>
    </row>
    <row r="10893" spans="10:10" x14ac:dyDescent="0.3">
      <c r="J10893" s="1"/>
    </row>
    <row r="10894" spans="10:10" x14ac:dyDescent="0.3">
      <c r="J10894" s="1"/>
    </row>
    <row r="10895" spans="10:10" x14ac:dyDescent="0.3">
      <c r="J10895" s="1"/>
    </row>
    <row r="10896" spans="10:10" x14ac:dyDescent="0.3">
      <c r="J10896" s="1"/>
    </row>
    <row r="10897" spans="10:10" x14ac:dyDescent="0.3">
      <c r="J10897" s="1"/>
    </row>
    <row r="10898" spans="10:10" x14ac:dyDescent="0.3">
      <c r="J10898" s="1"/>
    </row>
    <row r="10899" spans="10:10" x14ac:dyDescent="0.3">
      <c r="J10899" s="1"/>
    </row>
    <row r="10900" spans="10:10" x14ac:dyDescent="0.3">
      <c r="J10900" s="1"/>
    </row>
    <row r="10901" spans="10:10" x14ac:dyDescent="0.3">
      <c r="J10901" s="1"/>
    </row>
    <row r="10902" spans="10:10" x14ac:dyDescent="0.3">
      <c r="J10902" s="1"/>
    </row>
    <row r="10903" spans="10:10" x14ac:dyDescent="0.3">
      <c r="J10903" s="1"/>
    </row>
    <row r="10904" spans="10:10" x14ac:dyDescent="0.3">
      <c r="J10904" s="1"/>
    </row>
    <row r="10905" spans="10:10" x14ac:dyDescent="0.3">
      <c r="J10905" s="1"/>
    </row>
    <row r="10906" spans="10:10" x14ac:dyDescent="0.3">
      <c r="J10906" s="1"/>
    </row>
    <row r="10907" spans="10:10" x14ac:dyDescent="0.3">
      <c r="J10907" s="1"/>
    </row>
    <row r="10908" spans="10:10" x14ac:dyDescent="0.3">
      <c r="J10908" s="1"/>
    </row>
    <row r="10909" spans="10:10" x14ac:dyDescent="0.3">
      <c r="J10909" s="1"/>
    </row>
    <row r="10910" spans="10:10" x14ac:dyDescent="0.3">
      <c r="J10910" s="1"/>
    </row>
    <row r="10911" spans="10:10" x14ac:dyDescent="0.3">
      <c r="J10911" s="1"/>
    </row>
    <row r="10912" spans="10:10" x14ac:dyDescent="0.3">
      <c r="J10912" s="1"/>
    </row>
    <row r="10913" spans="10:10" x14ac:dyDescent="0.3">
      <c r="J10913" s="1"/>
    </row>
    <row r="10914" spans="10:10" x14ac:dyDescent="0.3">
      <c r="J10914" s="1"/>
    </row>
    <row r="10915" spans="10:10" x14ac:dyDescent="0.3">
      <c r="J10915" s="1"/>
    </row>
    <row r="10916" spans="10:10" x14ac:dyDescent="0.3">
      <c r="J10916" s="1"/>
    </row>
    <row r="10917" spans="10:10" x14ac:dyDescent="0.3">
      <c r="J10917" s="1"/>
    </row>
    <row r="10918" spans="10:10" x14ac:dyDescent="0.3">
      <c r="J10918" s="1"/>
    </row>
    <row r="10919" spans="10:10" x14ac:dyDescent="0.3">
      <c r="J10919" s="1"/>
    </row>
    <row r="10920" spans="10:10" x14ac:dyDescent="0.3">
      <c r="J10920" s="1"/>
    </row>
    <row r="10921" spans="10:10" x14ac:dyDescent="0.3">
      <c r="J10921" s="1"/>
    </row>
    <row r="10922" spans="10:10" x14ac:dyDescent="0.3">
      <c r="J10922" s="1"/>
    </row>
    <row r="10923" spans="10:10" x14ac:dyDescent="0.3">
      <c r="J10923" s="1"/>
    </row>
    <row r="10924" spans="10:10" x14ac:dyDescent="0.3">
      <c r="J10924" s="1"/>
    </row>
    <row r="10925" spans="10:10" x14ac:dyDescent="0.3">
      <c r="J10925" s="1"/>
    </row>
    <row r="10926" spans="10:10" x14ac:dyDescent="0.3">
      <c r="J10926" s="1"/>
    </row>
    <row r="10927" spans="10:10" x14ac:dyDescent="0.3">
      <c r="J10927" s="1"/>
    </row>
    <row r="10928" spans="10:10" x14ac:dyDescent="0.3">
      <c r="J10928" s="1"/>
    </row>
    <row r="10929" spans="10:10" x14ac:dyDescent="0.3">
      <c r="J10929" s="1"/>
    </row>
    <row r="10930" spans="10:10" x14ac:dyDescent="0.3">
      <c r="J10930" s="1"/>
    </row>
    <row r="10931" spans="10:10" x14ac:dyDescent="0.3">
      <c r="J10931" s="1"/>
    </row>
    <row r="10932" spans="10:10" x14ac:dyDescent="0.3">
      <c r="J10932" s="1"/>
    </row>
    <row r="10933" spans="10:10" x14ac:dyDescent="0.3">
      <c r="J10933" s="1"/>
    </row>
    <row r="10934" spans="10:10" x14ac:dyDescent="0.3">
      <c r="J10934" s="1"/>
    </row>
    <row r="10935" spans="10:10" x14ac:dyDescent="0.3">
      <c r="J10935" s="1"/>
    </row>
    <row r="10936" spans="10:10" x14ac:dyDescent="0.3">
      <c r="J10936" s="1"/>
    </row>
    <row r="10937" spans="10:10" x14ac:dyDescent="0.3">
      <c r="J10937" s="1"/>
    </row>
    <row r="10938" spans="10:10" x14ac:dyDescent="0.3">
      <c r="J10938" s="1"/>
    </row>
    <row r="10939" spans="10:10" x14ac:dyDescent="0.3">
      <c r="J10939" s="1"/>
    </row>
    <row r="10940" spans="10:10" x14ac:dyDescent="0.3">
      <c r="J10940" s="1"/>
    </row>
    <row r="10941" spans="10:10" x14ac:dyDescent="0.3">
      <c r="J10941" s="1"/>
    </row>
    <row r="10942" spans="10:10" x14ac:dyDescent="0.3">
      <c r="J10942" s="1"/>
    </row>
    <row r="10943" spans="10:10" x14ac:dyDescent="0.3">
      <c r="J10943" s="1"/>
    </row>
    <row r="10944" spans="10:10" x14ac:dyDescent="0.3">
      <c r="J10944" s="1"/>
    </row>
    <row r="10945" spans="10:10" x14ac:dyDescent="0.3">
      <c r="J10945" s="1"/>
    </row>
    <row r="10946" spans="10:10" x14ac:dyDescent="0.3">
      <c r="J10946" s="1"/>
    </row>
    <row r="10947" spans="10:10" x14ac:dyDescent="0.3">
      <c r="J10947" s="1"/>
    </row>
    <row r="10948" spans="10:10" x14ac:dyDescent="0.3">
      <c r="J10948" s="1"/>
    </row>
    <row r="10949" spans="10:10" x14ac:dyDescent="0.3">
      <c r="J10949" s="1"/>
    </row>
    <row r="10950" spans="10:10" x14ac:dyDescent="0.3">
      <c r="J10950" s="1"/>
    </row>
    <row r="10951" spans="10:10" x14ac:dyDescent="0.3">
      <c r="J10951" s="1"/>
    </row>
    <row r="10952" spans="10:10" x14ac:dyDescent="0.3">
      <c r="J10952" s="1"/>
    </row>
    <row r="10953" spans="10:10" x14ac:dyDescent="0.3">
      <c r="J10953" s="1"/>
    </row>
    <row r="10954" spans="10:10" x14ac:dyDescent="0.3">
      <c r="J10954" s="1"/>
    </row>
    <row r="10955" spans="10:10" x14ac:dyDescent="0.3">
      <c r="J10955" s="1"/>
    </row>
    <row r="10956" spans="10:10" x14ac:dyDescent="0.3">
      <c r="J10956" s="1"/>
    </row>
    <row r="10957" spans="10:10" x14ac:dyDescent="0.3">
      <c r="J10957" s="1"/>
    </row>
    <row r="10958" spans="10:10" x14ac:dyDescent="0.3">
      <c r="J10958" s="1"/>
    </row>
    <row r="10959" spans="10:10" x14ac:dyDescent="0.3">
      <c r="J10959" s="1"/>
    </row>
    <row r="10960" spans="10:10" x14ac:dyDescent="0.3">
      <c r="J10960" s="1"/>
    </row>
    <row r="10961" spans="10:10" x14ac:dyDescent="0.3">
      <c r="J10961" s="1"/>
    </row>
    <row r="10962" spans="10:10" x14ac:dyDescent="0.3">
      <c r="J10962" s="1"/>
    </row>
    <row r="10963" spans="10:10" x14ac:dyDescent="0.3">
      <c r="J10963" s="1"/>
    </row>
    <row r="10964" spans="10:10" x14ac:dyDescent="0.3">
      <c r="J10964" s="1"/>
    </row>
    <row r="10965" spans="10:10" x14ac:dyDescent="0.3">
      <c r="J10965" s="1"/>
    </row>
    <row r="10966" spans="10:10" x14ac:dyDescent="0.3">
      <c r="J10966" s="1"/>
    </row>
    <row r="10967" spans="10:10" x14ac:dyDescent="0.3">
      <c r="J10967" s="1"/>
    </row>
    <row r="10968" spans="10:10" x14ac:dyDescent="0.3">
      <c r="J10968" s="1"/>
    </row>
    <row r="10969" spans="10:10" x14ac:dyDescent="0.3">
      <c r="J10969" s="1"/>
    </row>
    <row r="10970" spans="10:10" x14ac:dyDescent="0.3">
      <c r="J10970" s="1"/>
    </row>
    <row r="10971" spans="10:10" x14ac:dyDescent="0.3">
      <c r="J10971" s="1"/>
    </row>
    <row r="10972" spans="10:10" x14ac:dyDescent="0.3">
      <c r="J10972" s="1"/>
    </row>
    <row r="10973" spans="10:10" x14ac:dyDescent="0.3">
      <c r="J10973" s="1"/>
    </row>
    <row r="10974" spans="10:10" x14ac:dyDescent="0.3">
      <c r="J10974" s="1"/>
    </row>
    <row r="10975" spans="10:10" x14ac:dyDescent="0.3">
      <c r="J10975" s="1"/>
    </row>
    <row r="10976" spans="10:10" x14ac:dyDescent="0.3">
      <c r="J10976" s="1"/>
    </row>
    <row r="10977" spans="10:10" x14ac:dyDescent="0.3">
      <c r="J10977" s="1"/>
    </row>
    <row r="10978" spans="10:10" x14ac:dyDescent="0.3">
      <c r="J10978" s="1"/>
    </row>
    <row r="10979" spans="10:10" x14ac:dyDescent="0.3">
      <c r="J10979" s="1"/>
    </row>
    <row r="10980" spans="10:10" x14ac:dyDescent="0.3">
      <c r="J10980" s="1"/>
    </row>
    <row r="10981" spans="10:10" x14ac:dyDescent="0.3">
      <c r="J10981" s="1"/>
    </row>
    <row r="10982" spans="10:10" x14ac:dyDescent="0.3">
      <c r="J10982" s="1"/>
    </row>
    <row r="10983" spans="10:10" x14ac:dyDescent="0.3">
      <c r="J10983" s="1"/>
    </row>
    <row r="10984" spans="10:10" x14ac:dyDescent="0.3">
      <c r="J10984" s="1"/>
    </row>
    <row r="10985" spans="10:10" x14ac:dyDescent="0.3">
      <c r="J10985" s="1"/>
    </row>
    <row r="10986" spans="10:10" x14ac:dyDescent="0.3">
      <c r="J10986" s="1"/>
    </row>
    <row r="10987" spans="10:10" x14ac:dyDescent="0.3">
      <c r="J10987" s="1"/>
    </row>
    <row r="10988" spans="10:10" x14ac:dyDescent="0.3">
      <c r="J10988" s="1"/>
    </row>
    <row r="10989" spans="10:10" x14ac:dyDescent="0.3">
      <c r="J10989" s="1"/>
    </row>
    <row r="10990" spans="10:10" x14ac:dyDescent="0.3">
      <c r="J10990" s="1"/>
    </row>
    <row r="10991" spans="10:10" x14ac:dyDescent="0.3">
      <c r="J10991" s="1"/>
    </row>
    <row r="10992" spans="10:10" x14ac:dyDescent="0.3">
      <c r="J10992" s="1"/>
    </row>
    <row r="10993" spans="10:10" x14ac:dyDescent="0.3">
      <c r="J10993" s="1"/>
    </row>
    <row r="10994" spans="10:10" x14ac:dyDescent="0.3">
      <c r="J10994" s="1"/>
    </row>
    <row r="10995" spans="10:10" x14ac:dyDescent="0.3">
      <c r="J10995" s="1"/>
    </row>
    <row r="10996" spans="10:10" x14ac:dyDescent="0.3">
      <c r="J10996" s="1"/>
    </row>
    <row r="10997" spans="10:10" x14ac:dyDescent="0.3">
      <c r="J10997" s="1"/>
    </row>
    <row r="10998" spans="10:10" x14ac:dyDescent="0.3">
      <c r="J10998" s="1"/>
    </row>
    <row r="10999" spans="10:10" x14ac:dyDescent="0.3">
      <c r="J10999" s="1"/>
    </row>
    <row r="11000" spans="10:10" x14ac:dyDescent="0.3">
      <c r="J11000" s="1"/>
    </row>
    <row r="11001" spans="10:10" x14ac:dyDescent="0.3">
      <c r="J11001" s="1"/>
    </row>
    <row r="11002" spans="10:10" x14ac:dyDescent="0.3">
      <c r="J11002" s="1"/>
    </row>
    <row r="11003" spans="10:10" x14ac:dyDescent="0.3">
      <c r="J11003" s="1"/>
    </row>
    <row r="11004" spans="10:10" x14ac:dyDescent="0.3">
      <c r="J11004" s="1"/>
    </row>
    <row r="11005" spans="10:10" x14ac:dyDescent="0.3">
      <c r="J11005" s="1"/>
    </row>
    <row r="11006" spans="10:10" x14ac:dyDescent="0.3">
      <c r="J11006" s="1"/>
    </row>
    <row r="11007" spans="10:10" x14ac:dyDescent="0.3">
      <c r="J11007" s="1"/>
    </row>
    <row r="11008" spans="10:10" x14ac:dyDescent="0.3">
      <c r="J11008" s="1"/>
    </row>
    <row r="11009" spans="10:10" x14ac:dyDescent="0.3">
      <c r="J11009" s="1"/>
    </row>
    <row r="11010" spans="10:10" x14ac:dyDescent="0.3">
      <c r="J11010" s="1"/>
    </row>
    <row r="11011" spans="10:10" x14ac:dyDescent="0.3">
      <c r="J11011" s="1"/>
    </row>
    <row r="11012" spans="10:10" x14ac:dyDescent="0.3">
      <c r="J11012" s="1"/>
    </row>
    <row r="11013" spans="10:10" x14ac:dyDescent="0.3">
      <c r="J11013" s="1"/>
    </row>
    <row r="11014" spans="10:10" x14ac:dyDescent="0.3">
      <c r="J11014" s="1"/>
    </row>
    <row r="11015" spans="10:10" x14ac:dyDescent="0.3">
      <c r="J11015" s="1"/>
    </row>
    <row r="11016" spans="10:10" x14ac:dyDescent="0.3">
      <c r="J11016" s="1"/>
    </row>
    <row r="11017" spans="10:10" x14ac:dyDescent="0.3">
      <c r="J11017" s="1"/>
    </row>
    <row r="11018" spans="10:10" x14ac:dyDescent="0.3">
      <c r="J11018" s="1"/>
    </row>
    <row r="11019" spans="10:10" x14ac:dyDescent="0.3">
      <c r="J11019" s="1"/>
    </row>
    <row r="11020" spans="10:10" x14ac:dyDescent="0.3">
      <c r="J11020" s="1"/>
    </row>
    <row r="11021" spans="10:10" x14ac:dyDescent="0.3">
      <c r="J11021" s="1"/>
    </row>
    <row r="11022" spans="10:10" x14ac:dyDescent="0.3">
      <c r="J11022" s="1"/>
    </row>
    <row r="11023" spans="10:10" x14ac:dyDescent="0.3">
      <c r="J11023" s="1"/>
    </row>
    <row r="11024" spans="10:10" x14ac:dyDescent="0.3">
      <c r="J11024" s="1"/>
    </row>
    <row r="11025" spans="10:10" x14ac:dyDescent="0.3">
      <c r="J11025" s="1"/>
    </row>
    <row r="11026" spans="10:10" x14ac:dyDescent="0.3">
      <c r="J11026" s="1"/>
    </row>
    <row r="11027" spans="10:10" x14ac:dyDescent="0.3">
      <c r="J11027" s="1"/>
    </row>
    <row r="11028" spans="10:10" x14ac:dyDescent="0.3">
      <c r="J11028" s="1"/>
    </row>
    <row r="11029" spans="10:10" x14ac:dyDescent="0.3">
      <c r="J11029" s="1"/>
    </row>
    <row r="11030" spans="10:10" x14ac:dyDescent="0.3">
      <c r="J11030" s="1"/>
    </row>
    <row r="11031" spans="10:10" x14ac:dyDescent="0.3">
      <c r="J11031" s="1"/>
    </row>
    <row r="11032" spans="10:10" x14ac:dyDescent="0.3">
      <c r="J11032" s="1"/>
    </row>
    <row r="11033" spans="10:10" x14ac:dyDescent="0.3">
      <c r="J11033" s="1"/>
    </row>
    <row r="11034" spans="10:10" x14ac:dyDescent="0.3">
      <c r="J11034" s="1"/>
    </row>
    <row r="11035" spans="10:10" x14ac:dyDescent="0.3">
      <c r="J11035" s="1"/>
    </row>
    <row r="11036" spans="10:10" x14ac:dyDescent="0.3">
      <c r="J11036" s="1"/>
    </row>
    <row r="11037" spans="10:10" x14ac:dyDescent="0.3">
      <c r="J11037" s="1"/>
    </row>
    <row r="11038" spans="10:10" x14ac:dyDescent="0.3">
      <c r="J11038" s="1"/>
    </row>
    <row r="11039" spans="10:10" x14ac:dyDescent="0.3">
      <c r="J11039" s="1"/>
    </row>
    <row r="11040" spans="10:10" x14ac:dyDescent="0.3">
      <c r="J11040" s="1"/>
    </row>
    <row r="11041" spans="10:10" x14ac:dyDescent="0.3">
      <c r="J11041" s="1"/>
    </row>
    <row r="11042" spans="10:10" x14ac:dyDescent="0.3">
      <c r="J11042" s="1"/>
    </row>
    <row r="11043" spans="10:10" x14ac:dyDescent="0.3">
      <c r="J11043" s="1"/>
    </row>
    <row r="11044" spans="10:10" x14ac:dyDescent="0.3">
      <c r="J11044" s="1"/>
    </row>
    <row r="11045" spans="10:10" x14ac:dyDescent="0.3">
      <c r="J11045" s="1"/>
    </row>
    <row r="11046" spans="10:10" x14ac:dyDescent="0.3">
      <c r="J11046" s="1"/>
    </row>
    <row r="11047" spans="10:10" x14ac:dyDescent="0.3">
      <c r="J11047" s="1"/>
    </row>
    <row r="11048" spans="10:10" x14ac:dyDescent="0.3">
      <c r="J11048" s="1"/>
    </row>
    <row r="11049" spans="10:10" x14ac:dyDescent="0.3">
      <c r="J11049" s="1"/>
    </row>
    <row r="11050" spans="10:10" x14ac:dyDescent="0.3">
      <c r="J11050" s="1"/>
    </row>
    <row r="11051" spans="10:10" x14ac:dyDescent="0.3">
      <c r="J11051" s="1"/>
    </row>
    <row r="11052" spans="10:10" x14ac:dyDescent="0.3">
      <c r="J11052" s="1"/>
    </row>
    <row r="11053" spans="10:10" x14ac:dyDescent="0.3">
      <c r="J11053" s="1"/>
    </row>
    <row r="11054" spans="10:10" x14ac:dyDescent="0.3">
      <c r="J11054" s="1"/>
    </row>
    <row r="11055" spans="10:10" x14ac:dyDescent="0.3">
      <c r="J11055" s="1"/>
    </row>
    <row r="11056" spans="10:10" x14ac:dyDescent="0.3">
      <c r="J11056" s="1"/>
    </row>
    <row r="11057" spans="10:10" x14ac:dyDescent="0.3">
      <c r="J11057" s="1"/>
    </row>
    <row r="11058" spans="10:10" x14ac:dyDescent="0.3">
      <c r="J11058" s="1"/>
    </row>
    <row r="11059" spans="10:10" x14ac:dyDescent="0.3">
      <c r="J11059" s="1"/>
    </row>
    <row r="11060" spans="10:10" x14ac:dyDescent="0.3">
      <c r="J11060" s="1"/>
    </row>
    <row r="11061" spans="10:10" x14ac:dyDescent="0.3">
      <c r="J11061" s="1"/>
    </row>
    <row r="11062" spans="10:10" x14ac:dyDescent="0.3">
      <c r="J11062" s="1"/>
    </row>
    <row r="11063" spans="10:10" x14ac:dyDescent="0.3">
      <c r="J11063" s="1"/>
    </row>
    <row r="11064" spans="10:10" x14ac:dyDescent="0.3">
      <c r="J11064" s="1"/>
    </row>
    <row r="11065" spans="10:10" x14ac:dyDescent="0.3">
      <c r="J11065" s="1"/>
    </row>
    <row r="11066" spans="10:10" x14ac:dyDescent="0.3">
      <c r="J11066" s="1"/>
    </row>
    <row r="11067" spans="10:10" x14ac:dyDescent="0.3">
      <c r="J11067" s="1"/>
    </row>
    <row r="11068" spans="10:10" x14ac:dyDescent="0.3">
      <c r="J11068" s="1"/>
    </row>
    <row r="11069" spans="10:10" x14ac:dyDescent="0.3">
      <c r="J11069" s="1"/>
    </row>
    <row r="11070" spans="10:10" x14ac:dyDescent="0.3">
      <c r="J11070" s="1"/>
    </row>
    <row r="11071" spans="10:10" x14ac:dyDescent="0.3">
      <c r="J11071" s="1"/>
    </row>
    <row r="11072" spans="10:10" x14ac:dyDescent="0.3">
      <c r="J11072" s="1"/>
    </row>
    <row r="11073" spans="10:10" x14ac:dyDescent="0.3">
      <c r="J11073" s="1"/>
    </row>
    <row r="11074" spans="10:10" x14ac:dyDescent="0.3">
      <c r="J11074" s="1"/>
    </row>
    <row r="11075" spans="10:10" x14ac:dyDescent="0.3">
      <c r="J11075" s="1"/>
    </row>
    <row r="11076" spans="10:10" x14ac:dyDescent="0.3">
      <c r="J11076" s="1"/>
    </row>
    <row r="11077" spans="10:10" x14ac:dyDescent="0.3">
      <c r="J11077" s="1"/>
    </row>
    <row r="11078" spans="10:10" x14ac:dyDescent="0.3">
      <c r="J11078" s="1"/>
    </row>
    <row r="11079" spans="10:10" x14ac:dyDescent="0.3">
      <c r="J11079" s="1"/>
    </row>
    <row r="11080" spans="10:10" x14ac:dyDescent="0.3">
      <c r="J11080" s="1"/>
    </row>
    <row r="11081" spans="10:10" x14ac:dyDescent="0.3">
      <c r="J11081" s="1"/>
    </row>
    <row r="11082" spans="10:10" x14ac:dyDescent="0.3">
      <c r="J11082" s="1"/>
    </row>
    <row r="11083" spans="10:10" x14ac:dyDescent="0.3">
      <c r="J11083" s="1"/>
    </row>
    <row r="11084" spans="10:10" x14ac:dyDescent="0.3">
      <c r="J11084" s="1"/>
    </row>
    <row r="11085" spans="10:10" x14ac:dyDescent="0.3">
      <c r="J11085" s="1"/>
    </row>
    <row r="11086" spans="10:10" x14ac:dyDescent="0.3">
      <c r="J11086" s="1"/>
    </row>
    <row r="11087" spans="10:10" x14ac:dyDescent="0.3">
      <c r="J11087" s="1"/>
    </row>
    <row r="11088" spans="10:10" x14ac:dyDescent="0.3">
      <c r="J11088" s="1"/>
    </row>
    <row r="11089" spans="10:10" x14ac:dyDescent="0.3">
      <c r="J11089" s="1"/>
    </row>
    <row r="11090" spans="10:10" x14ac:dyDescent="0.3">
      <c r="J11090" s="1"/>
    </row>
    <row r="11091" spans="10:10" x14ac:dyDescent="0.3">
      <c r="J11091" s="1"/>
    </row>
    <row r="11092" spans="10:10" x14ac:dyDescent="0.3">
      <c r="J11092" s="1"/>
    </row>
    <row r="11093" spans="10:10" x14ac:dyDescent="0.3">
      <c r="J11093" s="1"/>
    </row>
    <row r="11094" spans="10:10" x14ac:dyDescent="0.3">
      <c r="J11094" s="1"/>
    </row>
    <row r="11095" spans="10:10" x14ac:dyDescent="0.3">
      <c r="J11095" s="1"/>
    </row>
    <row r="11096" spans="10:10" x14ac:dyDescent="0.3">
      <c r="J11096" s="1"/>
    </row>
    <row r="11097" spans="10:10" x14ac:dyDescent="0.3">
      <c r="J11097" s="1"/>
    </row>
    <row r="11098" spans="10:10" x14ac:dyDescent="0.3">
      <c r="J11098" s="1"/>
    </row>
    <row r="11099" spans="10:10" x14ac:dyDescent="0.3">
      <c r="J11099" s="1"/>
    </row>
    <row r="11100" spans="10:10" x14ac:dyDescent="0.3">
      <c r="J11100" s="1"/>
    </row>
    <row r="11101" spans="10:10" x14ac:dyDescent="0.3">
      <c r="J11101" s="1"/>
    </row>
    <row r="11102" spans="10:10" x14ac:dyDescent="0.3">
      <c r="J11102" s="1"/>
    </row>
    <row r="11103" spans="10:10" x14ac:dyDescent="0.3">
      <c r="J11103" s="1"/>
    </row>
    <row r="11104" spans="10:10" x14ac:dyDescent="0.3">
      <c r="J11104" s="1"/>
    </row>
    <row r="11105" spans="10:10" x14ac:dyDescent="0.3">
      <c r="J11105" s="1"/>
    </row>
    <row r="11106" spans="10:10" x14ac:dyDescent="0.3">
      <c r="J11106" s="1"/>
    </row>
    <row r="11107" spans="10:10" x14ac:dyDescent="0.3">
      <c r="J11107" s="1"/>
    </row>
    <row r="11108" spans="10:10" x14ac:dyDescent="0.3">
      <c r="J11108" s="1"/>
    </row>
    <row r="11109" spans="10:10" x14ac:dyDescent="0.3">
      <c r="J11109" s="1"/>
    </row>
    <row r="11110" spans="10:10" x14ac:dyDescent="0.3">
      <c r="J11110" s="1"/>
    </row>
    <row r="11111" spans="10:10" x14ac:dyDescent="0.3">
      <c r="J11111" s="1"/>
    </row>
    <row r="11112" spans="10:10" x14ac:dyDescent="0.3">
      <c r="J11112" s="1"/>
    </row>
    <row r="11113" spans="10:10" x14ac:dyDescent="0.3">
      <c r="J11113" s="1"/>
    </row>
    <row r="11114" spans="10:10" x14ac:dyDescent="0.3">
      <c r="J11114" s="1"/>
    </row>
    <row r="11115" spans="10:10" x14ac:dyDescent="0.3">
      <c r="J11115" s="1"/>
    </row>
    <row r="11116" spans="10:10" x14ac:dyDescent="0.3">
      <c r="J11116" s="1"/>
    </row>
    <row r="11117" spans="10:10" x14ac:dyDescent="0.3">
      <c r="J11117" s="1"/>
    </row>
    <row r="11118" spans="10:10" x14ac:dyDescent="0.3">
      <c r="J11118" s="1"/>
    </row>
    <row r="11119" spans="10:10" x14ac:dyDescent="0.3">
      <c r="J11119" s="1"/>
    </row>
    <row r="11120" spans="10:10" x14ac:dyDescent="0.3">
      <c r="J11120" s="1"/>
    </row>
    <row r="11121" spans="10:10" x14ac:dyDescent="0.3">
      <c r="J11121" s="1"/>
    </row>
    <row r="11122" spans="10:10" x14ac:dyDescent="0.3">
      <c r="J11122" s="1"/>
    </row>
    <row r="11123" spans="10:10" x14ac:dyDescent="0.3">
      <c r="J11123" s="1"/>
    </row>
    <row r="11124" spans="10:10" x14ac:dyDescent="0.3">
      <c r="J11124" s="1"/>
    </row>
    <row r="11125" spans="10:10" x14ac:dyDescent="0.3">
      <c r="J11125" s="1"/>
    </row>
    <row r="11126" spans="10:10" x14ac:dyDescent="0.3">
      <c r="J11126" s="1"/>
    </row>
    <row r="11127" spans="10:10" x14ac:dyDescent="0.3">
      <c r="J11127" s="1"/>
    </row>
    <row r="11128" spans="10:10" x14ac:dyDescent="0.3">
      <c r="J11128" s="1"/>
    </row>
    <row r="11129" spans="10:10" x14ac:dyDescent="0.3">
      <c r="J11129" s="1"/>
    </row>
    <row r="11130" spans="10:10" x14ac:dyDescent="0.3">
      <c r="J11130" s="1"/>
    </row>
    <row r="11131" spans="10:10" x14ac:dyDescent="0.3">
      <c r="J11131" s="1"/>
    </row>
    <row r="11132" spans="10:10" x14ac:dyDescent="0.3">
      <c r="J11132" s="1"/>
    </row>
    <row r="11133" spans="10:10" x14ac:dyDescent="0.3">
      <c r="J11133" s="1"/>
    </row>
    <row r="11134" spans="10:10" x14ac:dyDescent="0.3">
      <c r="J11134" s="1"/>
    </row>
    <row r="11135" spans="10:10" x14ac:dyDescent="0.3">
      <c r="J11135" s="1"/>
    </row>
    <row r="11136" spans="10:10" x14ac:dyDescent="0.3">
      <c r="J11136" s="1"/>
    </row>
    <row r="11137" spans="10:10" x14ac:dyDescent="0.3">
      <c r="J11137" s="1"/>
    </row>
    <row r="11138" spans="10:10" x14ac:dyDescent="0.3">
      <c r="J11138" s="1"/>
    </row>
    <row r="11139" spans="10:10" x14ac:dyDescent="0.3">
      <c r="J11139" s="1"/>
    </row>
    <row r="11140" spans="10:10" x14ac:dyDescent="0.3">
      <c r="J11140" s="1"/>
    </row>
    <row r="11141" spans="10:10" x14ac:dyDescent="0.3">
      <c r="J11141" s="1"/>
    </row>
    <row r="11142" spans="10:10" x14ac:dyDescent="0.3">
      <c r="J11142" s="1"/>
    </row>
    <row r="11143" spans="10:10" x14ac:dyDescent="0.3">
      <c r="J11143" s="1"/>
    </row>
    <row r="11144" spans="10:10" x14ac:dyDescent="0.3">
      <c r="J11144" s="1"/>
    </row>
    <row r="11145" spans="10:10" x14ac:dyDescent="0.3">
      <c r="J11145" s="1"/>
    </row>
    <row r="11146" spans="10:10" x14ac:dyDescent="0.3">
      <c r="J11146" s="1"/>
    </row>
    <row r="11147" spans="10:10" x14ac:dyDescent="0.3">
      <c r="J11147" s="1"/>
    </row>
    <row r="11148" spans="10:10" x14ac:dyDescent="0.3">
      <c r="J11148" s="1"/>
    </row>
    <row r="11149" spans="10:10" x14ac:dyDescent="0.3">
      <c r="J11149" s="1"/>
    </row>
    <row r="11150" spans="10:10" x14ac:dyDescent="0.3">
      <c r="J11150" s="1"/>
    </row>
    <row r="11151" spans="10:10" x14ac:dyDescent="0.3">
      <c r="J11151" s="1"/>
    </row>
    <row r="11152" spans="10:10" x14ac:dyDescent="0.3">
      <c r="J11152" s="1"/>
    </row>
    <row r="11153" spans="10:10" x14ac:dyDescent="0.3">
      <c r="J11153" s="1"/>
    </row>
    <row r="11154" spans="10:10" x14ac:dyDescent="0.3">
      <c r="J11154" s="1"/>
    </row>
    <row r="11155" spans="10:10" x14ac:dyDescent="0.3">
      <c r="J11155" s="1"/>
    </row>
    <row r="11156" spans="10:10" x14ac:dyDescent="0.3">
      <c r="J11156" s="1"/>
    </row>
    <row r="11157" spans="10:10" x14ac:dyDescent="0.3">
      <c r="J11157" s="1"/>
    </row>
    <row r="11158" spans="10:10" x14ac:dyDescent="0.3">
      <c r="J11158" s="1"/>
    </row>
    <row r="11159" spans="10:10" x14ac:dyDescent="0.3">
      <c r="J11159" s="1"/>
    </row>
    <row r="11160" spans="10:10" x14ac:dyDescent="0.3">
      <c r="J11160" s="1"/>
    </row>
    <row r="11161" spans="10:10" x14ac:dyDescent="0.3">
      <c r="J11161" s="1"/>
    </row>
    <row r="11162" spans="10:10" x14ac:dyDescent="0.3">
      <c r="J11162" s="1"/>
    </row>
    <row r="11163" spans="10:10" x14ac:dyDescent="0.3">
      <c r="J11163" s="1"/>
    </row>
    <row r="11164" spans="10:10" x14ac:dyDescent="0.3">
      <c r="J11164" s="1"/>
    </row>
    <row r="11165" spans="10:10" x14ac:dyDescent="0.3">
      <c r="J11165" s="1"/>
    </row>
    <row r="11166" spans="10:10" x14ac:dyDescent="0.3">
      <c r="J11166" s="1"/>
    </row>
    <row r="11167" spans="10:10" x14ac:dyDescent="0.3">
      <c r="J11167" s="1"/>
    </row>
    <row r="11168" spans="10:10" x14ac:dyDescent="0.3">
      <c r="J11168" s="1"/>
    </row>
    <row r="11169" spans="10:10" x14ac:dyDescent="0.3">
      <c r="J11169" s="1"/>
    </row>
    <row r="11170" spans="10:10" x14ac:dyDescent="0.3">
      <c r="J11170" s="1"/>
    </row>
    <row r="11171" spans="10:10" x14ac:dyDescent="0.3">
      <c r="J11171" s="1"/>
    </row>
    <row r="11172" spans="10:10" x14ac:dyDescent="0.3">
      <c r="J11172" s="1"/>
    </row>
    <row r="11173" spans="10:10" x14ac:dyDescent="0.3">
      <c r="J11173" s="1"/>
    </row>
    <row r="11174" spans="10:10" x14ac:dyDescent="0.3">
      <c r="J11174" s="1"/>
    </row>
    <row r="11175" spans="10:10" x14ac:dyDescent="0.3">
      <c r="J11175" s="1"/>
    </row>
    <row r="11176" spans="10:10" x14ac:dyDescent="0.3">
      <c r="J11176" s="1"/>
    </row>
    <row r="11177" spans="10:10" x14ac:dyDescent="0.3">
      <c r="J11177" s="1"/>
    </row>
    <row r="11178" spans="10:10" x14ac:dyDescent="0.3">
      <c r="J11178" s="1"/>
    </row>
    <row r="11179" spans="10:10" x14ac:dyDescent="0.3">
      <c r="J11179" s="1"/>
    </row>
    <row r="11180" spans="10:10" x14ac:dyDescent="0.3">
      <c r="J11180" s="1"/>
    </row>
    <row r="11181" spans="10:10" x14ac:dyDescent="0.3">
      <c r="J11181" s="1"/>
    </row>
    <row r="11182" spans="10:10" x14ac:dyDescent="0.3">
      <c r="J11182" s="1"/>
    </row>
    <row r="11183" spans="10:10" x14ac:dyDescent="0.3">
      <c r="J11183" s="1"/>
    </row>
    <row r="11184" spans="10:10" x14ac:dyDescent="0.3">
      <c r="J11184" s="1"/>
    </row>
    <row r="11185" spans="10:10" x14ac:dyDescent="0.3">
      <c r="J11185" s="1"/>
    </row>
    <row r="11186" spans="10:10" x14ac:dyDescent="0.3">
      <c r="J11186" s="1"/>
    </row>
    <row r="11187" spans="10:10" x14ac:dyDescent="0.3">
      <c r="J11187" s="1"/>
    </row>
    <row r="11188" spans="10:10" x14ac:dyDescent="0.3">
      <c r="J11188" s="1"/>
    </row>
    <row r="11189" spans="10:10" x14ac:dyDescent="0.3">
      <c r="J11189" s="1"/>
    </row>
    <row r="11190" spans="10:10" x14ac:dyDescent="0.3">
      <c r="J11190" s="1"/>
    </row>
    <row r="11191" spans="10:10" x14ac:dyDescent="0.3">
      <c r="J11191" s="1"/>
    </row>
    <row r="11192" spans="10:10" x14ac:dyDescent="0.3">
      <c r="J11192" s="1"/>
    </row>
    <row r="11193" spans="10:10" x14ac:dyDescent="0.3">
      <c r="J11193" s="1"/>
    </row>
    <row r="11194" spans="10:10" x14ac:dyDescent="0.3">
      <c r="J11194" s="1"/>
    </row>
    <row r="11195" spans="10:10" x14ac:dyDescent="0.3">
      <c r="J11195" s="1"/>
    </row>
    <row r="11196" spans="10:10" x14ac:dyDescent="0.3">
      <c r="J11196" s="1"/>
    </row>
    <row r="11197" spans="10:10" x14ac:dyDescent="0.3">
      <c r="J11197" s="1"/>
    </row>
    <row r="11198" spans="10:10" x14ac:dyDescent="0.3">
      <c r="J11198" s="1"/>
    </row>
    <row r="11199" spans="10:10" x14ac:dyDescent="0.3">
      <c r="J11199" s="1"/>
    </row>
    <row r="11200" spans="10:10" x14ac:dyDescent="0.3">
      <c r="J11200" s="1"/>
    </row>
    <row r="11201" spans="10:10" x14ac:dyDescent="0.3">
      <c r="J11201" s="1"/>
    </row>
    <row r="11202" spans="10:10" x14ac:dyDescent="0.3">
      <c r="J11202" s="1"/>
    </row>
    <row r="11203" spans="10:10" x14ac:dyDescent="0.3">
      <c r="J11203" s="1"/>
    </row>
    <row r="11204" spans="10:10" x14ac:dyDescent="0.3">
      <c r="J11204" s="1"/>
    </row>
    <row r="11205" spans="10:10" x14ac:dyDescent="0.3">
      <c r="J11205" s="1"/>
    </row>
    <row r="11206" spans="10:10" x14ac:dyDescent="0.3">
      <c r="J11206" s="1"/>
    </row>
    <row r="11207" spans="10:10" x14ac:dyDescent="0.3">
      <c r="J11207" s="1"/>
    </row>
    <row r="11208" spans="10:10" x14ac:dyDescent="0.3">
      <c r="J11208" s="1"/>
    </row>
    <row r="11209" spans="10:10" x14ac:dyDescent="0.3">
      <c r="J11209" s="1"/>
    </row>
    <row r="11210" spans="10:10" x14ac:dyDescent="0.3">
      <c r="J11210" s="1"/>
    </row>
    <row r="11211" spans="10:10" x14ac:dyDescent="0.3">
      <c r="J11211" s="1"/>
    </row>
    <row r="11212" spans="10:10" x14ac:dyDescent="0.3">
      <c r="J11212" s="1"/>
    </row>
    <row r="11213" spans="10:10" x14ac:dyDescent="0.3">
      <c r="J11213" s="1"/>
    </row>
    <row r="11214" spans="10:10" x14ac:dyDescent="0.3">
      <c r="J11214" s="1"/>
    </row>
    <row r="11215" spans="10:10" x14ac:dyDescent="0.3">
      <c r="J11215" s="1"/>
    </row>
    <row r="11216" spans="10:10" x14ac:dyDescent="0.3">
      <c r="J11216" s="1"/>
    </row>
    <row r="11217" spans="10:10" x14ac:dyDescent="0.3">
      <c r="J11217" s="1"/>
    </row>
    <row r="11218" spans="10:10" x14ac:dyDescent="0.3">
      <c r="J11218" s="1"/>
    </row>
    <row r="11219" spans="10:10" x14ac:dyDescent="0.3">
      <c r="J11219" s="1"/>
    </row>
    <row r="11220" spans="10:10" x14ac:dyDescent="0.3">
      <c r="J11220" s="1"/>
    </row>
    <row r="11221" spans="10:10" x14ac:dyDescent="0.3">
      <c r="J11221" s="1"/>
    </row>
    <row r="11222" spans="10:10" x14ac:dyDescent="0.3">
      <c r="J11222" s="1"/>
    </row>
    <row r="11223" spans="10:10" x14ac:dyDescent="0.3">
      <c r="J11223" s="1"/>
    </row>
    <row r="11224" spans="10:10" x14ac:dyDescent="0.3">
      <c r="J11224" s="1"/>
    </row>
    <row r="11225" spans="10:10" x14ac:dyDescent="0.3">
      <c r="J11225" s="1"/>
    </row>
    <row r="11226" spans="10:10" x14ac:dyDescent="0.3">
      <c r="J11226" s="1"/>
    </row>
    <row r="11227" spans="10:10" x14ac:dyDescent="0.3">
      <c r="J11227" s="1"/>
    </row>
    <row r="11228" spans="10:10" x14ac:dyDescent="0.3">
      <c r="J11228" s="1"/>
    </row>
    <row r="11229" spans="10:10" x14ac:dyDescent="0.3">
      <c r="J11229" s="1"/>
    </row>
    <row r="11230" spans="10:10" x14ac:dyDescent="0.3">
      <c r="J11230" s="1"/>
    </row>
    <row r="11231" spans="10:10" x14ac:dyDescent="0.3">
      <c r="J11231" s="1"/>
    </row>
    <row r="11232" spans="10:10" x14ac:dyDescent="0.3">
      <c r="J11232" s="1"/>
    </row>
    <row r="11233" spans="10:10" x14ac:dyDescent="0.3">
      <c r="J11233" s="1"/>
    </row>
    <row r="11234" spans="10:10" x14ac:dyDescent="0.3">
      <c r="J11234" s="1"/>
    </row>
    <row r="11235" spans="10:10" x14ac:dyDescent="0.3">
      <c r="J11235" s="1"/>
    </row>
    <row r="11236" spans="10:10" x14ac:dyDescent="0.3">
      <c r="J11236" s="1"/>
    </row>
    <row r="11237" spans="10:10" x14ac:dyDescent="0.3">
      <c r="J11237" s="1"/>
    </row>
    <row r="11238" spans="10:10" x14ac:dyDescent="0.3">
      <c r="J11238" s="1"/>
    </row>
    <row r="11239" spans="10:10" x14ac:dyDescent="0.3">
      <c r="J11239" s="1"/>
    </row>
    <row r="11240" spans="10:10" x14ac:dyDescent="0.3">
      <c r="J11240" s="1"/>
    </row>
    <row r="11241" spans="10:10" x14ac:dyDescent="0.3">
      <c r="J11241" s="1"/>
    </row>
    <row r="11242" spans="10:10" x14ac:dyDescent="0.3">
      <c r="J11242" s="1"/>
    </row>
    <row r="11243" spans="10:10" x14ac:dyDescent="0.3">
      <c r="J11243" s="1"/>
    </row>
    <row r="11244" spans="10:10" x14ac:dyDescent="0.3">
      <c r="J11244" s="1"/>
    </row>
    <row r="11245" spans="10:10" x14ac:dyDescent="0.3">
      <c r="J11245" s="1"/>
    </row>
    <row r="11246" spans="10:10" x14ac:dyDescent="0.3">
      <c r="J11246" s="1"/>
    </row>
    <row r="11247" spans="10:10" x14ac:dyDescent="0.3">
      <c r="J11247" s="1"/>
    </row>
    <row r="11248" spans="10:10" x14ac:dyDescent="0.3">
      <c r="J11248" s="1"/>
    </row>
    <row r="11249" spans="10:10" x14ac:dyDescent="0.3">
      <c r="J11249" s="1"/>
    </row>
    <row r="11250" spans="10:10" x14ac:dyDescent="0.3">
      <c r="J11250" s="1"/>
    </row>
    <row r="11251" spans="10:10" x14ac:dyDescent="0.3">
      <c r="J11251" s="1"/>
    </row>
    <row r="11252" spans="10:10" x14ac:dyDescent="0.3">
      <c r="J11252" s="1"/>
    </row>
    <row r="11253" spans="10:10" x14ac:dyDescent="0.3">
      <c r="J11253" s="1"/>
    </row>
    <row r="11254" spans="10:10" x14ac:dyDescent="0.3">
      <c r="J11254" s="1"/>
    </row>
    <row r="11255" spans="10:10" x14ac:dyDescent="0.3">
      <c r="J11255" s="1"/>
    </row>
    <row r="11256" spans="10:10" x14ac:dyDescent="0.3">
      <c r="J11256" s="1"/>
    </row>
    <row r="11257" spans="10:10" x14ac:dyDescent="0.3">
      <c r="J11257" s="1"/>
    </row>
    <row r="11258" spans="10:10" x14ac:dyDescent="0.3">
      <c r="J11258" s="1"/>
    </row>
    <row r="11259" spans="10:10" x14ac:dyDescent="0.3">
      <c r="J11259" s="1"/>
    </row>
    <row r="11260" spans="10:10" x14ac:dyDescent="0.3">
      <c r="J11260" s="1"/>
    </row>
    <row r="11261" spans="10:10" x14ac:dyDescent="0.3">
      <c r="J11261" s="1"/>
    </row>
    <row r="11262" spans="10:10" x14ac:dyDescent="0.3">
      <c r="J11262" s="1"/>
    </row>
    <row r="11263" spans="10:10" x14ac:dyDescent="0.3">
      <c r="J11263" s="1"/>
    </row>
    <row r="11264" spans="10:10" x14ac:dyDescent="0.3">
      <c r="J11264" s="1"/>
    </row>
    <row r="11265" spans="10:10" x14ac:dyDescent="0.3">
      <c r="J11265" s="1"/>
    </row>
    <row r="11266" spans="10:10" x14ac:dyDescent="0.3">
      <c r="J11266" s="1"/>
    </row>
    <row r="11267" spans="10:10" x14ac:dyDescent="0.3">
      <c r="J11267" s="1"/>
    </row>
    <row r="11268" spans="10:10" x14ac:dyDescent="0.3">
      <c r="J11268" s="1"/>
    </row>
    <row r="11269" spans="10:10" x14ac:dyDescent="0.3">
      <c r="J11269" s="1"/>
    </row>
    <row r="11270" spans="10:10" x14ac:dyDescent="0.3">
      <c r="J11270" s="1"/>
    </row>
    <row r="11271" spans="10:10" x14ac:dyDescent="0.3">
      <c r="J11271" s="1"/>
    </row>
    <row r="11272" spans="10:10" x14ac:dyDescent="0.3">
      <c r="J11272" s="1"/>
    </row>
    <row r="11273" spans="10:10" x14ac:dyDescent="0.3">
      <c r="J11273" s="1"/>
    </row>
    <row r="11274" spans="10:10" x14ac:dyDescent="0.3">
      <c r="J11274" s="1"/>
    </row>
    <row r="11275" spans="10:10" x14ac:dyDescent="0.3">
      <c r="J11275" s="1"/>
    </row>
    <row r="11276" spans="10:10" x14ac:dyDescent="0.3">
      <c r="J11276" s="1"/>
    </row>
    <row r="11277" spans="10:10" x14ac:dyDescent="0.3">
      <c r="J11277" s="1"/>
    </row>
    <row r="11278" spans="10:10" x14ac:dyDescent="0.3">
      <c r="J11278" s="1"/>
    </row>
    <row r="11279" spans="10:10" x14ac:dyDescent="0.3">
      <c r="J11279" s="1"/>
    </row>
    <row r="11280" spans="10:10" x14ac:dyDescent="0.3">
      <c r="J11280" s="1"/>
    </row>
    <row r="11281" spans="10:10" x14ac:dyDescent="0.3">
      <c r="J11281" s="1"/>
    </row>
    <row r="11282" spans="10:10" x14ac:dyDescent="0.3">
      <c r="J11282" s="1"/>
    </row>
    <row r="11283" spans="10:10" x14ac:dyDescent="0.3">
      <c r="J11283" s="1"/>
    </row>
    <row r="11284" spans="10:10" x14ac:dyDescent="0.3">
      <c r="J11284" s="1"/>
    </row>
    <row r="11285" spans="10:10" x14ac:dyDescent="0.3">
      <c r="J11285" s="1"/>
    </row>
    <row r="11286" spans="10:10" x14ac:dyDescent="0.3">
      <c r="J11286" s="1"/>
    </row>
    <row r="11287" spans="10:10" x14ac:dyDescent="0.3">
      <c r="J11287" s="1"/>
    </row>
    <row r="11288" spans="10:10" x14ac:dyDescent="0.3">
      <c r="J11288" s="1"/>
    </row>
    <row r="11289" spans="10:10" x14ac:dyDescent="0.3">
      <c r="J11289" s="1"/>
    </row>
    <row r="11290" spans="10:10" x14ac:dyDescent="0.3">
      <c r="J11290" s="1"/>
    </row>
    <row r="11291" spans="10:10" x14ac:dyDescent="0.3">
      <c r="J11291" s="1"/>
    </row>
    <row r="11292" spans="10:10" x14ac:dyDescent="0.3">
      <c r="J11292" s="1"/>
    </row>
    <row r="11293" spans="10:10" x14ac:dyDescent="0.3">
      <c r="J11293" s="1"/>
    </row>
    <row r="11294" spans="10:10" x14ac:dyDescent="0.3">
      <c r="J11294" s="1"/>
    </row>
    <row r="11295" spans="10:10" x14ac:dyDescent="0.3">
      <c r="J11295" s="1"/>
    </row>
    <row r="11296" spans="10:10" x14ac:dyDescent="0.3">
      <c r="J11296" s="1"/>
    </row>
    <row r="11297" spans="10:10" x14ac:dyDescent="0.3">
      <c r="J11297" s="1"/>
    </row>
    <row r="11298" spans="10:10" x14ac:dyDescent="0.3">
      <c r="J11298" s="1"/>
    </row>
    <row r="11299" spans="10:10" x14ac:dyDescent="0.3">
      <c r="J11299" s="1"/>
    </row>
    <row r="11300" spans="10:10" x14ac:dyDescent="0.3">
      <c r="J11300" s="1"/>
    </row>
    <row r="11301" spans="10:10" x14ac:dyDescent="0.3">
      <c r="J11301" s="1"/>
    </row>
    <row r="11302" spans="10:10" x14ac:dyDescent="0.3">
      <c r="J11302" s="1"/>
    </row>
    <row r="11303" spans="10:10" x14ac:dyDescent="0.3">
      <c r="J11303" s="1"/>
    </row>
    <row r="11304" spans="10:10" x14ac:dyDescent="0.3">
      <c r="J11304" s="1"/>
    </row>
    <row r="11305" spans="10:10" x14ac:dyDescent="0.3">
      <c r="J11305" s="1"/>
    </row>
    <row r="11306" spans="10:10" x14ac:dyDescent="0.3">
      <c r="J11306" s="1"/>
    </row>
    <row r="11307" spans="10:10" x14ac:dyDescent="0.3">
      <c r="J11307" s="1"/>
    </row>
    <row r="11308" spans="10:10" x14ac:dyDescent="0.3">
      <c r="J11308" s="1"/>
    </row>
    <row r="11309" spans="10:10" x14ac:dyDescent="0.3">
      <c r="J11309" s="1"/>
    </row>
    <row r="11310" spans="10:10" x14ac:dyDescent="0.3">
      <c r="J11310" s="1"/>
    </row>
    <row r="11311" spans="10:10" x14ac:dyDescent="0.3">
      <c r="J11311" s="1"/>
    </row>
    <row r="11312" spans="10:10" x14ac:dyDescent="0.3">
      <c r="J11312" s="1"/>
    </row>
    <row r="11313" spans="10:10" x14ac:dyDescent="0.3">
      <c r="J11313" s="1"/>
    </row>
    <row r="11314" spans="10:10" x14ac:dyDescent="0.3">
      <c r="J11314" s="1"/>
    </row>
    <row r="11315" spans="10:10" x14ac:dyDescent="0.3">
      <c r="J11315" s="1"/>
    </row>
    <row r="11316" spans="10:10" x14ac:dyDescent="0.3">
      <c r="J11316" s="1"/>
    </row>
    <row r="11317" spans="10:10" x14ac:dyDescent="0.3">
      <c r="J11317" s="1"/>
    </row>
    <row r="11318" spans="10:10" x14ac:dyDescent="0.3">
      <c r="J11318" s="1"/>
    </row>
    <row r="11319" spans="10:10" x14ac:dyDescent="0.3">
      <c r="J11319" s="1"/>
    </row>
    <row r="11320" spans="10:10" x14ac:dyDescent="0.3">
      <c r="J11320" s="1"/>
    </row>
    <row r="11321" spans="10:10" x14ac:dyDescent="0.3">
      <c r="J11321" s="1"/>
    </row>
    <row r="11322" spans="10:10" x14ac:dyDescent="0.3">
      <c r="J11322" s="1"/>
    </row>
    <row r="11323" spans="10:10" x14ac:dyDescent="0.3">
      <c r="J11323" s="1"/>
    </row>
    <row r="11324" spans="10:10" x14ac:dyDescent="0.3">
      <c r="J11324" s="1"/>
    </row>
    <row r="11325" spans="10:10" x14ac:dyDescent="0.3">
      <c r="J11325" s="1"/>
    </row>
    <row r="11326" spans="10:10" x14ac:dyDescent="0.3">
      <c r="J11326" s="1"/>
    </row>
    <row r="11327" spans="10:10" x14ac:dyDescent="0.3">
      <c r="J11327" s="1"/>
    </row>
    <row r="11328" spans="10:10" x14ac:dyDescent="0.3">
      <c r="J11328" s="1"/>
    </row>
    <row r="11329" spans="10:10" x14ac:dyDescent="0.3">
      <c r="J11329" s="1"/>
    </row>
    <row r="11330" spans="10:10" x14ac:dyDescent="0.3">
      <c r="J11330" s="1"/>
    </row>
    <row r="11331" spans="10:10" x14ac:dyDescent="0.3">
      <c r="J11331" s="1"/>
    </row>
    <row r="11332" spans="10:10" x14ac:dyDescent="0.3">
      <c r="J11332" s="1"/>
    </row>
    <row r="11333" spans="10:10" x14ac:dyDescent="0.3">
      <c r="J11333" s="1"/>
    </row>
    <row r="11334" spans="10:10" x14ac:dyDescent="0.3">
      <c r="J11334" s="1"/>
    </row>
    <row r="11335" spans="10:10" x14ac:dyDescent="0.3">
      <c r="J11335" s="1"/>
    </row>
    <row r="11336" spans="10:10" x14ac:dyDescent="0.3">
      <c r="J11336" s="1"/>
    </row>
    <row r="11337" spans="10:10" x14ac:dyDescent="0.3">
      <c r="J11337" s="1"/>
    </row>
    <row r="11338" spans="10:10" x14ac:dyDescent="0.3">
      <c r="J11338" s="1"/>
    </row>
    <row r="11339" spans="10:10" x14ac:dyDescent="0.3">
      <c r="J11339" s="1"/>
    </row>
    <row r="11340" spans="10:10" x14ac:dyDescent="0.3">
      <c r="J11340" s="1"/>
    </row>
    <row r="11341" spans="10:10" x14ac:dyDescent="0.3">
      <c r="J11341" s="1"/>
    </row>
    <row r="11342" spans="10:10" x14ac:dyDescent="0.3">
      <c r="J11342" s="1"/>
    </row>
    <row r="11343" spans="10:10" x14ac:dyDescent="0.3">
      <c r="J11343" s="1"/>
    </row>
    <row r="11344" spans="10:10" x14ac:dyDescent="0.3">
      <c r="J11344" s="1"/>
    </row>
    <row r="11345" spans="10:10" x14ac:dyDescent="0.3">
      <c r="J11345" s="1"/>
    </row>
    <row r="11346" spans="10:10" x14ac:dyDescent="0.3">
      <c r="J11346" s="1"/>
    </row>
    <row r="11347" spans="10:10" x14ac:dyDescent="0.3">
      <c r="J11347" s="1"/>
    </row>
    <row r="11348" spans="10:10" x14ac:dyDescent="0.3">
      <c r="J11348" s="1"/>
    </row>
    <row r="11349" spans="10:10" x14ac:dyDescent="0.3">
      <c r="J11349" s="1"/>
    </row>
    <row r="11350" spans="10:10" x14ac:dyDescent="0.3">
      <c r="J11350" s="1"/>
    </row>
    <row r="11351" spans="10:10" x14ac:dyDescent="0.3">
      <c r="J11351" s="1"/>
    </row>
    <row r="11352" spans="10:10" x14ac:dyDescent="0.3">
      <c r="J11352" s="1"/>
    </row>
    <row r="11353" spans="10:10" x14ac:dyDescent="0.3">
      <c r="J11353" s="1"/>
    </row>
    <row r="11354" spans="10:10" x14ac:dyDescent="0.3">
      <c r="J11354" s="1"/>
    </row>
    <row r="11355" spans="10:10" x14ac:dyDescent="0.3">
      <c r="J11355" s="1"/>
    </row>
    <row r="11356" spans="10:10" x14ac:dyDescent="0.3">
      <c r="J11356" s="1"/>
    </row>
    <row r="11357" spans="10:10" x14ac:dyDescent="0.3">
      <c r="J11357" s="1"/>
    </row>
    <row r="11358" spans="10:10" x14ac:dyDescent="0.3">
      <c r="J11358" s="1"/>
    </row>
    <row r="11359" spans="10:10" x14ac:dyDescent="0.3">
      <c r="J11359" s="1"/>
    </row>
    <row r="11360" spans="10:10" x14ac:dyDescent="0.3">
      <c r="J11360" s="1"/>
    </row>
    <row r="11361" spans="10:10" x14ac:dyDescent="0.3">
      <c r="J11361" s="1"/>
    </row>
    <row r="11362" spans="10:10" x14ac:dyDescent="0.3">
      <c r="J11362" s="1"/>
    </row>
    <row r="11363" spans="10:10" x14ac:dyDescent="0.3">
      <c r="J11363" s="1"/>
    </row>
    <row r="11364" spans="10:10" x14ac:dyDescent="0.3">
      <c r="J11364" s="1"/>
    </row>
    <row r="11365" spans="10:10" x14ac:dyDescent="0.3">
      <c r="J11365" s="1"/>
    </row>
    <row r="11366" spans="10:10" x14ac:dyDescent="0.3">
      <c r="J11366" s="1"/>
    </row>
    <row r="11367" spans="10:10" x14ac:dyDescent="0.3">
      <c r="J11367" s="1"/>
    </row>
    <row r="11368" spans="10:10" x14ac:dyDescent="0.3">
      <c r="J11368" s="1"/>
    </row>
    <row r="11369" spans="10:10" x14ac:dyDescent="0.3">
      <c r="J11369" s="1"/>
    </row>
    <row r="11370" spans="10:10" x14ac:dyDescent="0.3">
      <c r="J11370" s="1"/>
    </row>
    <row r="11371" spans="10:10" x14ac:dyDescent="0.3">
      <c r="J11371" s="1"/>
    </row>
    <row r="11372" spans="10:10" x14ac:dyDescent="0.3">
      <c r="J11372" s="1"/>
    </row>
    <row r="11373" spans="10:10" x14ac:dyDescent="0.3">
      <c r="J11373" s="1"/>
    </row>
    <row r="11374" spans="10:10" x14ac:dyDescent="0.3">
      <c r="J11374" s="1"/>
    </row>
    <row r="11375" spans="10:10" x14ac:dyDescent="0.3">
      <c r="J11375" s="1"/>
    </row>
    <row r="11376" spans="10:10" x14ac:dyDescent="0.3">
      <c r="J11376" s="1"/>
    </row>
    <row r="11377" spans="10:10" x14ac:dyDescent="0.3">
      <c r="J11377" s="1"/>
    </row>
    <row r="11378" spans="10:10" x14ac:dyDescent="0.3">
      <c r="J11378" s="1"/>
    </row>
    <row r="11379" spans="10:10" x14ac:dyDescent="0.3">
      <c r="J11379" s="1"/>
    </row>
    <row r="11380" spans="10:10" x14ac:dyDescent="0.3">
      <c r="J11380" s="1"/>
    </row>
    <row r="11381" spans="10:10" x14ac:dyDescent="0.3">
      <c r="J11381" s="1"/>
    </row>
    <row r="11382" spans="10:10" x14ac:dyDescent="0.3">
      <c r="J11382" s="1"/>
    </row>
    <row r="11383" spans="10:10" x14ac:dyDescent="0.3">
      <c r="J11383" s="1"/>
    </row>
    <row r="11384" spans="10:10" x14ac:dyDescent="0.3">
      <c r="J11384" s="1"/>
    </row>
    <row r="11385" spans="10:10" x14ac:dyDescent="0.3">
      <c r="J11385" s="1"/>
    </row>
    <row r="11386" spans="10:10" x14ac:dyDescent="0.3">
      <c r="J11386" s="1"/>
    </row>
    <row r="11387" spans="10:10" x14ac:dyDescent="0.3">
      <c r="J11387" s="1"/>
    </row>
    <row r="11388" spans="10:10" x14ac:dyDescent="0.3">
      <c r="J11388" s="1"/>
    </row>
    <row r="11389" spans="10:10" x14ac:dyDescent="0.3">
      <c r="J11389" s="1"/>
    </row>
    <row r="11390" spans="10:10" x14ac:dyDescent="0.3">
      <c r="J11390" s="1"/>
    </row>
    <row r="11391" spans="10:10" x14ac:dyDescent="0.3">
      <c r="J11391" s="1"/>
    </row>
    <row r="11392" spans="10:10" x14ac:dyDescent="0.3">
      <c r="J11392" s="1"/>
    </row>
    <row r="11393" spans="10:10" x14ac:dyDescent="0.3">
      <c r="J11393" s="1"/>
    </row>
    <row r="11394" spans="10:10" x14ac:dyDescent="0.3">
      <c r="J11394" s="1"/>
    </row>
    <row r="11395" spans="10:10" x14ac:dyDescent="0.3">
      <c r="J11395" s="1"/>
    </row>
    <row r="11396" spans="10:10" x14ac:dyDescent="0.3">
      <c r="J11396" s="1"/>
    </row>
    <row r="11397" spans="10:10" x14ac:dyDescent="0.3">
      <c r="J11397" s="1"/>
    </row>
    <row r="11398" spans="10:10" x14ac:dyDescent="0.3">
      <c r="J11398" s="1"/>
    </row>
    <row r="11399" spans="10:10" x14ac:dyDescent="0.3">
      <c r="J11399" s="1"/>
    </row>
    <row r="11400" spans="10:10" x14ac:dyDescent="0.3">
      <c r="J11400" s="1"/>
    </row>
    <row r="11401" spans="10:10" x14ac:dyDescent="0.3">
      <c r="J11401" s="1"/>
    </row>
    <row r="11402" spans="10:10" x14ac:dyDescent="0.3">
      <c r="J11402" s="1"/>
    </row>
    <row r="11403" spans="10:10" x14ac:dyDescent="0.3">
      <c r="J11403" s="1"/>
    </row>
    <row r="11404" spans="10:10" x14ac:dyDescent="0.3">
      <c r="J11404" s="1"/>
    </row>
    <row r="11405" spans="10:10" x14ac:dyDescent="0.3">
      <c r="J11405" s="1"/>
    </row>
    <row r="11406" spans="10:10" x14ac:dyDescent="0.3">
      <c r="J11406" s="1"/>
    </row>
    <row r="11407" spans="10:10" x14ac:dyDescent="0.3">
      <c r="J11407" s="1"/>
    </row>
    <row r="11408" spans="10:10" x14ac:dyDescent="0.3">
      <c r="J11408" s="1"/>
    </row>
    <row r="11409" spans="10:10" x14ac:dyDescent="0.3">
      <c r="J11409" s="1"/>
    </row>
    <row r="11410" spans="10:10" x14ac:dyDescent="0.3">
      <c r="J11410" s="1"/>
    </row>
    <row r="11411" spans="10:10" x14ac:dyDescent="0.3">
      <c r="J11411" s="1"/>
    </row>
    <row r="11412" spans="10:10" x14ac:dyDescent="0.3">
      <c r="J11412" s="1"/>
    </row>
    <row r="11413" spans="10:10" x14ac:dyDescent="0.3">
      <c r="J11413" s="1"/>
    </row>
    <row r="11414" spans="10:10" x14ac:dyDescent="0.3">
      <c r="J11414" s="1"/>
    </row>
    <row r="11415" spans="10:10" x14ac:dyDescent="0.3">
      <c r="J11415" s="1"/>
    </row>
    <row r="11416" spans="10:10" x14ac:dyDescent="0.3">
      <c r="J11416" s="1"/>
    </row>
    <row r="11417" spans="10:10" x14ac:dyDescent="0.3">
      <c r="J11417" s="1"/>
    </row>
    <row r="11418" spans="10:10" x14ac:dyDescent="0.3">
      <c r="J11418" s="1"/>
    </row>
    <row r="11419" spans="10:10" x14ac:dyDescent="0.3">
      <c r="J11419" s="1"/>
    </row>
    <row r="11420" spans="10:10" x14ac:dyDescent="0.3">
      <c r="J11420" s="1"/>
    </row>
    <row r="11421" spans="10:10" x14ac:dyDescent="0.3">
      <c r="J11421" s="1"/>
    </row>
    <row r="11422" spans="10:10" x14ac:dyDescent="0.3">
      <c r="J11422" s="1"/>
    </row>
    <row r="11423" spans="10:10" x14ac:dyDescent="0.3">
      <c r="J11423" s="1"/>
    </row>
    <row r="11424" spans="10:10" x14ac:dyDescent="0.3">
      <c r="J11424" s="1"/>
    </row>
    <row r="11425" spans="10:10" x14ac:dyDescent="0.3">
      <c r="J11425" s="1"/>
    </row>
    <row r="11426" spans="10:10" x14ac:dyDescent="0.3">
      <c r="J11426" s="1"/>
    </row>
    <row r="11427" spans="10:10" x14ac:dyDescent="0.3">
      <c r="J11427" s="1"/>
    </row>
    <row r="11428" spans="10:10" x14ac:dyDescent="0.3">
      <c r="J11428" s="1"/>
    </row>
    <row r="11429" spans="10:10" x14ac:dyDescent="0.3">
      <c r="J11429" s="1"/>
    </row>
    <row r="11430" spans="10:10" x14ac:dyDescent="0.3">
      <c r="J11430" s="1"/>
    </row>
    <row r="11431" spans="10:10" x14ac:dyDescent="0.3">
      <c r="J11431" s="1"/>
    </row>
    <row r="11432" spans="10:10" x14ac:dyDescent="0.3">
      <c r="J11432" s="1"/>
    </row>
    <row r="11433" spans="10:10" x14ac:dyDescent="0.3">
      <c r="J11433" s="1"/>
    </row>
    <row r="11434" spans="10:10" x14ac:dyDescent="0.3">
      <c r="J11434" s="1"/>
    </row>
    <row r="11435" spans="10:10" x14ac:dyDescent="0.3">
      <c r="J11435" s="1"/>
    </row>
    <row r="11436" spans="10:10" x14ac:dyDescent="0.3">
      <c r="J11436" s="1"/>
    </row>
    <row r="11437" spans="10:10" x14ac:dyDescent="0.3">
      <c r="J11437" s="1"/>
    </row>
    <row r="11438" spans="10:10" x14ac:dyDescent="0.3">
      <c r="J11438" s="1"/>
    </row>
    <row r="11439" spans="10:10" x14ac:dyDescent="0.3">
      <c r="J11439" s="1"/>
    </row>
    <row r="11440" spans="10:10" x14ac:dyDescent="0.3">
      <c r="J11440" s="1"/>
    </row>
    <row r="11441" spans="10:10" x14ac:dyDescent="0.3">
      <c r="J11441" s="1"/>
    </row>
    <row r="11442" spans="10:10" x14ac:dyDescent="0.3">
      <c r="J11442" s="1"/>
    </row>
    <row r="11443" spans="10:10" x14ac:dyDescent="0.3">
      <c r="J11443" s="1"/>
    </row>
    <row r="11444" spans="10:10" x14ac:dyDescent="0.3">
      <c r="J11444" s="1"/>
    </row>
    <row r="11445" spans="10:10" x14ac:dyDescent="0.3">
      <c r="J11445" s="1"/>
    </row>
    <row r="11446" spans="10:10" x14ac:dyDescent="0.3">
      <c r="J11446" s="1"/>
    </row>
    <row r="11447" spans="10:10" x14ac:dyDescent="0.3">
      <c r="J11447" s="1"/>
    </row>
    <row r="11448" spans="10:10" x14ac:dyDescent="0.3">
      <c r="J11448" s="1"/>
    </row>
    <row r="11449" spans="10:10" x14ac:dyDescent="0.3">
      <c r="J11449" s="1"/>
    </row>
    <row r="11450" spans="10:10" x14ac:dyDescent="0.3">
      <c r="J11450" s="1"/>
    </row>
    <row r="11451" spans="10:10" x14ac:dyDescent="0.3">
      <c r="J11451" s="1"/>
    </row>
    <row r="11452" spans="10:10" x14ac:dyDescent="0.3">
      <c r="J11452" s="1"/>
    </row>
    <row r="11453" spans="10:10" x14ac:dyDescent="0.3">
      <c r="J11453" s="1"/>
    </row>
    <row r="11454" spans="10:10" x14ac:dyDescent="0.3">
      <c r="J11454" s="1"/>
    </row>
    <row r="11455" spans="10:10" x14ac:dyDescent="0.3">
      <c r="J11455" s="1"/>
    </row>
    <row r="11456" spans="10:10" x14ac:dyDescent="0.3">
      <c r="J11456" s="1"/>
    </row>
    <row r="11457" spans="10:10" x14ac:dyDescent="0.3">
      <c r="J11457" s="1"/>
    </row>
    <row r="11458" spans="10:10" x14ac:dyDescent="0.3">
      <c r="J11458" s="1"/>
    </row>
    <row r="11459" spans="10:10" x14ac:dyDescent="0.3">
      <c r="J11459" s="1"/>
    </row>
    <row r="11460" spans="10:10" x14ac:dyDescent="0.3">
      <c r="J11460" s="1"/>
    </row>
    <row r="11461" spans="10:10" x14ac:dyDescent="0.3">
      <c r="J11461" s="1"/>
    </row>
    <row r="11462" spans="10:10" x14ac:dyDescent="0.3">
      <c r="J11462" s="1"/>
    </row>
    <row r="11463" spans="10:10" x14ac:dyDescent="0.3">
      <c r="J11463" s="1"/>
    </row>
    <row r="11464" spans="10:10" x14ac:dyDescent="0.3">
      <c r="J11464" s="1"/>
    </row>
    <row r="11465" spans="10:10" x14ac:dyDescent="0.3">
      <c r="J11465" s="1"/>
    </row>
    <row r="11466" spans="10:10" x14ac:dyDescent="0.3">
      <c r="J11466" s="1"/>
    </row>
    <row r="11467" spans="10:10" x14ac:dyDescent="0.3">
      <c r="J11467" s="1"/>
    </row>
    <row r="11468" spans="10:10" x14ac:dyDescent="0.3">
      <c r="J11468" s="1"/>
    </row>
    <row r="11469" spans="10:10" x14ac:dyDescent="0.3">
      <c r="J11469" s="1"/>
    </row>
    <row r="11470" spans="10:10" x14ac:dyDescent="0.3">
      <c r="J11470" s="1"/>
    </row>
    <row r="11471" spans="10:10" x14ac:dyDescent="0.3">
      <c r="J11471" s="1"/>
    </row>
    <row r="11472" spans="10:10" x14ac:dyDescent="0.3">
      <c r="J11472" s="1"/>
    </row>
    <row r="11473" spans="10:10" x14ac:dyDescent="0.3">
      <c r="J11473" s="1"/>
    </row>
    <row r="11474" spans="10:10" x14ac:dyDescent="0.3">
      <c r="J11474" s="1"/>
    </row>
    <row r="11475" spans="10:10" x14ac:dyDescent="0.3">
      <c r="J11475" s="1"/>
    </row>
    <row r="11476" spans="10:10" x14ac:dyDescent="0.3">
      <c r="J11476" s="1"/>
    </row>
    <row r="11477" spans="10:10" x14ac:dyDescent="0.3">
      <c r="J11477" s="1"/>
    </row>
    <row r="11478" spans="10:10" x14ac:dyDescent="0.3">
      <c r="J11478" s="1"/>
    </row>
    <row r="11479" spans="10:10" x14ac:dyDescent="0.3">
      <c r="J11479" s="1"/>
    </row>
    <row r="11480" spans="10:10" x14ac:dyDescent="0.3">
      <c r="J11480" s="1"/>
    </row>
    <row r="11481" spans="10:10" x14ac:dyDescent="0.3">
      <c r="J11481" s="1"/>
    </row>
    <row r="11482" spans="10:10" x14ac:dyDescent="0.3">
      <c r="J11482" s="1"/>
    </row>
    <row r="11483" spans="10:10" x14ac:dyDescent="0.3">
      <c r="J11483" s="1"/>
    </row>
    <row r="11484" spans="10:10" x14ac:dyDescent="0.3">
      <c r="J11484" s="1"/>
    </row>
    <row r="11485" spans="10:10" x14ac:dyDescent="0.3">
      <c r="J11485" s="1"/>
    </row>
    <row r="11486" spans="10:10" x14ac:dyDescent="0.3">
      <c r="J11486" s="1"/>
    </row>
    <row r="11487" spans="10:10" x14ac:dyDescent="0.3">
      <c r="J11487" s="1"/>
    </row>
    <row r="11488" spans="10:10" x14ac:dyDescent="0.3">
      <c r="J11488" s="1"/>
    </row>
    <row r="11489" spans="10:10" x14ac:dyDescent="0.3">
      <c r="J11489" s="1"/>
    </row>
    <row r="11490" spans="10:10" x14ac:dyDescent="0.3">
      <c r="J11490" s="1"/>
    </row>
    <row r="11491" spans="10:10" x14ac:dyDescent="0.3">
      <c r="J11491" s="1"/>
    </row>
    <row r="11492" spans="10:10" x14ac:dyDescent="0.3">
      <c r="J11492" s="1"/>
    </row>
    <row r="11493" spans="10:10" x14ac:dyDescent="0.3">
      <c r="J11493" s="1"/>
    </row>
    <row r="11494" spans="10:10" x14ac:dyDescent="0.3">
      <c r="J11494" s="1"/>
    </row>
    <row r="11495" spans="10:10" x14ac:dyDescent="0.3">
      <c r="J11495" s="1"/>
    </row>
    <row r="11496" spans="10:10" x14ac:dyDescent="0.3">
      <c r="J11496" s="1"/>
    </row>
    <row r="11497" spans="10:10" x14ac:dyDescent="0.3">
      <c r="J11497" s="1"/>
    </row>
    <row r="11498" spans="10:10" x14ac:dyDescent="0.3">
      <c r="J11498" s="1"/>
    </row>
    <row r="11499" spans="10:10" x14ac:dyDescent="0.3">
      <c r="J11499" s="1"/>
    </row>
    <row r="11500" spans="10:10" x14ac:dyDescent="0.3">
      <c r="J11500" s="1"/>
    </row>
    <row r="11501" spans="10:10" x14ac:dyDescent="0.3">
      <c r="J11501" s="1"/>
    </row>
    <row r="11502" spans="10:10" x14ac:dyDescent="0.3">
      <c r="J11502" s="1"/>
    </row>
    <row r="11503" spans="10:10" x14ac:dyDescent="0.3">
      <c r="J11503" s="1"/>
    </row>
    <row r="11504" spans="10:10" x14ac:dyDescent="0.3">
      <c r="J11504" s="1"/>
    </row>
    <row r="11505" spans="10:10" x14ac:dyDescent="0.3">
      <c r="J11505" s="1"/>
    </row>
    <row r="11506" spans="10:10" x14ac:dyDescent="0.3">
      <c r="J11506" s="1"/>
    </row>
    <row r="11507" spans="10:10" x14ac:dyDescent="0.3">
      <c r="J11507" s="1"/>
    </row>
    <row r="11508" spans="10:10" x14ac:dyDescent="0.3">
      <c r="J11508" s="1"/>
    </row>
    <row r="11509" spans="10:10" x14ac:dyDescent="0.3">
      <c r="J11509" s="1"/>
    </row>
    <row r="11510" spans="10:10" x14ac:dyDescent="0.3">
      <c r="J11510" s="1"/>
    </row>
    <row r="11511" spans="10:10" x14ac:dyDescent="0.3">
      <c r="J11511" s="1"/>
    </row>
    <row r="11512" spans="10:10" x14ac:dyDescent="0.3">
      <c r="J11512" s="1"/>
    </row>
    <row r="11513" spans="10:10" x14ac:dyDescent="0.3">
      <c r="J11513" s="1"/>
    </row>
    <row r="11514" spans="10:10" x14ac:dyDescent="0.3">
      <c r="J11514" s="1"/>
    </row>
    <row r="11515" spans="10:10" x14ac:dyDescent="0.3">
      <c r="J11515" s="1"/>
    </row>
    <row r="11516" spans="10:10" x14ac:dyDescent="0.3">
      <c r="J11516" s="1"/>
    </row>
    <row r="11517" spans="10:10" x14ac:dyDescent="0.3">
      <c r="J11517" s="1"/>
    </row>
    <row r="11518" spans="10:10" x14ac:dyDescent="0.3">
      <c r="J11518" s="1"/>
    </row>
    <row r="11519" spans="10:10" x14ac:dyDescent="0.3">
      <c r="J11519" s="1"/>
    </row>
    <row r="11520" spans="10:10" x14ac:dyDescent="0.3">
      <c r="J11520" s="1"/>
    </row>
    <row r="11521" spans="10:10" x14ac:dyDescent="0.3">
      <c r="J11521" s="1"/>
    </row>
    <row r="11522" spans="10:10" x14ac:dyDescent="0.3">
      <c r="J11522" s="1"/>
    </row>
    <row r="11523" spans="10:10" x14ac:dyDescent="0.3">
      <c r="J11523" s="1"/>
    </row>
    <row r="11524" spans="10:10" x14ac:dyDescent="0.3">
      <c r="J11524" s="1"/>
    </row>
    <row r="11525" spans="10:10" x14ac:dyDescent="0.3">
      <c r="J11525" s="1"/>
    </row>
    <row r="11526" spans="10:10" x14ac:dyDescent="0.3">
      <c r="J11526" s="1"/>
    </row>
    <row r="11527" spans="10:10" x14ac:dyDescent="0.3">
      <c r="J11527" s="1"/>
    </row>
    <row r="11528" spans="10:10" x14ac:dyDescent="0.3">
      <c r="J11528" s="1"/>
    </row>
    <row r="11529" spans="10:10" x14ac:dyDescent="0.3">
      <c r="J11529" s="1"/>
    </row>
    <row r="11530" spans="10:10" x14ac:dyDescent="0.3">
      <c r="J11530" s="1"/>
    </row>
    <row r="11531" spans="10:10" x14ac:dyDescent="0.3">
      <c r="J11531" s="1"/>
    </row>
    <row r="11532" spans="10:10" x14ac:dyDescent="0.3">
      <c r="J11532" s="1"/>
    </row>
    <row r="11533" spans="10:10" x14ac:dyDescent="0.3">
      <c r="J11533" s="1"/>
    </row>
    <row r="11534" spans="10:10" x14ac:dyDescent="0.3">
      <c r="J11534" s="1"/>
    </row>
    <row r="11535" spans="10:10" x14ac:dyDescent="0.3">
      <c r="J11535" s="1"/>
    </row>
    <row r="11536" spans="10:10" x14ac:dyDescent="0.3">
      <c r="J11536" s="1"/>
    </row>
    <row r="11537" spans="10:10" x14ac:dyDescent="0.3">
      <c r="J11537" s="1"/>
    </row>
    <row r="11538" spans="10:10" x14ac:dyDescent="0.3">
      <c r="J11538" s="1"/>
    </row>
    <row r="11539" spans="10:10" x14ac:dyDescent="0.3">
      <c r="J11539" s="1"/>
    </row>
    <row r="11540" spans="10:10" x14ac:dyDescent="0.3">
      <c r="J11540" s="1"/>
    </row>
    <row r="11541" spans="10:10" x14ac:dyDescent="0.3">
      <c r="J11541" s="1"/>
    </row>
    <row r="11542" spans="10:10" x14ac:dyDescent="0.3">
      <c r="J11542" s="1"/>
    </row>
    <row r="11543" spans="10:10" x14ac:dyDescent="0.3">
      <c r="J11543" s="1"/>
    </row>
    <row r="11544" spans="10:10" x14ac:dyDescent="0.3">
      <c r="J11544" s="1"/>
    </row>
    <row r="11545" spans="10:10" x14ac:dyDescent="0.3">
      <c r="J11545" s="1"/>
    </row>
    <row r="11546" spans="10:10" x14ac:dyDescent="0.3">
      <c r="J11546" s="1"/>
    </row>
    <row r="11547" spans="10:10" x14ac:dyDescent="0.3">
      <c r="J11547" s="1"/>
    </row>
    <row r="11548" spans="10:10" x14ac:dyDescent="0.3">
      <c r="J11548" s="1"/>
    </row>
    <row r="11549" spans="10:10" x14ac:dyDescent="0.3">
      <c r="J11549" s="1"/>
    </row>
    <row r="11550" spans="10:10" x14ac:dyDescent="0.3">
      <c r="J11550" s="1"/>
    </row>
    <row r="11551" spans="10:10" x14ac:dyDescent="0.3">
      <c r="J11551" s="1"/>
    </row>
    <row r="11552" spans="10:10" x14ac:dyDescent="0.3">
      <c r="J11552" s="1"/>
    </row>
    <row r="11553" spans="10:10" x14ac:dyDescent="0.3">
      <c r="J11553" s="1"/>
    </row>
    <row r="11554" spans="10:10" x14ac:dyDescent="0.3">
      <c r="J11554" s="1"/>
    </row>
    <row r="11555" spans="10:10" x14ac:dyDescent="0.3">
      <c r="J11555" s="1"/>
    </row>
    <row r="11556" spans="10:10" x14ac:dyDescent="0.3">
      <c r="J11556" s="1"/>
    </row>
    <row r="11557" spans="10:10" x14ac:dyDescent="0.3">
      <c r="J11557" s="1"/>
    </row>
    <row r="11558" spans="10:10" x14ac:dyDescent="0.3">
      <c r="J11558" s="1"/>
    </row>
    <row r="11559" spans="10:10" x14ac:dyDescent="0.3">
      <c r="J11559" s="1"/>
    </row>
    <row r="11560" spans="10:10" x14ac:dyDescent="0.3">
      <c r="J11560" s="1"/>
    </row>
    <row r="11561" spans="10:10" x14ac:dyDescent="0.3">
      <c r="J11561" s="1"/>
    </row>
    <row r="11562" spans="10:10" x14ac:dyDescent="0.3">
      <c r="J11562" s="1"/>
    </row>
    <row r="11563" spans="10:10" x14ac:dyDescent="0.3">
      <c r="J11563" s="1"/>
    </row>
    <row r="11564" spans="10:10" x14ac:dyDescent="0.3">
      <c r="J11564" s="1"/>
    </row>
    <row r="11565" spans="10:10" x14ac:dyDescent="0.3">
      <c r="J11565" s="1"/>
    </row>
    <row r="11566" spans="10:10" x14ac:dyDescent="0.3">
      <c r="J11566" s="1"/>
    </row>
    <row r="11567" spans="10:10" x14ac:dyDescent="0.3">
      <c r="J11567" s="1"/>
    </row>
    <row r="11568" spans="10:10" x14ac:dyDescent="0.3">
      <c r="J11568" s="1"/>
    </row>
    <row r="11569" spans="10:10" x14ac:dyDescent="0.3">
      <c r="J11569" s="1"/>
    </row>
    <row r="11570" spans="10:10" x14ac:dyDescent="0.3">
      <c r="J11570" s="1"/>
    </row>
    <row r="11571" spans="10:10" x14ac:dyDescent="0.3">
      <c r="J11571" s="1"/>
    </row>
    <row r="11572" spans="10:10" x14ac:dyDescent="0.3">
      <c r="J11572" s="1"/>
    </row>
    <row r="11573" spans="10:10" x14ac:dyDescent="0.3">
      <c r="J11573" s="1"/>
    </row>
    <row r="11574" spans="10:10" x14ac:dyDescent="0.3">
      <c r="J11574" s="1"/>
    </row>
    <row r="11575" spans="10:10" x14ac:dyDescent="0.3">
      <c r="J11575" s="1"/>
    </row>
    <row r="11576" spans="10:10" x14ac:dyDescent="0.3">
      <c r="J11576" s="1"/>
    </row>
    <row r="11577" spans="10:10" x14ac:dyDescent="0.3">
      <c r="J11577" s="1"/>
    </row>
    <row r="11578" spans="10:10" x14ac:dyDescent="0.3">
      <c r="J11578" s="1"/>
    </row>
    <row r="11579" spans="10:10" x14ac:dyDescent="0.3">
      <c r="J11579" s="1"/>
    </row>
    <row r="11580" spans="10:10" x14ac:dyDescent="0.3">
      <c r="J11580" s="1"/>
    </row>
    <row r="11581" spans="10:10" x14ac:dyDescent="0.3">
      <c r="J11581" s="1"/>
    </row>
    <row r="11582" spans="10:10" x14ac:dyDescent="0.3">
      <c r="J11582" s="1"/>
    </row>
    <row r="11583" spans="10:10" x14ac:dyDescent="0.3">
      <c r="J11583" s="1"/>
    </row>
    <row r="11584" spans="10:10" x14ac:dyDescent="0.3">
      <c r="J11584" s="1"/>
    </row>
    <row r="11585" spans="10:10" x14ac:dyDescent="0.3">
      <c r="J11585" s="1"/>
    </row>
    <row r="11586" spans="10:10" x14ac:dyDescent="0.3">
      <c r="J11586" s="1"/>
    </row>
    <row r="11587" spans="10:10" x14ac:dyDescent="0.3">
      <c r="J11587" s="1"/>
    </row>
    <row r="11588" spans="10:10" x14ac:dyDescent="0.3">
      <c r="J11588" s="1"/>
    </row>
    <row r="11589" spans="10:10" x14ac:dyDescent="0.3">
      <c r="J11589" s="1"/>
    </row>
    <row r="11590" spans="10:10" x14ac:dyDescent="0.3">
      <c r="J11590" s="1"/>
    </row>
    <row r="11591" spans="10:10" x14ac:dyDescent="0.3">
      <c r="J11591" s="1"/>
    </row>
    <row r="11592" spans="10:10" x14ac:dyDescent="0.3">
      <c r="J11592" s="1"/>
    </row>
    <row r="11593" spans="10:10" x14ac:dyDescent="0.3">
      <c r="J11593" s="1"/>
    </row>
    <row r="11594" spans="10:10" x14ac:dyDescent="0.3">
      <c r="J11594" s="1"/>
    </row>
    <row r="11595" spans="10:10" x14ac:dyDescent="0.3">
      <c r="J11595" s="1"/>
    </row>
    <row r="11596" spans="10:10" x14ac:dyDescent="0.3">
      <c r="J11596" s="1"/>
    </row>
    <row r="11597" spans="10:10" x14ac:dyDescent="0.3">
      <c r="J11597" s="1"/>
    </row>
    <row r="11598" spans="10:10" x14ac:dyDescent="0.3">
      <c r="J11598" s="1"/>
    </row>
    <row r="11599" spans="10:10" x14ac:dyDescent="0.3">
      <c r="J11599" s="1"/>
    </row>
    <row r="11600" spans="10:10" x14ac:dyDescent="0.3">
      <c r="J11600" s="1"/>
    </row>
    <row r="11601" spans="10:10" x14ac:dyDescent="0.3">
      <c r="J11601" s="1"/>
    </row>
    <row r="11602" spans="10:10" x14ac:dyDescent="0.3">
      <c r="J11602" s="1"/>
    </row>
    <row r="11603" spans="10:10" x14ac:dyDescent="0.3">
      <c r="J11603" s="1"/>
    </row>
    <row r="11604" spans="10:10" x14ac:dyDescent="0.3">
      <c r="J11604" s="1"/>
    </row>
    <row r="11605" spans="10:10" x14ac:dyDescent="0.3">
      <c r="J11605" s="1"/>
    </row>
    <row r="11606" spans="10:10" x14ac:dyDescent="0.3">
      <c r="J11606" s="1"/>
    </row>
    <row r="11607" spans="10:10" x14ac:dyDescent="0.3">
      <c r="J11607" s="1"/>
    </row>
    <row r="11608" spans="10:10" x14ac:dyDescent="0.3">
      <c r="J11608" s="1"/>
    </row>
    <row r="11609" spans="10:10" x14ac:dyDescent="0.3">
      <c r="J11609" s="1"/>
    </row>
    <row r="11610" spans="10:10" x14ac:dyDescent="0.3">
      <c r="J11610" s="1"/>
    </row>
    <row r="11611" spans="10:10" x14ac:dyDescent="0.3">
      <c r="J11611" s="1"/>
    </row>
    <row r="11612" spans="10:10" x14ac:dyDescent="0.3">
      <c r="J11612" s="1"/>
    </row>
    <row r="11613" spans="10:10" x14ac:dyDescent="0.3">
      <c r="J11613" s="1"/>
    </row>
    <row r="11614" spans="10:10" x14ac:dyDescent="0.3">
      <c r="J11614" s="1"/>
    </row>
    <row r="11615" spans="10:10" x14ac:dyDescent="0.3">
      <c r="J11615" s="1"/>
    </row>
    <row r="11616" spans="10:10" x14ac:dyDescent="0.3">
      <c r="J11616" s="1"/>
    </row>
    <row r="11617" spans="10:10" x14ac:dyDescent="0.3">
      <c r="J11617" s="1"/>
    </row>
    <row r="11618" spans="10:10" x14ac:dyDescent="0.3">
      <c r="J11618" s="1"/>
    </row>
    <row r="11619" spans="10:10" x14ac:dyDescent="0.3">
      <c r="J11619" s="1"/>
    </row>
    <row r="11620" spans="10:10" x14ac:dyDescent="0.3">
      <c r="J11620" s="1"/>
    </row>
    <row r="11621" spans="10:10" x14ac:dyDescent="0.3">
      <c r="J11621" s="1"/>
    </row>
    <row r="11622" spans="10:10" x14ac:dyDescent="0.3">
      <c r="J11622" s="1"/>
    </row>
    <row r="11623" spans="10:10" x14ac:dyDescent="0.3">
      <c r="J11623" s="1"/>
    </row>
    <row r="11624" spans="10:10" x14ac:dyDescent="0.3">
      <c r="J11624" s="1"/>
    </row>
    <row r="11625" spans="10:10" x14ac:dyDescent="0.3">
      <c r="J11625" s="1"/>
    </row>
    <row r="11626" spans="10:10" x14ac:dyDescent="0.3">
      <c r="J11626" s="1"/>
    </row>
    <row r="11627" spans="10:10" x14ac:dyDescent="0.3">
      <c r="J11627" s="1"/>
    </row>
    <row r="11628" spans="10:10" x14ac:dyDescent="0.3">
      <c r="J11628" s="1"/>
    </row>
    <row r="11629" spans="10:10" x14ac:dyDescent="0.3">
      <c r="J11629" s="1"/>
    </row>
    <row r="11630" spans="10:10" x14ac:dyDescent="0.3">
      <c r="J11630" s="1"/>
    </row>
    <row r="11631" spans="10:10" x14ac:dyDescent="0.3">
      <c r="J11631" s="1"/>
    </row>
    <row r="11632" spans="10:10" x14ac:dyDescent="0.3">
      <c r="J11632" s="1"/>
    </row>
    <row r="11633" spans="10:10" x14ac:dyDescent="0.3">
      <c r="J11633" s="1"/>
    </row>
    <row r="11634" spans="10:10" x14ac:dyDescent="0.3">
      <c r="J11634" s="1"/>
    </row>
    <row r="11635" spans="10:10" x14ac:dyDescent="0.3">
      <c r="J11635" s="1"/>
    </row>
    <row r="11636" spans="10:10" x14ac:dyDescent="0.3">
      <c r="J11636" s="1"/>
    </row>
    <row r="11637" spans="10:10" x14ac:dyDescent="0.3">
      <c r="J11637" s="1"/>
    </row>
    <row r="11638" spans="10:10" x14ac:dyDescent="0.3">
      <c r="J11638" s="1"/>
    </row>
    <row r="11639" spans="10:10" x14ac:dyDescent="0.3">
      <c r="J11639" s="1"/>
    </row>
    <row r="11640" spans="10:10" x14ac:dyDescent="0.3">
      <c r="J11640" s="1"/>
    </row>
    <row r="11641" spans="10:10" x14ac:dyDescent="0.3">
      <c r="J11641" s="1"/>
    </row>
    <row r="11642" spans="10:10" x14ac:dyDescent="0.3">
      <c r="J11642" s="1"/>
    </row>
    <row r="11643" spans="10:10" x14ac:dyDescent="0.3">
      <c r="J11643" s="1"/>
    </row>
    <row r="11644" spans="10:10" x14ac:dyDescent="0.3">
      <c r="J11644" s="1"/>
    </row>
    <row r="11645" spans="10:10" x14ac:dyDescent="0.3">
      <c r="J11645" s="1"/>
    </row>
    <row r="11646" spans="10:10" x14ac:dyDescent="0.3">
      <c r="J11646" s="1"/>
    </row>
    <row r="11647" spans="10:10" x14ac:dyDescent="0.3">
      <c r="J11647" s="1"/>
    </row>
    <row r="11648" spans="10:10" x14ac:dyDescent="0.3">
      <c r="J11648" s="1"/>
    </row>
    <row r="11649" spans="10:10" x14ac:dyDescent="0.3">
      <c r="J11649" s="1"/>
    </row>
    <row r="11650" spans="10:10" x14ac:dyDescent="0.3">
      <c r="J11650" s="1"/>
    </row>
    <row r="11651" spans="10:10" x14ac:dyDescent="0.3">
      <c r="J11651" s="1"/>
    </row>
    <row r="11652" spans="10:10" x14ac:dyDescent="0.3">
      <c r="J11652" s="1"/>
    </row>
    <row r="11653" spans="10:10" x14ac:dyDescent="0.3">
      <c r="J11653" s="1"/>
    </row>
    <row r="11654" spans="10:10" x14ac:dyDescent="0.3">
      <c r="J11654" s="1"/>
    </row>
    <row r="11655" spans="10:10" x14ac:dyDescent="0.3">
      <c r="J11655" s="1"/>
    </row>
    <row r="11656" spans="10:10" x14ac:dyDescent="0.3">
      <c r="J11656" s="1"/>
    </row>
    <row r="11657" spans="10:10" x14ac:dyDescent="0.3">
      <c r="J11657" s="1"/>
    </row>
    <row r="11658" spans="10:10" x14ac:dyDescent="0.3">
      <c r="J11658" s="1"/>
    </row>
    <row r="11659" spans="10:10" x14ac:dyDescent="0.3">
      <c r="J11659" s="1"/>
    </row>
    <row r="11660" spans="10:10" x14ac:dyDescent="0.3">
      <c r="J11660" s="1"/>
    </row>
    <row r="11661" spans="10:10" x14ac:dyDescent="0.3">
      <c r="J11661" s="1"/>
    </row>
    <row r="11662" spans="10:10" x14ac:dyDescent="0.3">
      <c r="J11662" s="1"/>
    </row>
    <row r="11663" spans="10:10" x14ac:dyDescent="0.3">
      <c r="J11663" s="1"/>
    </row>
    <row r="11664" spans="10:10" x14ac:dyDescent="0.3">
      <c r="J11664" s="1"/>
    </row>
    <row r="11665" spans="10:10" x14ac:dyDescent="0.3">
      <c r="J11665" s="1"/>
    </row>
    <row r="11666" spans="10:10" x14ac:dyDescent="0.3">
      <c r="J11666" s="1"/>
    </row>
    <row r="11667" spans="10:10" x14ac:dyDescent="0.3">
      <c r="J11667" s="1"/>
    </row>
    <row r="11668" spans="10:10" x14ac:dyDescent="0.3">
      <c r="J11668" s="1"/>
    </row>
    <row r="11669" spans="10:10" x14ac:dyDescent="0.3">
      <c r="J11669" s="1"/>
    </row>
    <row r="11670" spans="10:10" x14ac:dyDescent="0.3">
      <c r="J11670" s="1"/>
    </row>
    <row r="11671" spans="10:10" x14ac:dyDescent="0.3">
      <c r="J11671" s="1"/>
    </row>
    <row r="11672" spans="10:10" x14ac:dyDescent="0.3">
      <c r="J11672" s="1"/>
    </row>
    <row r="11673" spans="10:10" x14ac:dyDescent="0.3">
      <c r="J11673" s="1"/>
    </row>
    <row r="11674" spans="10:10" x14ac:dyDescent="0.3">
      <c r="J11674" s="1"/>
    </row>
    <row r="11675" spans="10:10" x14ac:dyDescent="0.3">
      <c r="J11675" s="1"/>
    </row>
    <row r="11676" spans="10:10" x14ac:dyDescent="0.3">
      <c r="J11676" s="1"/>
    </row>
    <row r="11677" spans="10:10" x14ac:dyDescent="0.3">
      <c r="J11677" s="1"/>
    </row>
    <row r="11678" spans="10:10" x14ac:dyDescent="0.3">
      <c r="J11678" s="1"/>
    </row>
    <row r="11679" spans="10:10" x14ac:dyDescent="0.3">
      <c r="J11679" s="1"/>
    </row>
    <row r="11680" spans="10:10" x14ac:dyDescent="0.3">
      <c r="J11680" s="1"/>
    </row>
    <row r="11681" spans="10:10" x14ac:dyDescent="0.3">
      <c r="J11681" s="1"/>
    </row>
    <row r="11682" spans="10:10" x14ac:dyDescent="0.3">
      <c r="J11682" s="1"/>
    </row>
    <row r="11683" spans="10:10" x14ac:dyDescent="0.3">
      <c r="J11683" s="1"/>
    </row>
    <row r="11684" spans="10:10" x14ac:dyDescent="0.3">
      <c r="J11684" s="1"/>
    </row>
    <row r="11685" spans="10:10" x14ac:dyDescent="0.3">
      <c r="J11685" s="1"/>
    </row>
    <row r="11686" spans="10:10" x14ac:dyDescent="0.3">
      <c r="J11686" s="1"/>
    </row>
    <row r="11687" spans="10:10" x14ac:dyDescent="0.3">
      <c r="J11687" s="1"/>
    </row>
    <row r="11688" spans="10:10" x14ac:dyDescent="0.3">
      <c r="J11688" s="1"/>
    </row>
    <row r="11689" spans="10:10" x14ac:dyDescent="0.3">
      <c r="J11689" s="1"/>
    </row>
    <row r="11690" spans="10:10" x14ac:dyDescent="0.3">
      <c r="J11690" s="1"/>
    </row>
    <row r="11691" spans="10:10" x14ac:dyDescent="0.3">
      <c r="J11691" s="1"/>
    </row>
    <row r="11692" spans="10:10" x14ac:dyDescent="0.3">
      <c r="J11692" s="1"/>
    </row>
    <row r="11693" spans="10:10" x14ac:dyDescent="0.3">
      <c r="J11693" s="1"/>
    </row>
    <row r="11694" spans="10:10" x14ac:dyDescent="0.3">
      <c r="J11694" s="1"/>
    </row>
    <row r="11695" spans="10:10" x14ac:dyDescent="0.3">
      <c r="J11695" s="1"/>
    </row>
    <row r="11696" spans="10:10" x14ac:dyDescent="0.3">
      <c r="J11696" s="1"/>
    </row>
    <row r="11697" spans="10:10" x14ac:dyDescent="0.3">
      <c r="J11697" s="1"/>
    </row>
    <row r="11698" spans="10:10" x14ac:dyDescent="0.3">
      <c r="J11698" s="1"/>
    </row>
    <row r="11699" spans="10:10" x14ac:dyDescent="0.3">
      <c r="J11699" s="1"/>
    </row>
    <row r="11700" spans="10:10" x14ac:dyDescent="0.3">
      <c r="J11700" s="1"/>
    </row>
    <row r="11701" spans="10:10" x14ac:dyDescent="0.3">
      <c r="J11701" s="1"/>
    </row>
    <row r="11702" spans="10:10" x14ac:dyDescent="0.3">
      <c r="J11702" s="1"/>
    </row>
    <row r="11703" spans="10:10" x14ac:dyDescent="0.3">
      <c r="J11703" s="1"/>
    </row>
    <row r="11704" spans="10:10" x14ac:dyDescent="0.3">
      <c r="J11704" s="1"/>
    </row>
    <row r="11705" spans="10:10" x14ac:dyDescent="0.3">
      <c r="J11705" s="1"/>
    </row>
    <row r="11706" spans="10:10" x14ac:dyDescent="0.3">
      <c r="J11706" s="1"/>
    </row>
    <row r="11707" spans="10:10" x14ac:dyDescent="0.3">
      <c r="J11707" s="1"/>
    </row>
    <row r="11708" spans="10:10" x14ac:dyDescent="0.3">
      <c r="J11708" s="1"/>
    </row>
    <row r="11709" spans="10:10" x14ac:dyDescent="0.3">
      <c r="J11709" s="1"/>
    </row>
    <row r="11710" spans="10:10" x14ac:dyDescent="0.3">
      <c r="J11710" s="1"/>
    </row>
    <row r="11711" spans="10:10" x14ac:dyDescent="0.3">
      <c r="J11711" s="1"/>
    </row>
    <row r="11712" spans="10:10" x14ac:dyDescent="0.3">
      <c r="J11712" s="1"/>
    </row>
    <row r="11713" spans="10:10" x14ac:dyDescent="0.3">
      <c r="J11713" s="1"/>
    </row>
    <row r="11714" spans="10:10" x14ac:dyDescent="0.3">
      <c r="J11714" s="1"/>
    </row>
    <row r="11715" spans="10:10" x14ac:dyDescent="0.3">
      <c r="J11715" s="1"/>
    </row>
    <row r="11716" spans="10:10" x14ac:dyDescent="0.3">
      <c r="J11716" s="1"/>
    </row>
    <row r="11717" spans="10:10" x14ac:dyDescent="0.3">
      <c r="J11717" s="1"/>
    </row>
    <row r="11718" spans="10:10" x14ac:dyDescent="0.3">
      <c r="J11718" s="1"/>
    </row>
    <row r="11719" spans="10:10" x14ac:dyDescent="0.3">
      <c r="J11719" s="1"/>
    </row>
    <row r="11720" spans="10:10" x14ac:dyDescent="0.3">
      <c r="J11720" s="1"/>
    </row>
    <row r="11721" spans="10:10" x14ac:dyDescent="0.3">
      <c r="J11721" s="1"/>
    </row>
    <row r="11722" spans="10:10" x14ac:dyDescent="0.3">
      <c r="J11722" s="1"/>
    </row>
    <row r="11723" spans="10:10" x14ac:dyDescent="0.3">
      <c r="J11723" s="1"/>
    </row>
    <row r="11724" spans="10:10" x14ac:dyDescent="0.3">
      <c r="J11724" s="1"/>
    </row>
    <row r="11725" spans="10:10" x14ac:dyDescent="0.3">
      <c r="J11725" s="1"/>
    </row>
    <row r="11726" spans="10:10" x14ac:dyDescent="0.3">
      <c r="J11726" s="1"/>
    </row>
    <row r="11727" spans="10:10" x14ac:dyDescent="0.3">
      <c r="J11727" s="1"/>
    </row>
    <row r="11728" spans="10:10" x14ac:dyDescent="0.3">
      <c r="J11728" s="1"/>
    </row>
    <row r="11729" spans="10:10" x14ac:dyDescent="0.3">
      <c r="J11729" s="1"/>
    </row>
    <row r="11730" spans="10:10" x14ac:dyDescent="0.3">
      <c r="J11730" s="1"/>
    </row>
    <row r="11731" spans="10:10" x14ac:dyDescent="0.3">
      <c r="J11731" s="1"/>
    </row>
    <row r="11732" spans="10:10" x14ac:dyDescent="0.3">
      <c r="J11732" s="1"/>
    </row>
    <row r="11733" spans="10:10" x14ac:dyDescent="0.3">
      <c r="J11733" s="1"/>
    </row>
    <row r="11734" spans="10:10" x14ac:dyDescent="0.3">
      <c r="J11734" s="1"/>
    </row>
    <row r="11735" spans="10:10" x14ac:dyDescent="0.3">
      <c r="J11735" s="1"/>
    </row>
    <row r="11736" spans="10:10" x14ac:dyDescent="0.3">
      <c r="J11736" s="1"/>
    </row>
    <row r="11737" spans="10:10" x14ac:dyDescent="0.3">
      <c r="J11737" s="1"/>
    </row>
    <row r="11738" spans="10:10" x14ac:dyDescent="0.3">
      <c r="J11738" s="1"/>
    </row>
    <row r="11739" spans="10:10" x14ac:dyDescent="0.3">
      <c r="J11739" s="1"/>
    </row>
    <row r="11740" spans="10:10" x14ac:dyDescent="0.3">
      <c r="J11740" s="1"/>
    </row>
    <row r="11741" spans="10:10" x14ac:dyDescent="0.3">
      <c r="J11741" s="1"/>
    </row>
    <row r="11742" spans="10:10" x14ac:dyDescent="0.3">
      <c r="J11742" s="1"/>
    </row>
    <row r="11743" spans="10:10" x14ac:dyDescent="0.3">
      <c r="J11743" s="1"/>
    </row>
    <row r="11744" spans="10:10" x14ac:dyDescent="0.3">
      <c r="J11744" s="1"/>
    </row>
    <row r="11745" spans="10:10" x14ac:dyDescent="0.3">
      <c r="J11745" s="1"/>
    </row>
    <row r="11746" spans="10:10" x14ac:dyDescent="0.3">
      <c r="J11746" s="1"/>
    </row>
    <row r="11747" spans="10:10" x14ac:dyDescent="0.3">
      <c r="J11747" s="1"/>
    </row>
    <row r="11748" spans="10:10" x14ac:dyDescent="0.3">
      <c r="J11748" s="1"/>
    </row>
    <row r="11749" spans="10:10" x14ac:dyDescent="0.3">
      <c r="J11749" s="1"/>
    </row>
    <row r="11750" spans="10:10" x14ac:dyDescent="0.3">
      <c r="J11750" s="1"/>
    </row>
    <row r="11751" spans="10:10" x14ac:dyDescent="0.3">
      <c r="J11751" s="1"/>
    </row>
    <row r="11752" spans="10:10" x14ac:dyDescent="0.3">
      <c r="J11752" s="1"/>
    </row>
    <row r="11753" spans="10:10" x14ac:dyDescent="0.3">
      <c r="J11753" s="1"/>
    </row>
    <row r="11754" spans="10:10" x14ac:dyDescent="0.3">
      <c r="J11754" s="1"/>
    </row>
    <row r="11755" spans="10:10" x14ac:dyDescent="0.3">
      <c r="J11755" s="1"/>
    </row>
    <row r="11756" spans="10:10" x14ac:dyDescent="0.3">
      <c r="J11756" s="1"/>
    </row>
    <row r="11757" spans="10:10" x14ac:dyDescent="0.3">
      <c r="J11757" s="1"/>
    </row>
    <row r="11758" spans="10:10" x14ac:dyDescent="0.3">
      <c r="J11758" s="1"/>
    </row>
    <row r="11759" spans="10:10" x14ac:dyDescent="0.3">
      <c r="J11759" s="1"/>
    </row>
    <row r="11760" spans="10:10" x14ac:dyDescent="0.3">
      <c r="J11760" s="1"/>
    </row>
    <row r="11761" spans="10:10" x14ac:dyDescent="0.3">
      <c r="J11761" s="1"/>
    </row>
    <row r="11762" spans="10:10" x14ac:dyDescent="0.3">
      <c r="J11762" s="1"/>
    </row>
    <row r="11763" spans="10:10" x14ac:dyDescent="0.3">
      <c r="J11763" s="1"/>
    </row>
    <row r="11764" spans="10:10" x14ac:dyDescent="0.3">
      <c r="J11764" s="1"/>
    </row>
    <row r="11765" spans="10:10" x14ac:dyDescent="0.3">
      <c r="J11765" s="1"/>
    </row>
    <row r="11766" spans="10:10" x14ac:dyDescent="0.3">
      <c r="J11766" s="1"/>
    </row>
    <row r="11767" spans="10:10" x14ac:dyDescent="0.3">
      <c r="J11767" s="1"/>
    </row>
    <row r="11768" spans="10:10" x14ac:dyDescent="0.3">
      <c r="J11768" s="1"/>
    </row>
    <row r="11769" spans="10:10" x14ac:dyDescent="0.3">
      <c r="J11769" s="1"/>
    </row>
    <row r="11770" spans="10:10" x14ac:dyDescent="0.3">
      <c r="J11770" s="1"/>
    </row>
    <row r="11771" spans="10:10" x14ac:dyDescent="0.3">
      <c r="J11771" s="1"/>
    </row>
    <row r="11772" spans="10:10" x14ac:dyDescent="0.3">
      <c r="J11772" s="1"/>
    </row>
    <row r="11773" spans="10:10" x14ac:dyDescent="0.3">
      <c r="J11773" s="1"/>
    </row>
    <row r="11774" spans="10:10" x14ac:dyDescent="0.3">
      <c r="J11774" s="1"/>
    </row>
    <row r="11775" spans="10:10" x14ac:dyDescent="0.3">
      <c r="J11775" s="1"/>
    </row>
    <row r="11776" spans="10:10" x14ac:dyDescent="0.3">
      <c r="J11776" s="1"/>
    </row>
    <row r="11777" spans="10:10" x14ac:dyDescent="0.3">
      <c r="J11777" s="1"/>
    </row>
    <row r="11778" spans="10:10" x14ac:dyDescent="0.3">
      <c r="J11778" s="1"/>
    </row>
    <row r="11779" spans="10:10" x14ac:dyDescent="0.3">
      <c r="J11779" s="1"/>
    </row>
    <row r="11780" spans="10:10" x14ac:dyDescent="0.3">
      <c r="J11780" s="1"/>
    </row>
    <row r="11781" spans="10:10" x14ac:dyDescent="0.3">
      <c r="J11781" s="1"/>
    </row>
    <row r="11782" spans="10:10" x14ac:dyDescent="0.3">
      <c r="J11782" s="1"/>
    </row>
    <row r="11783" spans="10:10" x14ac:dyDescent="0.3">
      <c r="J11783" s="1"/>
    </row>
    <row r="11784" spans="10:10" x14ac:dyDescent="0.3">
      <c r="J11784" s="1"/>
    </row>
    <row r="11785" spans="10:10" x14ac:dyDescent="0.3">
      <c r="J11785" s="1"/>
    </row>
    <row r="11786" spans="10:10" x14ac:dyDescent="0.3">
      <c r="J11786" s="1"/>
    </row>
    <row r="11787" spans="10:10" x14ac:dyDescent="0.3">
      <c r="J11787" s="1"/>
    </row>
    <row r="11788" spans="10:10" x14ac:dyDescent="0.3">
      <c r="J11788" s="1"/>
    </row>
    <row r="11789" spans="10:10" x14ac:dyDescent="0.3">
      <c r="J11789" s="1"/>
    </row>
    <row r="11790" spans="10:10" x14ac:dyDescent="0.3">
      <c r="J11790" s="1"/>
    </row>
    <row r="11791" spans="10:10" x14ac:dyDescent="0.3">
      <c r="J11791" s="1"/>
    </row>
    <row r="11792" spans="10:10" x14ac:dyDescent="0.3">
      <c r="J11792" s="1"/>
    </row>
    <row r="11793" spans="10:10" x14ac:dyDescent="0.3">
      <c r="J11793" s="1"/>
    </row>
    <row r="11794" spans="10:10" x14ac:dyDescent="0.3">
      <c r="J11794" s="1"/>
    </row>
    <row r="11795" spans="10:10" x14ac:dyDescent="0.3">
      <c r="J11795" s="1"/>
    </row>
    <row r="11796" spans="10:10" x14ac:dyDescent="0.3">
      <c r="J11796" s="1"/>
    </row>
    <row r="11797" spans="10:10" x14ac:dyDescent="0.3">
      <c r="J11797" s="1"/>
    </row>
    <row r="11798" spans="10:10" x14ac:dyDescent="0.3">
      <c r="J11798" s="1"/>
    </row>
    <row r="11799" spans="10:10" x14ac:dyDescent="0.3">
      <c r="J11799" s="1"/>
    </row>
    <row r="11800" spans="10:10" x14ac:dyDescent="0.3">
      <c r="J11800" s="1"/>
    </row>
    <row r="11801" spans="10:10" x14ac:dyDescent="0.3">
      <c r="J11801" s="1"/>
    </row>
    <row r="11802" spans="10:10" x14ac:dyDescent="0.3">
      <c r="J11802" s="1"/>
    </row>
    <row r="11803" spans="10:10" x14ac:dyDescent="0.3">
      <c r="J11803" s="1"/>
    </row>
    <row r="11804" spans="10:10" x14ac:dyDescent="0.3">
      <c r="J11804" s="1"/>
    </row>
    <row r="11805" spans="10:10" x14ac:dyDescent="0.3">
      <c r="J11805" s="1"/>
    </row>
    <row r="11806" spans="10:10" x14ac:dyDescent="0.3">
      <c r="J11806" s="1"/>
    </row>
    <row r="11807" spans="10:10" x14ac:dyDescent="0.3">
      <c r="J11807" s="1"/>
    </row>
    <row r="11808" spans="10:10" x14ac:dyDescent="0.3">
      <c r="J11808" s="1"/>
    </row>
    <row r="11809" spans="10:10" x14ac:dyDescent="0.3">
      <c r="J11809" s="1"/>
    </row>
    <row r="11810" spans="10:10" x14ac:dyDescent="0.3">
      <c r="J11810" s="1"/>
    </row>
    <row r="11811" spans="10:10" x14ac:dyDescent="0.3">
      <c r="J11811" s="1"/>
    </row>
    <row r="11812" spans="10:10" x14ac:dyDescent="0.3">
      <c r="J11812" s="1"/>
    </row>
    <row r="11813" spans="10:10" x14ac:dyDescent="0.3">
      <c r="J11813" s="1"/>
    </row>
    <row r="11814" spans="10:10" x14ac:dyDescent="0.3">
      <c r="J11814" s="1"/>
    </row>
    <row r="11815" spans="10:10" x14ac:dyDescent="0.3">
      <c r="J11815" s="1"/>
    </row>
    <row r="11816" spans="10:10" x14ac:dyDescent="0.3">
      <c r="J11816" s="1"/>
    </row>
    <row r="11817" spans="10:10" x14ac:dyDescent="0.3">
      <c r="J11817" s="1"/>
    </row>
    <row r="11818" spans="10:10" x14ac:dyDescent="0.3">
      <c r="J11818" s="1"/>
    </row>
    <row r="11819" spans="10:10" x14ac:dyDescent="0.3">
      <c r="J11819" s="1"/>
    </row>
    <row r="11820" spans="10:10" x14ac:dyDescent="0.3">
      <c r="J11820" s="1"/>
    </row>
    <row r="11821" spans="10:10" x14ac:dyDescent="0.3">
      <c r="J11821" s="1"/>
    </row>
    <row r="11822" spans="10:10" x14ac:dyDescent="0.3">
      <c r="J11822" s="1"/>
    </row>
    <row r="11823" spans="10:10" x14ac:dyDescent="0.3">
      <c r="J11823" s="1"/>
    </row>
    <row r="11824" spans="10:10" x14ac:dyDescent="0.3">
      <c r="J11824" s="1"/>
    </row>
    <row r="11825" spans="10:10" x14ac:dyDescent="0.3">
      <c r="J11825" s="1"/>
    </row>
    <row r="11826" spans="10:10" x14ac:dyDescent="0.3">
      <c r="J11826" s="1"/>
    </row>
    <row r="11827" spans="10:10" x14ac:dyDescent="0.3">
      <c r="J11827" s="1"/>
    </row>
    <row r="11828" spans="10:10" x14ac:dyDescent="0.3">
      <c r="J11828" s="1"/>
    </row>
    <row r="11829" spans="10:10" x14ac:dyDescent="0.3">
      <c r="J11829" s="1"/>
    </row>
    <row r="11830" spans="10:10" x14ac:dyDescent="0.3">
      <c r="J11830" s="1"/>
    </row>
    <row r="11831" spans="10:10" x14ac:dyDescent="0.3">
      <c r="J11831" s="1"/>
    </row>
    <row r="11832" spans="10:10" x14ac:dyDescent="0.3">
      <c r="J11832" s="1"/>
    </row>
    <row r="11833" spans="10:10" x14ac:dyDescent="0.3">
      <c r="J11833" s="1"/>
    </row>
    <row r="11834" spans="10:10" x14ac:dyDescent="0.3">
      <c r="J11834" s="1"/>
    </row>
    <row r="11835" spans="10:10" x14ac:dyDescent="0.3">
      <c r="J11835" s="1"/>
    </row>
    <row r="11836" spans="10:10" x14ac:dyDescent="0.3">
      <c r="J11836" s="1"/>
    </row>
    <row r="11837" spans="10:10" x14ac:dyDescent="0.3">
      <c r="J11837" s="1"/>
    </row>
    <row r="11838" spans="10:10" x14ac:dyDescent="0.3">
      <c r="J11838" s="1"/>
    </row>
    <row r="11839" spans="10:10" x14ac:dyDescent="0.3">
      <c r="J11839" s="1"/>
    </row>
    <row r="11840" spans="10:10" x14ac:dyDescent="0.3">
      <c r="J11840" s="1"/>
    </row>
    <row r="11841" spans="10:10" x14ac:dyDescent="0.3">
      <c r="J11841" s="1"/>
    </row>
    <row r="11842" spans="10:10" x14ac:dyDescent="0.3">
      <c r="J11842" s="1"/>
    </row>
    <row r="11843" spans="10:10" x14ac:dyDescent="0.3">
      <c r="J11843" s="1"/>
    </row>
    <row r="11844" spans="10:10" x14ac:dyDescent="0.3">
      <c r="J11844" s="1"/>
    </row>
    <row r="11845" spans="10:10" x14ac:dyDescent="0.3">
      <c r="J11845" s="1"/>
    </row>
    <row r="11846" spans="10:10" x14ac:dyDescent="0.3">
      <c r="J11846" s="1"/>
    </row>
    <row r="11847" spans="10:10" x14ac:dyDescent="0.3">
      <c r="J11847" s="1"/>
    </row>
    <row r="11848" spans="10:10" x14ac:dyDescent="0.3">
      <c r="J11848" s="1"/>
    </row>
    <row r="11849" spans="10:10" x14ac:dyDescent="0.3">
      <c r="J11849" s="1"/>
    </row>
    <row r="11850" spans="10:10" x14ac:dyDescent="0.3">
      <c r="J11850" s="1"/>
    </row>
    <row r="11851" spans="10:10" x14ac:dyDescent="0.3">
      <c r="J11851" s="1"/>
    </row>
    <row r="11852" spans="10:10" x14ac:dyDescent="0.3">
      <c r="J11852" s="1"/>
    </row>
    <row r="11853" spans="10:10" x14ac:dyDescent="0.3">
      <c r="J11853" s="1"/>
    </row>
    <row r="11854" spans="10:10" x14ac:dyDescent="0.3">
      <c r="J11854" s="1"/>
    </row>
    <row r="11855" spans="10:10" x14ac:dyDescent="0.3">
      <c r="J11855" s="1"/>
    </row>
    <row r="11856" spans="10:10" x14ac:dyDescent="0.3">
      <c r="J11856" s="1"/>
    </row>
    <row r="11857" spans="10:10" x14ac:dyDescent="0.3">
      <c r="J11857" s="1"/>
    </row>
    <row r="11858" spans="10:10" x14ac:dyDescent="0.3">
      <c r="J11858" s="1"/>
    </row>
    <row r="11859" spans="10:10" x14ac:dyDescent="0.3">
      <c r="J11859" s="1"/>
    </row>
    <row r="11860" spans="10:10" x14ac:dyDescent="0.3">
      <c r="J11860" s="1"/>
    </row>
    <row r="11861" spans="10:10" x14ac:dyDescent="0.3">
      <c r="J11861" s="1"/>
    </row>
    <row r="11862" spans="10:10" x14ac:dyDescent="0.3">
      <c r="J11862" s="1"/>
    </row>
    <row r="11863" spans="10:10" x14ac:dyDescent="0.3">
      <c r="J11863" s="1"/>
    </row>
    <row r="11864" spans="10:10" x14ac:dyDescent="0.3">
      <c r="J11864" s="1"/>
    </row>
    <row r="11865" spans="10:10" x14ac:dyDescent="0.3">
      <c r="J11865" s="1"/>
    </row>
    <row r="11866" spans="10:10" x14ac:dyDescent="0.3">
      <c r="J11866" s="1"/>
    </row>
    <row r="11867" spans="10:10" x14ac:dyDescent="0.3">
      <c r="J11867" s="1"/>
    </row>
    <row r="11868" spans="10:10" x14ac:dyDescent="0.3">
      <c r="J11868" s="1"/>
    </row>
    <row r="11869" spans="10:10" x14ac:dyDescent="0.3">
      <c r="J11869" s="1"/>
    </row>
    <row r="11870" spans="10:10" x14ac:dyDescent="0.3">
      <c r="J11870" s="1"/>
    </row>
    <row r="11871" spans="10:10" x14ac:dyDescent="0.3">
      <c r="J11871" s="1"/>
    </row>
    <row r="11872" spans="10:10" x14ac:dyDescent="0.3">
      <c r="J11872" s="1"/>
    </row>
    <row r="11873" spans="10:10" x14ac:dyDescent="0.3">
      <c r="J11873" s="1"/>
    </row>
    <row r="11874" spans="10:10" x14ac:dyDescent="0.3">
      <c r="J11874" s="1"/>
    </row>
    <row r="11875" spans="10:10" x14ac:dyDescent="0.3">
      <c r="J11875" s="1"/>
    </row>
    <row r="11876" spans="10:10" x14ac:dyDescent="0.3">
      <c r="J11876" s="1"/>
    </row>
    <row r="11877" spans="10:10" x14ac:dyDescent="0.3">
      <c r="J11877" s="1"/>
    </row>
    <row r="11878" spans="10:10" x14ac:dyDescent="0.3">
      <c r="J11878" s="1"/>
    </row>
    <row r="11879" spans="10:10" x14ac:dyDescent="0.3">
      <c r="J11879" s="1"/>
    </row>
    <row r="11880" spans="10:10" x14ac:dyDescent="0.3">
      <c r="J11880" s="1"/>
    </row>
    <row r="11881" spans="10:10" x14ac:dyDescent="0.3">
      <c r="J11881" s="1"/>
    </row>
    <row r="11882" spans="10:10" x14ac:dyDescent="0.3">
      <c r="J11882" s="1"/>
    </row>
    <row r="11883" spans="10:10" x14ac:dyDescent="0.3">
      <c r="J11883" s="1"/>
    </row>
    <row r="11884" spans="10:10" x14ac:dyDescent="0.3">
      <c r="J11884" s="1"/>
    </row>
    <row r="11885" spans="10:10" x14ac:dyDescent="0.3">
      <c r="J11885" s="1"/>
    </row>
    <row r="11886" spans="10:10" x14ac:dyDescent="0.3">
      <c r="J11886" s="1"/>
    </row>
    <row r="11887" spans="10:10" x14ac:dyDescent="0.3">
      <c r="J11887" s="1"/>
    </row>
    <row r="11888" spans="10:10" x14ac:dyDescent="0.3">
      <c r="J11888" s="1"/>
    </row>
    <row r="11889" spans="10:10" x14ac:dyDescent="0.3">
      <c r="J11889" s="1"/>
    </row>
    <row r="11890" spans="10:10" x14ac:dyDescent="0.3">
      <c r="J11890" s="1"/>
    </row>
    <row r="11891" spans="10:10" x14ac:dyDescent="0.3">
      <c r="J11891" s="1"/>
    </row>
    <row r="11892" spans="10:10" x14ac:dyDescent="0.3">
      <c r="J11892" s="1"/>
    </row>
    <row r="11893" spans="10:10" x14ac:dyDescent="0.3">
      <c r="J11893" s="1"/>
    </row>
    <row r="11894" spans="10:10" x14ac:dyDescent="0.3">
      <c r="J11894" s="1"/>
    </row>
    <row r="11895" spans="10:10" x14ac:dyDescent="0.3">
      <c r="J11895" s="1"/>
    </row>
    <row r="11896" spans="10:10" x14ac:dyDescent="0.3">
      <c r="J11896" s="1"/>
    </row>
    <row r="11897" spans="10:10" x14ac:dyDescent="0.3">
      <c r="J11897" s="1"/>
    </row>
    <row r="11898" spans="10:10" x14ac:dyDescent="0.3">
      <c r="J11898" s="1"/>
    </row>
    <row r="11899" spans="10:10" x14ac:dyDescent="0.3">
      <c r="J11899" s="1"/>
    </row>
    <row r="11900" spans="10:10" x14ac:dyDescent="0.3">
      <c r="J11900" s="1"/>
    </row>
    <row r="11901" spans="10:10" x14ac:dyDescent="0.3">
      <c r="J11901" s="1"/>
    </row>
    <row r="11902" spans="10:10" x14ac:dyDescent="0.3">
      <c r="J11902" s="1"/>
    </row>
    <row r="11903" spans="10:10" x14ac:dyDescent="0.3">
      <c r="J11903" s="1"/>
    </row>
    <row r="11904" spans="10:10" x14ac:dyDescent="0.3">
      <c r="J11904" s="1"/>
    </row>
    <row r="11905" spans="10:10" x14ac:dyDescent="0.3">
      <c r="J11905" s="1"/>
    </row>
    <row r="11906" spans="10:10" x14ac:dyDescent="0.3">
      <c r="J11906" s="1"/>
    </row>
    <row r="11907" spans="10:10" x14ac:dyDescent="0.3">
      <c r="J11907" s="1"/>
    </row>
    <row r="11908" spans="10:10" x14ac:dyDescent="0.3">
      <c r="J11908" s="1"/>
    </row>
    <row r="11909" spans="10:10" x14ac:dyDescent="0.3">
      <c r="J11909" s="1"/>
    </row>
    <row r="11910" spans="10:10" x14ac:dyDescent="0.3">
      <c r="J11910" s="1"/>
    </row>
    <row r="11911" spans="10:10" x14ac:dyDescent="0.3">
      <c r="J11911" s="1"/>
    </row>
    <row r="11912" spans="10:10" x14ac:dyDescent="0.3">
      <c r="J11912" s="1"/>
    </row>
    <row r="11913" spans="10:10" x14ac:dyDescent="0.3">
      <c r="J11913" s="1"/>
    </row>
    <row r="11914" spans="10:10" x14ac:dyDescent="0.3">
      <c r="J11914" s="1"/>
    </row>
    <row r="11915" spans="10:10" x14ac:dyDescent="0.3">
      <c r="J11915" s="1"/>
    </row>
    <row r="11916" spans="10:10" x14ac:dyDescent="0.3">
      <c r="J11916" s="1"/>
    </row>
    <row r="11917" spans="10:10" x14ac:dyDescent="0.3">
      <c r="J11917" s="1"/>
    </row>
    <row r="11918" spans="10:10" x14ac:dyDescent="0.3">
      <c r="J11918" s="1"/>
    </row>
    <row r="11919" spans="10:10" x14ac:dyDescent="0.3">
      <c r="J11919" s="1"/>
    </row>
    <row r="11920" spans="10:10" x14ac:dyDescent="0.3">
      <c r="J11920" s="1"/>
    </row>
    <row r="11921" spans="10:10" x14ac:dyDescent="0.3">
      <c r="J11921" s="1"/>
    </row>
    <row r="11922" spans="10:10" x14ac:dyDescent="0.3">
      <c r="J11922" s="1"/>
    </row>
    <row r="11923" spans="10:10" x14ac:dyDescent="0.3">
      <c r="J11923" s="1"/>
    </row>
    <row r="11924" spans="10:10" x14ac:dyDescent="0.3">
      <c r="J11924" s="1"/>
    </row>
    <row r="11925" spans="10:10" x14ac:dyDescent="0.3">
      <c r="J11925" s="1"/>
    </row>
    <row r="11926" spans="10:10" x14ac:dyDescent="0.3">
      <c r="J11926" s="1"/>
    </row>
    <row r="11927" spans="10:10" x14ac:dyDescent="0.3">
      <c r="J11927" s="1"/>
    </row>
    <row r="11928" spans="10:10" x14ac:dyDescent="0.3">
      <c r="J11928" s="1"/>
    </row>
    <row r="11929" spans="10:10" x14ac:dyDescent="0.3">
      <c r="J11929" s="1"/>
    </row>
    <row r="11930" spans="10:10" x14ac:dyDescent="0.3">
      <c r="J11930" s="1"/>
    </row>
    <row r="11931" spans="10:10" x14ac:dyDescent="0.3">
      <c r="J11931" s="1"/>
    </row>
    <row r="11932" spans="10:10" x14ac:dyDescent="0.3">
      <c r="J11932" s="1"/>
    </row>
    <row r="11933" spans="10:10" x14ac:dyDescent="0.3">
      <c r="J11933" s="1"/>
    </row>
    <row r="11934" spans="10:10" x14ac:dyDescent="0.3">
      <c r="J11934" s="1"/>
    </row>
    <row r="11935" spans="10:10" x14ac:dyDescent="0.3">
      <c r="J11935" s="1"/>
    </row>
    <row r="11936" spans="10:10" x14ac:dyDescent="0.3">
      <c r="J11936" s="1"/>
    </row>
    <row r="11937" spans="10:10" x14ac:dyDescent="0.3">
      <c r="J11937" s="1"/>
    </row>
    <row r="11938" spans="10:10" x14ac:dyDescent="0.3">
      <c r="J11938" s="1"/>
    </row>
    <row r="11939" spans="10:10" x14ac:dyDescent="0.3">
      <c r="J11939" s="1"/>
    </row>
    <row r="11940" spans="10:10" x14ac:dyDescent="0.3">
      <c r="J11940" s="1"/>
    </row>
    <row r="11941" spans="10:10" x14ac:dyDescent="0.3">
      <c r="J11941" s="1"/>
    </row>
    <row r="11942" spans="10:10" x14ac:dyDescent="0.3">
      <c r="J11942" s="1"/>
    </row>
    <row r="11943" spans="10:10" x14ac:dyDescent="0.3">
      <c r="J11943" s="1"/>
    </row>
    <row r="11944" spans="10:10" x14ac:dyDescent="0.3">
      <c r="J11944" s="1"/>
    </row>
    <row r="11945" spans="10:10" x14ac:dyDescent="0.3">
      <c r="J11945" s="1"/>
    </row>
    <row r="11946" spans="10:10" x14ac:dyDescent="0.3">
      <c r="J11946" s="1"/>
    </row>
    <row r="11947" spans="10:10" x14ac:dyDescent="0.3">
      <c r="J11947" s="1"/>
    </row>
    <row r="11948" spans="10:10" x14ac:dyDescent="0.3">
      <c r="J11948" s="1"/>
    </row>
    <row r="11949" spans="10:10" x14ac:dyDescent="0.3">
      <c r="J11949" s="1"/>
    </row>
    <row r="11950" spans="10:10" x14ac:dyDescent="0.3">
      <c r="J11950" s="1"/>
    </row>
    <row r="11951" spans="10:10" x14ac:dyDescent="0.3">
      <c r="J11951" s="1"/>
    </row>
    <row r="11952" spans="10:10" x14ac:dyDescent="0.3">
      <c r="J11952" s="1"/>
    </row>
    <row r="11953" spans="10:10" x14ac:dyDescent="0.3">
      <c r="J11953" s="1"/>
    </row>
    <row r="11954" spans="10:10" x14ac:dyDescent="0.3">
      <c r="J11954" s="1"/>
    </row>
    <row r="11955" spans="10:10" x14ac:dyDescent="0.3">
      <c r="J11955" s="1"/>
    </row>
    <row r="11956" spans="10:10" x14ac:dyDescent="0.3">
      <c r="J11956" s="1"/>
    </row>
    <row r="11957" spans="10:10" x14ac:dyDescent="0.3">
      <c r="J11957" s="1"/>
    </row>
    <row r="11958" spans="10:10" x14ac:dyDescent="0.3">
      <c r="J11958" s="1"/>
    </row>
    <row r="11959" spans="10:10" x14ac:dyDescent="0.3">
      <c r="J11959" s="1"/>
    </row>
    <row r="11960" spans="10:10" x14ac:dyDescent="0.3">
      <c r="J11960" s="1"/>
    </row>
    <row r="11961" spans="10:10" x14ac:dyDescent="0.3">
      <c r="J11961" s="1"/>
    </row>
    <row r="11962" spans="10:10" x14ac:dyDescent="0.3">
      <c r="J11962" s="1"/>
    </row>
    <row r="11963" spans="10:10" x14ac:dyDescent="0.3">
      <c r="J11963" s="1"/>
    </row>
    <row r="11964" spans="10:10" x14ac:dyDescent="0.3">
      <c r="J11964" s="1"/>
    </row>
    <row r="11965" spans="10:10" x14ac:dyDescent="0.3">
      <c r="J11965" s="1"/>
    </row>
    <row r="11966" spans="10:10" x14ac:dyDescent="0.3">
      <c r="J11966" s="1"/>
    </row>
    <row r="11967" spans="10:10" x14ac:dyDescent="0.3">
      <c r="J11967" s="1"/>
    </row>
    <row r="11968" spans="10:10" x14ac:dyDescent="0.3">
      <c r="J11968" s="1"/>
    </row>
    <row r="11969" spans="10:10" x14ac:dyDescent="0.3">
      <c r="J11969" s="1"/>
    </row>
    <row r="11970" spans="10:10" x14ac:dyDescent="0.3">
      <c r="J11970" s="1"/>
    </row>
    <row r="11971" spans="10:10" x14ac:dyDescent="0.3">
      <c r="J11971" s="1"/>
    </row>
    <row r="11972" spans="10:10" x14ac:dyDescent="0.3">
      <c r="J11972" s="1"/>
    </row>
    <row r="11973" spans="10:10" x14ac:dyDescent="0.3">
      <c r="J11973" s="1"/>
    </row>
    <row r="11974" spans="10:10" x14ac:dyDescent="0.3">
      <c r="J11974" s="1"/>
    </row>
    <row r="11975" spans="10:10" x14ac:dyDescent="0.3">
      <c r="J11975" s="1"/>
    </row>
    <row r="11976" spans="10:10" x14ac:dyDescent="0.3">
      <c r="J11976" s="1"/>
    </row>
    <row r="11977" spans="10:10" x14ac:dyDescent="0.3">
      <c r="J11977" s="1"/>
    </row>
    <row r="11978" spans="10:10" x14ac:dyDescent="0.3">
      <c r="J11978" s="1"/>
    </row>
    <row r="11979" spans="10:10" x14ac:dyDescent="0.3">
      <c r="J11979" s="1"/>
    </row>
    <row r="11980" spans="10:10" x14ac:dyDescent="0.3">
      <c r="J11980" s="1"/>
    </row>
    <row r="11981" spans="10:10" x14ac:dyDescent="0.3">
      <c r="J11981" s="1"/>
    </row>
    <row r="11982" spans="10:10" x14ac:dyDescent="0.3">
      <c r="J11982" s="1"/>
    </row>
    <row r="11983" spans="10:10" x14ac:dyDescent="0.3">
      <c r="J11983" s="1"/>
    </row>
    <row r="11984" spans="10:10" x14ac:dyDescent="0.3">
      <c r="J11984" s="1"/>
    </row>
    <row r="11985" spans="10:10" x14ac:dyDescent="0.3">
      <c r="J11985" s="1"/>
    </row>
    <row r="11986" spans="10:10" x14ac:dyDescent="0.3">
      <c r="J11986" s="1"/>
    </row>
    <row r="11987" spans="10:10" x14ac:dyDescent="0.3">
      <c r="J11987" s="1"/>
    </row>
    <row r="11988" spans="10:10" x14ac:dyDescent="0.3">
      <c r="J11988" s="1"/>
    </row>
    <row r="11989" spans="10:10" x14ac:dyDescent="0.3">
      <c r="J11989" s="1"/>
    </row>
    <row r="11990" spans="10:10" x14ac:dyDescent="0.3">
      <c r="J11990" s="1"/>
    </row>
    <row r="11991" spans="10:10" x14ac:dyDescent="0.3">
      <c r="J11991" s="1"/>
    </row>
    <row r="11992" spans="10:10" x14ac:dyDescent="0.3">
      <c r="J11992" s="1"/>
    </row>
    <row r="11993" spans="10:10" x14ac:dyDescent="0.3">
      <c r="J11993" s="1"/>
    </row>
    <row r="11994" spans="10:10" x14ac:dyDescent="0.3">
      <c r="J11994" s="1"/>
    </row>
    <row r="11995" spans="10:10" x14ac:dyDescent="0.3">
      <c r="J11995" s="1"/>
    </row>
    <row r="11996" spans="10:10" x14ac:dyDescent="0.3">
      <c r="J11996" s="1"/>
    </row>
    <row r="11997" spans="10:10" x14ac:dyDescent="0.3">
      <c r="J11997" s="1"/>
    </row>
    <row r="11998" spans="10:10" x14ac:dyDescent="0.3">
      <c r="J11998" s="1"/>
    </row>
    <row r="11999" spans="10:10" x14ac:dyDescent="0.3">
      <c r="J11999" s="1"/>
    </row>
    <row r="12000" spans="10:10" x14ac:dyDescent="0.3">
      <c r="J12000" s="1"/>
    </row>
    <row r="12001" spans="10:10" x14ac:dyDescent="0.3">
      <c r="J12001" s="1"/>
    </row>
    <row r="12002" spans="10:10" x14ac:dyDescent="0.3">
      <c r="J12002" s="1"/>
    </row>
    <row r="12003" spans="10:10" x14ac:dyDescent="0.3">
      <c r="J12003" s="1"/>
    </row>
    <row r="12004" spans="10:10" x14ac:dyDescent="0.3">
      <c r="J12004" s="1"/>
    </row>
    <row r="12005" spans="10:10" x14ac:dyDescent="0.3">
      <c r="J12005" s="1"/>
    </row>
    <row r="12006" spans="10:10" x14ac:dyDescent="0.3">
      <c r="J12006" s="1"/>
    </row>
    <row r="12007" spans="10:10" x14ac:dyDescent="0.3">
      <c r="J12007" s="1"/>
    </row>
    <row r="12008" spans="10:10" x14ac:dyDescent="0.3">
      <c r="J12008" s="1"/>
    </row>
    <row r="12009" spans="10:10" x14ac:dyDescent="0.3">
      <c r="J12009" s="1"/>
    </row>
    <row r="12010" spans="10:10" x14ac:dyDescent="0.3">
      <c r="J12010" s="1"/>
    </row>
    <row r="12011" spans="10:10" x14ac:dyDescent="0.3">
      <c r="J12011" s="1"/>
    </row>
    <row r="12012" spans="10:10" x14ac:dyDescent="0.3">
      <c r="J12012" s="1"/>
    </row>
    <row r="12013" spans="10:10" x14ac:dyDescent="0.3">
      <c r="J12013" s="1"/>
    </row>
    <row r="12014" spans="10:10" x14ac:dyDescent="0.3">
      <c r="J12014" s="1"/>
    </row>
    <row r="12015" spans="10:10" x14ac:dyDescent="0.3">
      <c r="J12015" s="1"/>
    </row>
    <row r="12016" spans="10:10" x14ac:dyDescent="0.3">
      <c r="J12016" s="1"/>
    </row>
    <row r="12017" spans="10:10" x14ac:dyDescent="0.3">
      <c r="J12017" s="1"/>
    </row>
    <row r="12018" spans="10:10" x14ac:dyDescent="0.3">
      <c r="J12018" s="1"/>
    </row>
    <row r="12019" spans="10:10" x14ac:dyDescent="0.3">
      <c r="J12019" s="1"/>
    </row>
    <row r="12020" spans="10:10" x14ac:dyDescent="0.3">
      <c r="J12020" s="1"/>
    </row>
    <row r="12021" spans="10:10" x14ac:dyDescent="0.3">
      <c r="J12021" s="1"/>
    </row>
    <row r="12022" spans="10:10" x14ac:dyDescent="0.3">
      <c r="J12022" s="1"/>
    </row>
    <row r="12023" spans="10:10" x14ac:dyDescent="0.3">
      <c r="J12023" s="1"/>
    </row>
    <row r="12024" spans="10:10" x14ac:dyDescent="0.3">
      <c r="J12024" s="1"/>
    </row>
    <row r="12025" spans="10:10" x14ac:dyDescent="0.3">
      <c r="J12025" s="1"/>
    </row>
    <row r="12026" spans="10:10" x14ac:dyDescent="0.3">
      <c r="J12026" s="1"/>
    </row>
    <row r="12027" spans="10:10" x14ac:dyDescent="0.3">
      <c r="J12027" s="1"/>
    </row>
    <row r="12028" spans="10:10" x14ac:dyDescent="0.3">
      <c r="J12028" s="1"/>
    </row>
    <row r="12029" spans="10:10" x14ac:dyDescent="0.3">
      <c r="J12029" s="1"/>
    </row>
    <row r="12030" spans="10:10" x14ac:dyDescent="0.3">
      <c r="J12030" s="1"/>
    </row>
    <row r="12031" spans="10:10" x14ac:dyDescent="0.3">
      <c r="J12031" s="1"/>
    </row>
    <row r="12032" spans="10:10" x14ac:dyDescent="0.3">
      <c r="J12032" s="1"/>
    </row>
    <row r="12033" spans="10:10" x14ac:dyDescent="0.3">
      <c r="J12033" s="1"/>
    </row>
    <row r="12034" spans="10:10" x14ac:dyDescent="0.3">
      <c r="J12034" s="1"/>
    </row>
    <row r="12035" spans="10:10" x14ac:dyDescent="0.3">
      <c r="J12035" s="1"/>
    </row>
    <row r="12036" spans="10:10" x14ac:dyDescent="0.3">
      <c r="J12036" s="1"/>
    </row>
    <row r="12037" spans="10:10" x14ac:dyDescent="0.3">
      <c r="J12037" s="1"/>
    </row>
    <row r="12038" spans="10:10" x14ac:dyDescent="0.3">
      <c r="J12038" s="1"/>
    </row>
    <row r="12039" spans="10:10" x14ac:dyDescent="0.3">
      <c r="J12039" s="1"/>
    </row>
    <row r="12040" spans="10:10" x14ac:dyDescent="0.3">
      <c r="J12040" s="1"/>
    </row>
    <row r="12041" spans="10:10" x14ac:dyDescent="0.3">
      <c r="J12041" s="1"/>
    </row>
    <row r="12042" spans="10:10" x14ac:dyDescent="0.3">
      <c r="J12042" s="1"/>
    </row>
    <row r="12043" spans="10:10" x14ac:dyDescent="0.3">
      <c r="J12043" s="1"/>
    </row>
    <row r="12044" spans="10:10" x14ac:dyDescent="0.3">
      <c r="J12044" s="1"/>
    </row>
    <row r="12045" spans="10:10" x14ac:dyDescent="0.3">
      <c r="J12045" s="1"/>
    </row>
    <row r="12046" spans="10:10" x14ac:dyDescent="0.3">
      <c r="J12046" s="1"/>
    </row>
    <row r="12047" spans="10:10" x14ac:dyDescent="0.3">
      <c r="J12047" s="1"/>
    </row>
    <row r="12048" spans="10:10" x14ac:dyDescent="0.3">
      <c r="J12048" s="1"/>
    </row>
    <row r="12049" spans="10:10" x14ac:dyDescent="0.3">
      <c r="J12049" s="1"/>
    </row>
    <row r="12050" spans="10:10" x14ac:dyDescent="0.3">
      <c r="J12050" s="1"/>
    </row>
    <row r="12051" spans="10:10" x14ac:dyDescent="0.3">
      <c r="J12051" s="1"/>
    </row>
    <row r="12052" spans="10:10" x14ac:dyDescent="0.3">
      <c r="J12052" s="1"/>
    </row>
    <row r="12053" spans="10:10" x14ac:dyDescent="0.3">
      <c r="J12053" s="1"/>
    </row>
    <row r="12054" spans="10:10" x14ac:dyDescent="0.3">
      <c r="J12054" s="1"/>
    </row>
    <row r="12055" spans="10:10" x14ac:dyDescent="0.3">
      <c r="J12055" s="1"/>
    </row>
    <row r="12056" spans="10:10" x14ac:dyDescent="0.3">
      <c r="J12056" s="1"/>
    </row>
    <row r="12057" spans="10:10" x14ac:dyDescent="0.3">
      <c r="J12057" s="1"/>
    </row>
    <row r="12058" spans="10:10" x14ac:dyDescent="0.3">
      <c r="J12058" s="1"/>
    </row>
    <row r="12059" spans="10:10" x14ac:dyDescent="0.3">
      <c r="J12059" s="1"/>
    </row>
    <row r="12060" spans="10:10" x14ac:dyDescent="0.3">
      <c r="J12060" s="1"/>
    </row>
    <row r="12061" spans="10:10" x14ac:dyDescent="0.3">
      <c r="J12061" s="1"/>
    </row>
    <row r="12062" spans="10:10" x14ac:dyDescent="0.3">
      <c r="J12062" s="1"/>
    </row>
    <row r="12063" spans="10:10" x14ac:dyDescent="0.3">
      <c r="J12063" s="1"/>
    </row>
    <row r="12064" spans="10:10" x14ac:dyDescent="0.3">
      <c r="J12064" s="1"/>
    </row>
    <row r="12065" spans="10:10" x14ac:dyDescent="0.3">
      <c r="J12065" s="1"/>
    </row>
    <row r="12066" spans="10:10" x14ac:dyDescent="0.3">
      <c r="J12066" s="1"/>
    </row>
    <row r="12067" spans="10:10" x14ac:dyDescent="0.3">
      <c r="J12067" s="1"/>
    </row>
    <row r="12068" spans="10:10" x14ac:dyDescent="0.3">
      <c r="J12068" s="1"/>
    </row>
    <row r="12069" spans="10:10" x14ac:dyDescent="0.3">
      <c r="J12069" s="1"/>
    </row>
    <row r="12070" spans="10:10" x14ac:dyDescent="0.3">
      <c r="J12070" s="1"/>
    </row>
    <row r="12071" spans="10:10" x14ac:dyDescent="0.3">
      <c r="J12071" s="1"/>
    </row>
    <row r="12072" spans="10:10" x14ac:dyDescent="0.3">
      <c r="J12072" s="1"/>
    </row>
    <row r="12073" spans="10:10" x14ac:dyDescent="0.3">
      <c r="J12073" s="1"/>
    </row>
    <row r="12074" spans="10:10" x14ac:dyDescent="0.3">
      <c r="J12074" s="1"/>
    </row>
    <row r="12075" spans="10:10" x14ac:dyDescent="0.3">
      <c r="J12075" s="1"/>
    </row>
    <row r="12076" spans="10:10" x14ac:dyDescent="0.3">
      <c r="J12076" s="1"/>
    </row>
    <row r="12077" spans="10:10" x14ac:dyDescent="0.3">
      <c r="J12077" s="1"/>
    </row>
    <row r="12078" spans="10:10" x14ac:dyDescent="0.3">
      <c r="J12078" s="1"/>
    </row>
    <row r="12079" spans="10:10" x14ac:dyDescent="0.3">
      <c r="J12079" s="1"/>
    </row>
    <row r="12080" spans="10:10" x14ac:dyDescent="0.3">
      <c r="J12080" s="1"/>
    </row>
    <row r="12081" spans="10:10" x14ac:dyDescent="0.3">
      <c r="J12081" s="1"/>
    </row>
    <row r="12082" spans="10:10" x14ac:dyDescent="0.3">
      <c r="J12082" s="1"/>
    </row>
    <row r="12083" spans="10:10" x14ac:dyDescent="0.3">
      <c r="J12083" s="1"/>
    </row>
    <row r="12084" spans="10:10" x14ac:dyDescent="0.3">
      <c r="J12084" s="1"/>
    </row>
    <row r="12085" spans="10:10" x14ac:dyDescent="0.3">
      <c r="J12085" s="1"/>
    </row>
    <row r="12086" spans="10:10" x14ac:dyDescent="0.3">
      <c r="J12086" s="1"/>
    </row>
    <row r="12087" spans="10:10" x14ac:dyDescent="0.3">
      <c r="J12087" s="1"/>
    </row>
    <row r="12088" spans="10:10" x14ac:dyDescent="0.3">
      <c r="J12088" s="1"/>
    </row>
    <row r="12089" spans="10:10" x14ac:dyDescent="0.3">
      <c r="J12089" s="1"/>
    </row>
    <row r="12090" spans="10:10" x14ac:dyDescent="0.3">
      <c r="J12090" s="1"/>
    </row>
    <row r="12091" spans="10:10" x14ac:dyDescent="0.3">
      <c r="J12091" s="1"/>
    </row>
    <row r="12092" spans="10:10" x14ac:dyDescent="0.3">
      <c r="J12092" s="1"/>
    </row>
    <row r="12093" spans="10:10" x14ac:dyDescent="0.3">
      <c r="J12093" s="1"/>
    </row>
    <row r="12094" spans="10:10" x14ac:dyDescent="0.3">
      <c r="J12094" s="1"/>
    </row>
    <row r="12095" spans="10:10" x14ac:dyDescent="0.3">
      <c r="J12095" s="1"/>
    </row>
    <row r="12096" spans="10:10" x14ac:dyDescent="0.3">
      <c r="J12096" s="1"/>
    </row>
    <row r="12097" spans="10:10" x14ac:dyDescent="0.3">
      <c r="J12097" s="1"/>
    </row>
    <row r="12098" spans="10:10" x14ac:dyDescent="0.3">
      <c r="J12098" s="1"/>
    </row>
    <row r="12099" spans="10:10" x14ac:dyDescent="0.3">
      <c r="J12099" s="1"/>
    </row>
    <row r="12100" spans="10:10" x14ac:dyDescent="0.3">
      <c r="J12100" s="1"/>
    </row>
    <row r="12101" spans="10:10" x14ac:dyDescent="0.3">
      <c r="J12101" s="1"/>
    </row>
    <row r="12102" spans="10:10" x14ac:dyDescent="0.3">
      <c r="J12102" s="1"/>
    </row>
    <row r="12103" spans="10:10" x14ac:dyDescent="0.3">
      <c r="J12103" s="1"/>
    </row>
    <row r="12104" spans="10:10" x14ac:dyDescent="0.3">
      <c r="J12104" s="1"/>
    </row>
    <row r="12105" spans="10:10" x14ac:dyDescent="0.3">
      <c r="J12105" s="1"/>
    </row>
    <row r="12106" spans="10:10" x14ac:dyDescent="0.3">
      <c r="J12106" s="1"/>
    </row>
    <row r="12107" spans="10:10" x14ac:dyDescent="0.3">
      <c r="J12107" s="1"/>
    </row>
    <row r="12108" spans="10:10" x14ac:dyDescent="0.3">
      <c r="J12108" s="1"/>
    </row>
    <row r="12109" spans="10:10" x14ac:dyDescent="0.3">
      <c r="J12109" s="1"/>
    </row>
    <row r="12110" spans="10:10" x14ac:dyDescent="0.3">
      <c r="J12110" s="1"/>
    </row>
    <row r="12111" spans="10:10" x14ac:dyDescent="0.3">
      <c r="J12111" s="1"/>
    </row>
    <row r="12112" spans="10:10" x14ac:dyDescent="0.3">
      <c r="J12112" s="1"/>
    </row>
    <row r="12113" spans="10:10" x14ac:dyDescent="0.3">
      <c r="J12113" s="1"/>
    </row>
    <row r="12114" spans="10:10" x14ac:dyDescent="0.3">
      <c r="J12114" s="1"/>
    </row>
    <row r="12115" spans="10:10" x14ac:dyDescent="0.3">
      <c r="J12115" s="1"/>
    </row>
    <row r="12116" spans="10:10" x14ac:dyDescent="0.3">
      <c r="J12116" s="1"/>
    </row>
    <row r="12117" spans="10:10" x14ac:dyDescent="0.3">
      <c r="J12117" s="1"/>
    </row>
    <row r="12118" spans="10:10" x14ac:dyDescent="0.3">
      <c r="J12118" s="1"/>
    </row>
    <row r="12119" spans="10:10" x14ac:dyDescent="0.3">
      <c r="J12119" s="1"/>
    </row>
    <row r="12120" spans="10:10" x14ac:dyDescent="0.3">
      <c r="J12120" s="1"/>
    </row>
    <row r="12121" spans="10:10" x14ac:dyDescent="0.3">
      <c r="J12121" s="1"/>
    </row>
    <row r="12122" spans="10:10" x14ac:dyDescent="0.3">
      <c r="J12122" s="1"/>
    </row>
    <row r="12123" spans="10:10" x14ac:dyDescent="0.3">
      <c r="J12123" s="1"/>
    </row>
    <row r="12124" spans="10:10" x14ac:dyDescent="0.3">
      <c r="J12124" s="1"/>
    </row>
    <row r="12125" spans="10:10" x14ac:dyDescent="0.3">
      <c r="J12125" s="1"/>
    </row>
    <row r="12126" spans="10:10" x14ac:dyDescent="0.3">
      <c r="J12126" s="1"/>
    </row>
    <row r="12127" spans="10:10" x14ac:dyDescent="0.3">
      <c r="J12127" s="1"/>
    </row>
    <row r="12128" spans="10:10" x14ac:dyDescent="0.3">
      <c r="J12128" s="1"/>
    </row>
    <row r="12129" spans="10:10" x14ac:dyDescent="0.3">
      <c r="J12129" s="1"/>
    </row>
    <row r="12130" spans="10:10" x14ac:dyDescent="0.3">
      <c r="J12130" s="1"/>
    </row>
    <row r="12131" spans="10:10" x14ac:dyDescent="0.3">
      <c r="J12131" s="1"/>
    </row>
    <row r="12132" spans="10:10" x14ac:dyDescent="0.3">
      <c r="J12132" s="1"/>
    </row>
    <row r="12133" spans="10:10" x14ac:dyDescent="0.3">
      <c r="J12133" s="1"/>
    </row>
    <row r="12134" spans="10:10" x14ac:dyDescent="0.3">
      <c r="J12134" s="1"/>
    </row>
    <row r="12135" spans="10:10" x14ac:dyDescent="0.3">
      <c r="J12135" s="1"/>
    </row>
    <row r="12136" spans="10:10" x14ac:dyDescent="0.3">
      <c r="J12136" s="1"/>
    </row>
    <row r="12137" spans="10:10" x14ac:dyDescent="0.3">
      <c r="J12137" s="1"/>
    </row>
    <row r="12138" spans="10:10" x14ac:dyDescent="0.3">
      <c r="J12138" s="1"/>
    </row>
    <row r="12139" spans="10:10" x14ac:dyDescent="0.3">
      <c r="J12139" s="1"/>
    </row>
    <row r="12140" spans="10:10" x14ac:dyDescent="0.3">
      <c r="J12140" s="1"/>
    </row>
    <row r="12141" spans="10:10" x14ac:dyDescent="0.3">
      <c r="J12141" s="1"/>
    </row>
    <row r="12142" spans="10:10" x14ac:dyDescent="0.3">
      <c r="J12142" s="1"/>
    </row>
    <row r="12143" spans="10:10" x14ac:dyDescent="0.3">
      <c r="J12143" s="1"/>
    </row>
    <row r="12144" spans="10:10" x14ac:dyDescent="0.3">
      <c r="J12144" s="1"/>
    </row>
    <row r="12145" spans="10:10" x14ac:dyDescent="0.3">
      <c r="J12145" s="1"/>
    </row>
    <row r="12146" spans="10:10" x14ac:dyDescent="0.3">
      <c r="J12146" s="1"/>
    </row>
    <row r="12147" spans="10:10" x14ac:dyDescent="0.3">
      <c r="J12147" s="1"/>
    </row>
    <row r="12148" spans="10:10" x14ac:dyDescent="0.3">
      <c r="J12148" s="1"/>
    </row>
    <row r="12149" spans="10:10" x14ac:dyDescent="0.3">
      <c r="J12149" s="1"/>
    </row>
    <row r="12150" spans="10:10" x14ac:dyDescent="0.3">
      <c r="J12150" s="1"/>
    </row>
    <row r="12151" spans="10:10" x14ac:dyDescent="0.3">
      <c r="J12151" s="1"/>
    </row>
    <row r="12152" spans="10:10" x14ac:dyDescent="0.3">
      <c r="J12152" s="1"/>
    </row>
    <row r="12153" spans="10:10" x14ac:dyDescent="0.3">
      <c r="J12153" s="1"/>
    </row>
    <row r="12154" spans="10:10" x14ac:dyDescent="0.3">
      <c r="J12154" s="1"/>
    </row>
    <row r="12155" spans="10:10" x14ac:dyDescent="0.3">
      <c r="J12155" s="1"/>
    </row>
    <row r="12156" spans="10:10" x14ac:dyDescent="0.3">
      <c r="J12156" s="1"/>
    </row>
    <row r="12157" spans="10:10" x14ac:dyDescent="0.3">
      <c r="J12157" s="1"/>
    </row>
    <row r="12158" spans="10:10" x14ac:dyDescent="0.3">
      <c r="J12158" s="1"/>
    </row>
    <row r="12159" spans="10:10" x14ac:dyDescent="0.3">
      <c r="J12159" s="1"/>
    </row>
    <row r="12160" spans="10:10" x14ac:dyDescent="0.3">
      <c r="J12160" s="1"/>
    </row>
    <row r="12161" spans="10:10" x14ac:dyDescent="0.3">
      <c r="J12161" s="1"/>
    </row>
    <row r="12162" spans="10:10" x14ac:dyDescent="0.3">
      <c r="J12162" s="1"/>
    </row>
    <row r="12163" spans="10:10" x14ac:dyDescent="0.3">
      <c r="J12163" s="1"/>
    </row>
    <row r="12164" spans="10:10" x14ac:dyDescent="0.3">
      <c r="J12164" s="1"/>
    </row>
    <row r="12165" spans="10:10" x14ac:dyDescent="0.3">
      <c r="J12165" s="1"/>
    </row>
    <row r="12166" spans="10:10" x14ac:dyDescent="0.3">
      <c r="J12166" s="1"/>
    </row>
    <row r="12167" spans="10:10" x14ac:dyDescent="0.3">
      <c r="J12167" s="1"/>
    </row>
    <row r="12168" spans="10:10" x14ac:dyDescent="0.3">
      <c r="J12168" s="1"/>
    </row>
    <row r="12169" spans="10:10" x14ac:dyDescent="0.3">
      <c r="J12169" s="1"/>
    </row>
    <row r="12170" spans="10:10" x14ac:dyDescent="0.3">
      <c r="J12170" s="1"/>
    </row>
    <row r="12171" spans="10:10" x14ac:dyDescent="0.3">
      <c r="J12171" s="1"/>
    </row>
    <row r="12172" spans="10:10" x14ac:dyDescent="0.3">
      <c r="J12172" s="1"/>
    </row>
    <row r="12173" spans="10:10" x14ac:dyDescent="0.3">
      <c r="J12173" s="1"/>
    </row>
    <row r="12174" spans="10:10" x14ac:dyDescent="0.3">
      <c r="J12174" s="1"/>
    </row>
    <row r="12175" spans="10:10" x14ac:dyDescent="0.3">
      <c r="J12175" s="1"/>
    </row>
    <row r="12176" spans="10:10" x14ac:dyDescent="0.3">
      <c r="J12176" s="1"/>
    </row>
    <row r="12177" spans="10:10" x14ac:dyDescent="0.3">
      <c r="J12177" s="1"/>
    </row>
    <row r="12178" spans="10:10" x14ac:dyDescent="0.3">
      <c r="J12178" s="1"/>
    </row>
    <row r="12179" spans="10:10" x14ac:dyDescent="0.3">
      <c r="J12179" s="1"/>
    </row>
    <row r="12180" spans="10:10" x14ac:dyDescent="0.3">
      <c r="J12180" s="1"/>
    </row>
    <row r="12181" spans="10:10" x14ac:dyDescent="0.3">
      <c r="J12181" s="1"/>
    </row>
    <row r="12182" spans="10:10" x14ac:dyDescent="0.3">
      <c r="J12182" s="1"/>
    </row>
    <row r="12183" spans="10:10" x14ac:dyDescent="0.3">
      <c r="J12183" s="1"/>
    </row>
    <row r="12184" spans="10:10" x14ac:dyDescent="0.3">
      <c r="J12184" s="1"/>
    </row>
    <row r="12185" spans="10:10" x14ac:dyDescent="0.3">
      <c r="J12185" s="1"/>
    </row>
    <row r="12186" spans="10:10" x14ac:dyDescent="0.3">
      <c r="J12186" s="1"/>
    </row>
    <row r="12187" spans="10:10" x14ac:dyDescent="0.3">
      <c r="J12187" s="1"/>
    </row>
    <row r="12188" spans="10:10" x14ac:dyDescent="0.3">
      <c r="J12188" s="1"/>
    </row>
    <row r="12189" spans="10:10" x14ac:dyDescent="0.3">
      <c r="J12189" s="1"/>
    </row>
    <row r="12190" spans="10:10" x14ac:dyDescent="0.3">
      <c r="J12190" s="1"/>
    </row>
    <row r="12191" spans="10:10" x14ac:dyDescent="0.3">
      <c r="J12191" s="1"/>
    </row>
    <row r="12192" spans="10:10" x14ac:dyDescent="0.3">
      <c r="J12192" s="1"/>
    </row>
    <row r="12193" spans="10:10" x14ac:dyDescent="0.3">
      <c r="J12193" s="1"/>
    </row>
    <row r="12194" spans="10:10" x14ac:dyDescent="0.3">
      <c r="J12194" s="1"/>
    </row>
    <row r="12195" spans="10:10" x14ac:dyDescent="0.3">
      <c r="J12195" s="1"/>
    </row>
    <row r="12196" spans="10:10" x14ac:dyDescent="0.3">
      <c r="J12196" s="1"/>
    </row>
    <row r="12197" spans="10:10" x14ac:dyDescent="0.3">
      <c r="J12197" s="1"/>
    </row>
    <row r="12198" spans="10:10" x14ac:dyDescent="0.3">
      <c r="J12198" s="1"/>
    </row>
    <row r="12199" spans="10:10" x14ac:dyDescent="0.3">
      <c r="J12199" s="1"/>
    </row>
    <row r="12200" spans="10:10" x14ac:dyDescent="0.3">
      <c r="J12200" s="1"/>
    </row>
    <row r="12201" spans="10:10" x14ac:dyDescent="0.3">
      <c r="J12201" s="1"/>
    </row>
    <row r="12202" spans="10:10" x14ac:dyDescent="0.3">
      <c r="J12202" s="1"/>
    </row>
    <row r="12203" spans="10:10" x14ac:dyDescent="0.3">
      <c r="J12203" s="1"/>
    </row>
    <row r="12204" spans="10:10" x14ac:dyDescent="0.3">
      <c r="J12204" s="1"/>
    </row>
    <row r="12205" spans="10:10" x14ac:dyDescent="0.3">
      <c r="J12205" s="1"/>
    </row>
    <row r="12206" spans="10:10" x14ac:dyDescent="0.3">
      <c r="J12206" s="1"/>
    </row>
    <row r="12207" spans="10:10" x14ac:dyDescent="0.3">
      <c r="J12207" s="1"/>
    </row>
    <row r="12208" spans="10:10" x14ac:dyDescent="0.3">
      <c r="J12208" s="1"/>
    </row>
    <row r="12209" spans="10:10" x14ac:dyDescent="0.3">
      <c r="J12209" s="1"/>
    </row>
    <row r="12210" spans="10:10" x14ac:dyDescent="0.3">
      <c r="J12210" s="1"/>
    </row>
    <row r="12211" spans="10:10" x14ac:dyDescent="0.3">
      <c r="J12211" s="1"/>
    </row>
    <row r="12212" spans="10:10" x14ac:dyDescent="0.3">
      <c r="J12212" s="1"/>
    </row>
    <row r="12213" spans="10:10" x14ac:dyDescent="0.3">
      <c r="J12213" s="1"/>
    </row>
    <row r="12214" spans="10:10" x14ac:dyDescent="0.3">
      <c r="J12214" s="1"/>
    </row>
    <row r="12215" spans="10:10" x14ac:dyDescent="0.3">
      <c r="J12215" s="1"/>
    </row>
    <row r="12216" spans="10:10" x14ac:dyDescent="0.3">
      <c r="J12216" s="1"/>
    </row>
    <row r="12217" spans="10:10" x14ac:dyDescent="0.3">
      <c r="J12217" s="1"/>
    </row>
    <row r="12218" spans="10:10" x14ac:dyDescent="0.3">
      <c r="J12218" s="1"/>
    </row>
    <row r="12219" spans="10:10" x14ac:dyDescent="0.3">
      <c r="J12219" s="1"/>
    </row>
    <row r="12220" spans="10:10" x14ac:dyDescent="0.3">
      <c r="J12220" s="1"/>
    </row>
    <row r="12221" spans="10:10" x14ac:dyDescent="0.3">
      <c r="J12221" s="1"/>
    </row>
    <row r="12222" spans="10:10" x14ac:dyDescent="0.3">
      <c r="J12222" s="1"/>
    </row>
    <row r="12223" spans="10:10" x14ac:dyDescent="0.3">
      <c r="J12223" s="1"/>
    </row>
    <row r="12224" spans="10:10" x14ac:dyDescent="0.3">
      <c r="J12224" s="1"/>
    </row>
    <row r="12225" spans="10:10" x14ac:dyDescent="0.3">
      <c r="J12225" s="1"/>
    </row>
    <row r="12226" spans="10:10" x14ac:dyDescent="0.3">
      <c r="J12226" s="1"/>
    </row>
    <row r="12227" spans="10:10" x14ac:dyDescent="0.3">
      <c r="J12227" s="1"/>
    </row>
    <row r="12228" spans="10:10" x14ac:dyDescent="0.3">
      <c r="J12228" s="1"/>
    </row>
    <row r="12229" spans="10:10" x14ac:dyDescent="0.3">
      <c r="J12229" s="1"/>
    </row>
    <row r="12230" spans="10:10" x14ac:dyDescent="0.3">
      <c r="J12230" s="1"/>
    </row>
    <row r="12231" spans="10:10" x14ac:dyDescent="0.3">
      <c r="J12231" s="1"/>
    </row>
    <row r="12232" spans="10:10" x14ac:dyDescent="0.3">
      <c r="J12232" s="1"/>
    </row>
    <row r="12233" spans="10:10" x14ac:dyDescent="0.3">
      <c r="J12233" s="1"/>
    </row>
    <row r="12234" spans="10:10" x14ac:dyDescent="0.3">
      <c r="J12234" s="1"/>
    </row>
    <row r="12235" spans="10:10" x14ac:dyDescent="0.3">
      <c r="J12235" s="1"/>
    </row>
    <row r="12236" spans="10:10" x14ac:dyDescent="0.3">
      <c r="J12236" s="1"/>
    </row>
    <row r="12237" spans="10:10" x14ac:dyDescent="0.3">
      <c r="J12237" s="1"/>
    </row>
    <row r="12238" spans="10:10" x14ac:dyDescent="0.3">
      <c r="J12238" s="1"/>
    </row>
    <row r="12239" spans="10:10" x14ac:dyDescent="0.3">
      <c r="J12239" s="1"/>
    </row>
    <row r="12240" spans="10:10" x14ac:dyDescent="0.3">
      <c r="J12240" s="1"/>
    </row>
    <row r="12241" spans="10:10" x14ac:dyDescent="0.3">
      <c r="J12241" s="1"/>
    </row>
    <row r="12242" spans="10:10" x14ac:dyDescent="0.3">
      <c r="J12242" s="1"/>
    </row>
    <row r="12243" spans="10:10" x14ac:dyDescent="0.3">
      <c r="J12243" s="1"/>
    </row>
    <row r="12244" spans="10:10" x14ac:dyDescent="0.3">
      <c r="J12244" s="1"/>
    </row>
    <row r="12245" spans="10:10" x14ac:dyDescent="0.3">
      <c r="J12245" s="1"/>
    </row>
    <row r="12246" spans="10:10" x14ac:dyDescent="0.3">
      <c r="J12246" s="1"/>
    </row>
    <row r="12247" spans="10:10" x14ac:dyDescent="0.3">
      <c r="J12247" s="1"/>
    </row>
    <row r="12248" spans="10:10" x14ac:dyDescent="0.3">
      <c r="J12248" s="1"/>
    </row>
    <row r="12249" spans="10:10" x14ac:dyDescent="0.3">
      <c r="J12249" s="1"/>
    </row>
    <row r="12250" spans="10:10" x14ac:dyDescent="0.3">
      <c r="J12250" s="1"/>
    </row>
    <row r="12251" spans="10:10" x14ac:dyDescent="0.3">
      <c r="J12251" s="1"/>
    </row>
    <row r="12252" spans="10:10" x14ac:dyDescent="0.3">
      <c r="J12252" s="1"/>
    </row>
    <row r="12253" spans="10:10" x14ac:dyDescent="0.3">
      <c r="J12253" s="1"/>
    </row>
    <row r="12254" spans="10:10" x14ac:dyDescent="0.3">
      <c r="J12254" s="1"/>
    </row>
    <row r="12255" spans="10:10" x14ac:dyDescent="0.3">
      <c r="J12255" s="1"/>
    </row>
    <row r="12256" spans="10:10" x14ac:dyDescent="0.3">
      <c r="J12256" s="1"/>
    </row>
    <row r="12257" spans="10:10" x14ac:dyDescent="0.3">
      <c r="J12257" s="1"/>
    </row>
    <row r="12258" spans="10:10" x14ac:dyDescent="0.3">
      <c r="J12258" s="1"/>
    </row>
    <row r="12259" spans="10:10" x14ac:dyDescent="0.3">
      <c r="J12259" s="1"/>
    </row>
    <row r="12260" spans="10:10" x14ac:dyDescent="0.3">
      <c r="J12260" s="1"/>
    </row>
    <row r="12261" spans="10:10" x14ac:dyDescent="0.3">
      <c r="J12261" s="1"/>
    </row>
    <row r="12262" spans="10:10" x14ac:dyDescent="0.3">
      <c r="J12262" s="1"/>
    </row>
    <row r="12263" spans="10:10" x14ac:dyDescent="0.3">
      <c r="J12263" s="1"/>
    </row>
    <row r="12264" spans="10:10" x14ac:dyDescent="0.3">
      <c r="J12264" s="1"/>
    </row>
    <row r="12265" spans="10:10" x14ac:dyDescent="0.3">
      <c r="J12265" s="1"/>
    </row>
    <row r="12266" spans="10:10" x14ac:dyDescent="0.3">
      <c r="J12266" s="1"/>
    </row>
    <row r="12267" spans="10:10" x14ac:dyDescent="0.3">
      <c r="J12267" s="1"/>
    </row>
    <row r="12268" spans="10:10" x14ac:dyDescent="0.3">
      <c r="J12268" s="1"/>
    </row>
    <row r="12269" spans="10:10" x14ac:dyDescent="0.3">
      <c r="J12269" s="1"/>
    </row>
    <row r="12270" spans="10:10" x14ac:dyDescent="0.3">
      <c r="J12270" s="1"/>
    </row>
    <row r="12271" spans="10:10" x14ac:dyDescent="0.3">
      <c r="J12271" s="1"/>
    </row>
    <row r="12272" spans="10:10" x14ac:dyDescent="0.3">
      <c r="J12272" s="1"/>
    </row>
    <row r="12273" spans="10:10" x14ac:dyDescent="0.3">
      <c r="J12273" s="1"/>
    </row>
    <row r="12274" spans="10:10" x14ac:dyDescent="0.3">
      <c r="J12274" s="1"/>
    </row>
    <row r="12275" spans="10:10" x14ac:dyDescent="0.3">
      <c r="J12275" s="1"/>
    </row>
    <row r="12276" spans="10:10" x14ac:dyDescent="0.3">
      <c r="J12276" s="1"/>
    </row>
    <row r="12277" spans="10:10" x14ac:dyDescent="0.3">
      <c r="J12277" s="1"/>
    </row>
    <row r="12278" spans="10:10" x14ac:dyDescent="0.3">
      <c r="J12278" s="1"/>
    </row>
    <row r="12279" spans="10:10" x14ac:dyDescent="0.3">
      <c r="J12279" s="1"/>
    </row>
    <row r="12280" spans="10:10" x14ac:dyDescent="0.3">
      <c r="J12280" s="1"/>
    </row>
    <row r="12281" spans="10:10" x14ac:dyDescent="0.3">
      <c r="J12281" s="1"/>
    </row>
    <row r="12282" spans="10:10" x14ac:dyDescent="0.3">
      <c r="J12282" s="1"/>
    </row>
    <row r="12283" spans="10:10" x14ac:dyDescent="0.3">
      <c r="J12283" s="1"/>
    </row>
    <row r="12284" spans="10:10" x14ac:dyDescent="0.3">
      <c r="J12284" s="1"/>
    </row>
    <row r="12285" spans="10:10" x14ac:dyDescent="0.3">
      <c r="J12285" s="1"/>
    </row>
    <row r="12286" spans="10:10" x14ac:dyDescent="0.3">
      <c r="J12286" s="1"/>
    </row>
    <row r="12287" spans="10:10" x14ac:dyDescent="0.3">
      <c r="J12287" s="1"/>
    </row>
    <row r="12288" spans="10:10" x14ac:dyDescent="0.3">
      <c r="J12288" s="1"/>
    </row>
    <row r="12289" spans="10:10" x14ac:dyDescent="0.3">
      <c r="J12289" s="1"/>
    </row>
    <row r="12290" spans="10:10" x14ac:dyDescent="0.3">
      <c r="J12290" s="1"/>
    </row>
    <row r="12291" spans="10:10" x14ac:dyDescent="0.3">
      <c r="J12291" s="1"/>
    </row>
    <row r="12292" spans="10:10" x14ac:dyDescent="0.3">
      <c r="J12292" s="1"/>
    </row>
    <row r="12293" spans="10:10" x14ac:dyDescent="0.3">
      <c r="J12293" s="1"/>
    </row>
    <row r="12294" spans="10:10" x14ac:dyDescent="0.3">
      <c r="J12294" s="1"/>
    </row>
    <row r="12295" spans="10:10" x14ac:dyDescent="0.3">
      <c r="J12295" s="1"/>
    </row>
    <row r="12296" spans="10:10" x14ac:dyDescent="0.3">
      <c r="J12296" s="1"/>
    </row>
    <row r="12297" spans="10:10" x14ac:dyDescent="0.3">
      <c r="J12297" s="1"/>
    </row>
    <row r="12298" spans="10:10" x14ac:dyDescent="0.3">
      <c r="J12298" s="1"/>
    </row>
    <row r="12299" spans="10:10" x14ac:dyDescent="0.3">
      <c r="J12299" s="1"/>
    </row>
    <row r="12300" spans="10:10" x14ac:dyDescent="0.3">
      <c r="J12300" s="1"/>
    </row>
    <row r="12301" spans="10:10" x14ac:dyDescent="0.3">
      <c r="J12301" s="1"/>
    </row>
    <row r="12302" spans="10:10" x14ac:dyDescent="0.3">
      <c r="J12302" s="1"/>
    </row>
    <row r="12303" spans="10:10" x14ac:dyDescent="0.3">
      <c r="J12303" s="1"/>
    </row>
    <row r="12304" spans="10:10" x14ac:dyDescent="0.3">
      <c r="J12304" s="1"/>
    </row>
    <row r="12305" spans="10:10" x14ac:dyDescent="0.3">
      <c r="J12305" s="1"/>
    </row>
    <row r="12306" spans="10:10" x14ac:dyDescent="0.3">
      <c r="J12306" s="1"/>
    </row>
    <row r="12307" spans="10:10" x14ac:dyDescent="0.3">
      <c r="J12307" s="1"/>
    </row>
    <row r="12308" spans="10:10" x14ac:dyDescent="0.3">
      <c r="J12308" s="1"/>
    </row>
    <row r="12309" spans="10:10" x14ac:dyDescent="0.3">
      <c r="J12309" s="1"/>
    </row>
    <row r="12310" spans="10:10" x14ac:dyDescent="0.3">
      <c r="J12310" s="1"/>
    </row>
    <row r="12311" spans="10:10" x14ac:dyDescent="0.3">
      <c r="J12311" s="1"/>
    </row>
    <row r="12312" spans="10:10" x14ac:dyDescent="0.3">
      <c r="J12312" s="1"/>
    </row>
    <row r="12313" spans="10:10" x14ac:dyDescent="0.3">
      <c r="J12313" s="1"/>
    </row>
    <row r="12314" spans="10:10" x14ac:dyDescent="0.3">
      <c r="J12314" s="1"/>
    </row>
    <row r="12315" spans="10:10" x14ac:dyDescent="0.3">
      <c r="J12315" s="1"/>
    </row>
    <row r="12316" spans="10:10" x14ac:dyDescent="0.3">
      <c r="J12316" s="1"/>
    </row>
    <row r="12317" spans="10:10" x14ac:dyDescent="0.3">
      <c r="J12317" s="1"/>
    </row>
    <row r="12318" spans="10:10" x14ac:dyDescent="0.3">
      <c r="J12318" s="1"/>
    </row>
    <row r="12319" spans="10:10" x14ac:dyDescent="0.3">
      <c r="J12319" s="1"/>
    </row>
    <row r="12320" spans="10:10" x14ac:dyDescent="0.3">
      <c r="J12320" s="1"/>
    </row>
    <row r="12321" spans="10:10" x14ac:dyDescent="0.3">
      <c r="J12321" s="1"/>
    </row>
    <row r="12322" spans="10:10" x14ac:dyDescent="0.3">
      <c r="J12322" s="1"/>
    </row>
    <row r="12323" spans="10:10" x14ac:dyDescent="0.3">
      <c r="J12323" s="1"/>
    </row>
    <row r="12324" spans="10:10" x14ac:dyDescent="0.3">
      <c r="J12324" s="1"/>
    </row>
    <row r="12325" spans="10:10" x14ac:dyDescent="0.3">
      <c r="J12325" s="1"/>
    </row>
    <row r="12326" spans="10:10" x14ac:dyDescent="0.3">
      <c r="J12326" s="1"/>
    </row>
    <row r="12327" spans="10:10" x14ac:dyDescent="0.3">
      <c r="J12327" s="1"/>
    </row>
    <row r="12328" spans="10:10" x14ac:dyDescent="0.3">
      <c r="J12328" s="1"/>
    </row>
    <row r="12329" spans="10:10" x14ac:dyDescent="0.3">
      <c r="J12329" s="1"/>
    </row>
    <row r="12330" spans="10:10" x14ac:dyDescent="0.3">
      <c r="J12330" s="1"/>
    </row>
    <row r="12331" spans="10:10" x14ac:dyDescent="0.3">
      <c r="J12331" s="1"/>
    </row>
    <row r="12332" spans="10:10" x14ac:dyDescent="0.3">
      <c r="J12332" s="1"/>
    </row>
    <row r="12333" spans="10:10" x14ac:dyDescent="0.3">
      <c r="J12333" s="1"/>
    </row>
    <row r="12334" spans="10:10" x14ac:dyDescent="0.3">
      <c r="J12334" s="1"/>
    </row>
    <row r="12335" spans="10:10" x14ac:dyDescent="0.3">
      <c r="J12335" s="1"/>
    </row>
    <row r="12336" spans="10:10" x14ac:dyDescent="0.3">
      <c r="J12336" s="1"/>
    </row>
    <row r="12337" spans="10:10" x14ac:dyDescent="0.3">
      <c r="J12337" s="1"/>
    </row>
    <row r="12338" spans="10:10" x14ac:dyDescent="0.3">
      <c r="J12338" s="1"/>
    </row>
    <row r="12339" spans="10:10" x14ac:dyDescent="0.3">
      <c r="J12339" s="1"/>
    </row>
    <row r="12340" spans="10:10" x14ac:dyDescent="0.3">
      <c r="J12340" s="1"/>
    </row>
    <row r="12341" spans="10:10" x14ac:dyDescent="0.3">
      <c r="J12341" s="1"/>
    </row>
    <row r="12342" spans="10:10" x14ac:dyDescent="0.3">
      <c r="J12342" s="1"/>
    </row>
    <row r="12343" spans="10:10" x14ac:dyDescent="0.3">
      <c r="J12343" s="1"/>
    </row>
    <row r="12344" spans="10:10" x14ac:dyDescent="0.3">
      <c r="J12344" s="1"/>
    </row>
    <row r="12345" spans="10:10" x14ac:dyDescent="0.3">
      <c r="J12345" s="1"/>
    </row>
    <row r="12346" spans="10:10" x14ac:dyDescent="0.3">
      <c r="J12346" s="1"/>
    </row>
    <row r="12347" spans="10:10" x14ac:dyDescent="0.3">
      <c r="J12347" s="1"/>
    </row>
    <row r="12348" spans="10:10" x14ac:dyDescent="0.3">
      <c r="J12348" s="1"/>
    </row>
    <row r="12349" spans="10:10" x14ac:dyDescent="0.3">
      <c r="J12349" s="1"/>
    </row>
    <row r="12350" spans="10:10" x14ac:dyDescent="0.3">
      <c r="J12350" s="1"/>
    </row>
    <row r="12351" spans="10:10" x14ac:dyDescent="0.3">
      <c r="J12351" s="1"/>
    </row>
    <row r="12352" spans="10:10" x14ac:dyDescent="0.3">
      <c r="J12352" s="1"/>
    </row>
    <row r="12353" spans="10:10" x14ac:dyDescent="0.3">
      <c r="J12353" s="1"/>
    </row>
    <row r="12354" spans="10:10" x14ac:dyDescent="0.3">
      <c r="J12354" s="1"/>
    </row>
    <row r="12355" spans="10:10" x14ac:dyDescent="0.3">
      <c r="J12355" s="1"/>
    </row>
    <row r="12356" spans="10:10" x14ac:dyDescent="0.3">
      <c r="J12356" s="1"/>
    </row>
    <row r="12357" spans="10:10" x14ac:dyDescent="0.3">
      <c r="J12357" s="1"/>
    </row>
    <row r="12358" spans="10:10" x14ac:dyDescent="0.3">
      <c r="J12358" s="1"/>
    </row>
    <row r="12359" spans="10:10" x14ac:dyDescent="0.3">
      <c r="J12359" s="1"/>
    </row>
    <row r="12360" spans="10:10" x14ac:dyDescent="0.3">
      <c r="J12360" s="1"/>
    </row>
    <row r="12361" spans="10:10" x14ac:dyDescent="0.3">
      <c r="J12361" s="1"/>
    </row>
    <row r="12362" spans="10:10" x14ac:dyDescent="0.3">
      <c r="J12362" s="1"/>
    </row>
    <row r="12363" spans="10:10" x14ac:dyDescent="0.3">
      <c r="J12363" s="1"/>
    </row>
    <row r="12364" spans="10:10" x14ac:dyDescent="0.3">
      <c r="J12364" s="1"/>
    </row>
    <row r="12365" spans="10:10" x14ac:dyDescent="0.3">
      <c r="J12365" s="1"/>
    </row>
    <row r="12366" spans="10:10" x14ac:dyDescent="0.3">
      <c r="J12366" s="1"/>
    </row>
    <row r="12367" spans="10:10" x14ac:dyDescent="0.3">
      <c r="J12367" s="1"/>
    </row>
    <row r="12368" spans="10:10" x14ac:dyDescent="0.3">
      <c r="J12368" s="1"/>
    </row>
    <row r="12369" spans="10:10" x14ac:dyDescent="0.3">
      <c r="J12369" s="1"/>
    </row>
    <row r="12370" spans="10:10" x14ac:dyDescent="0.3">
      <c r="J12370" s="1"/>
    </row>
    <row r="12371" spans="10:10" x14ac:dyDescent="0.3">
      <c r="J12371" s="1"/>
    </row>
    <row r="12372" spans="10:10" x14ac:dyDescent="0.3">
      <c r="J12372" s="1"/>
    </row>
    <row r="12373" spans="10:10" x14ac:dyDescent="0.3">
      <c r="J12373" s="1"/>
    </row>
    <row r="12374" spans="10:10" x14ac:dyDescent="0.3">
      <c r="J12374" s="1"/>
    </row>
    <row r="12375" spans="10:10" x14ac:dyDescent="0.3">
      <c r="J12375" s="1"/>
    </row>
    <row r="12376" spans="10:10" x14ac:dyDescent="0.3">
      <c r="J12376" s="1"/>
    </row>
    <row r="12377" spans="10:10" x14ac:dyDescent="0.3">
      <c r="J12377" s="1"/>
    </row>
    <row r="12378" spans="10:10" x14ac:dyDescent="0.3">
      <c r="J12378" s="1"/>
    </row>
    <row r="12379" spans="10:10" x14ac:dyDescent="0.3">
      <c r="J12379" s="1"/>
    </row>
    <row r="12380" spans="10:10" x14ac:dyDescent="0.3">
      <c r="J12380" s="1"/>
    </row>
    <row r="12381" spans="10:10" x14ac:dyDescent="0.3">
      <c r="J12381" s="1"/>
    </row>
    <row r="12382" spans="10:10" x14ac:dyDescent="0.3">
      <c r="J12382" s="1"/>
    </row>
    <row r="12383" spans="10:10" x14ac:dyDescent="0.3">
      <c r="J12383" s="1"/>
    </row>
    <row r="12384" spans="10:10" x14ac:dyDescent="0.3">
      <c r="J12384" s="1"/>
    </row>
    <row r="12385" spans="10:10" x14ac:dyDescent="0.3">
      <c r="J12385" s="1"/>
    </row>
    <row r="12386" spans="10:10" x14ac:dyDescent="0.3">
      <c r="J12386" s="1"/>
    </row>
    <row r="12387" spans="10:10" x14ac:dyDescent="0.3">
      <c r="J12387" s="1"/>
    </row>
    <row r="12388" spans="10:10" x14ac:dyDescent="0.3">
      <c r="J12388" s="1"/>
    </row>
    <row r="12389" spans="10:10" x14ac:dyDescent="0.3">
      <c r="J12389" s="1"/>
    </row>
    <row r="12390" spans="10:10" x14ac:dyDescent="0.3">
      <c r="J12390" s="1"/>
    </row>
    <row r="12391" spans="10:10" x14ac:dyDescent="0.3">
      <c r="J12391" s="1"/>
    </row>
    <row r="12392" spans="10:10" x14ac:dyDescent="0.3">
      <c r="J12392" s="1"/>
    </row>
    <row r="12393" spans="10:10" x14ac:dyDescent="0.3">
      <c r="J12393" s="1"/>
    </row>
    <row r="12394" spans="10:10" x14ac:dyDescent="0.3">
      <c r="J12394" s="1"/>
    </row>
    <row r="12395" spans="10:10" x14ac:dyDescent="0.3">
      <c r="J12395" s="1"/>
    </row>
    <row r="12396" spans="10:10" x14ac:dyDescent="0.3">
      <c r="J12396" s="1"/>
    </row>
    <row r="12397" spans="10:10" x14ac:dyDescent="0.3">
      <c r="J12397" s="1"/>
    </row>
    <row r="12398" spans="10:10" x14ac:dyDescent="0.3">
      <c r="J12398" s="1"/>
    </row>
    <row r="12399" spans="10:10" x14ac:dyDescent="0.3">
      <c r="J12399" s="1"/>
    </row>
    <row r="12400" spans="10:10" x14ac:dyDescent="0.3">
      <c r="J12400" s="1"/>
    </row>
    <row r="12401" spans="10:10" x14ac:dyDescent="0.3">
      <c r="J12401" s="1"/>
    </row>
    <row r="12402" spans="10:10" x14ac:dyDescent="0.3">
      <c r="J12402" s="1"/>
    </row>
    <row r="12403" spans="10:10" x14ac:dyDescent="0.3">
      <c r="J12403" s="1"/>
    </row>
    <row r="12404" spans="10:10" x14ac:dyDescent="0.3">
      <c r="J12404" s="1"/>
    </row>
    <row r="12405" spans="10:10" x14ac:dyDescent="0.3">
      <c r="J12405" s="1"/>
    </row>
    <row r="12406" spans="10:10" x14ac:dyDescent="0.3">
      <c r="J12406" s="1"/>
    </row>
    <row r="12407" spans="10:10" x14ac:dyDescent="0.3">
      <c r="J12407" s="1"/>
    </row>
    <row r="12408" spans="10:10" x14ac:dyDescent="0.3">
      <c r="J12408" s="1"/>
    </row>
    <row r="12409" spans="10:10" x14ac:dyDescent="0.3">
      <c r="J12409" s="1"/>
    </row>
    <row r="12410" spans="10:10" x14ac:dyDescent="0.3">
      <c r="J12410" s="1"/>
    </row>
    <row r="12411" spans="10:10" x14ac:dyDescent="0.3">
      <c r="J12411" s="1"/>
    </row>
    <row r="12412" spans="10:10" x14ac:dyDescent="0.3">
      <c r="J12412" s="1"/>
    </row>
    <row r="12413" spans="10:10" x14ac:dyDescent="0.3">
      <c r="J12413" s="1"/>
    </row>
    <row r="12414" spans="10:10" x14ac:dyDescent="0.3">
      <c r="J12414" s="1"/>
    </row>
    <row r="12415" spans="10:10" x14ac:dyDescent="0.3">
      <c r="J12415" s="1"/>
    </row>
    <row r="12416" spans="10:10" x14ac:dyDescent="0.3">
      <c r="J12416" s="1"/>
    </row>
    <row r="12417" spans="10:10" x14ac:dyDescent="0.3">
      <c r="J12417" s="1"/>
    </row>
    <row r="12418" spans="10:10" x14ac:dyDescent="0.3">
      <c r="J12418" s="1"/>
    </row>
    <row r="12419" spans="10:10" x14ac:dyDescent="0.3">
      <c r="J12419" s="1"/>
    </row>
    <row r="12420" spans="10:10" x14ac:dyDescent="0.3">
      <c r="J12420" s="1"/>
    </row>
    <row r="12421" spans="10:10" x14ac:dyDescent="0.3">
      <c r="J12421" s="1"/>
    </row>
    <row r="12422" spans="10:10" x14ac:dyDescent="0.3">
      <c r="J12422" s="1"/>
    </row>
    <row r="12423" spans="10:10" x14ac:dyDescent="0.3">
      <c r="J12423" s="1"/>
    </row>
    <row r="12424" spans="10:10" x14ac:dyDescent="0.3">
      <c r="J12424" s="1"/>
    </row>
    <row r="12425" spans="10:10" x14ac:dyDescent="0.3">
      <c r="J12425" s="1"/>
    </row>
    <row r="12426" spans="10:10" x14ac:dyDescent="0.3">
      <c r="J12426" s="1"/>
    </row>
    <row r="12427" spans="10:10" x14ac:dyDescent="0.3">
      <c r="J12427" s="1"/>
    </row>
    <row r="12428" spans="10:10" x14ac:dyDescent="0.3">
      <c r="J12428" s="1"/>
    </row>
    <row r="12429" spans="10:10" x14ac:dyDescent="0.3">
      <c r="J12429" s="1"/>
    </row>
    <row r="12430" spans="10:10" x14ac:dyDescent="0.3">
      <c r="J12430" s="1"/>
    </row>
    <row r="12431" spans="10:10" x14ac:dyDescent="0.3">
      <c r="J12431" s="1"/>
    </row>
    <row r="12432" spans="10:10" x14ac:dyDescent="0.3">
      <c r="J12432" s="1"/>
    </row>
    <row r="12433" spans="10:10" x14ac:dyDescent="0.3">
      <c r="J12433" s="1"/>
    </row>
    <row r="12434" spans="10:10" x14ac:dyDescent="0.3">
      <c r="J12434" s="1"/>
    </row>
    <row r="12435" spans="10:10" x14ac:dyDescent="0.3">
      <c r="J12435" s="1"/>
    </row>
    <row r="12436" spans="10:10" x14ac:dyDescent="0.3">
      <c r="J12436" s="1"/>
    </row>
    <row r="12437" spans="10:10" x14ac:dyDescent="0.3">
      <c r="J12437" s="1"/>
    </row>
    <row r="12438" spans="10:10" x14ac:dyDescent="0.3">
      <c r="J12438" s="1"/>
    </row>
    <row r="12439" spans="10:10" x14ac:dyDescent="0.3">
      <c r="J12439" s="1"/>
    </row>
    <row r="12440" spans="10:10" x14ac:dyDescent="0.3">
      <c r="J12440" s="1"/>
    </row>
    <row r="12441" spans="10:10" x14ac:dyDescent="0.3">
      <c r="J12441" s="1"/>
    </row>
    <row r="12442" spans="10:10" x14ac:dyDescent="0.3">
      <c r="J12442" s="1"/>
    </row>
    <row r="12443" spans="10:10" x14ac:dyDescent="0.3">
      <c r="J12443" s="1"/>
    </row>
    <row r="12444" spans="10:10" x14ac:dyDescent="0.3">
      <c r="J12444" s="1"/>
    </row>
    <row r="12445" spans="10:10" x14ac:dyDescent="0.3">
      <c r="J12445" s="1"/>
    </row>
    <row r="12446" spans="10:10" x14ac:dyDescent="0.3">
      <c r="J12446" s="1"/>
    </row>
    <row r="12447" spans="10:10" x14ac:dyDescent="0.3">
      <c r="J12447" s="1"/>
    </row>
    <row r="12448" spans="10:10" x14ac:dyDescent="0.3">
      <c r="J12448" s="1"/>
    </row>
    <row r="12449" spans="10:10" x14ac:dyDescent="0.3">
      <c r="J12449" s="1"/>
    </row>
    <row r="12450" spans="10:10" x14ac:dyDescent="0.3">
      <c r="J12450" s="1"/>
    </row>
    <row r="12451" spans="10:10" x14ac:dyDescent="0.3">
      <c r="J12451" s="1"/>
    </row>
    <row r="12452" spans="10:10" x14ac:dyDescent="0.3">
      <c r="J12452" s="1"/>
    </row>
    <row r="12453" spans="10:10" x14ac:dyDescent="0.3">
      <c r="J12453" s="1"/>
    </row>
    <row r="12454" spans="10:10" x14ac:dyDescent="0.3">
      <c r="J12454" s="1"/>
    </row>
    <row r="12455" spans="10:10" x14ac:dyDescent="0.3">
      <c r="J12455" s="1"/>
    </row>
    <row r="12456" spans="10:10" x14ac:dyDescent="0.3">
      <c r="J12456" s="1"/>
    </row>
    <row r="12457" spans="10:10" x14ac:dyDescent="0.3">
      <c r="J12457" s="1"/>
    </row>
    <row r="12458" spans="10:10" x14ac:dyDescent="0.3">
      <c r="J12458" s="1"/>
    </row>
    <row r="12459" spans="10:10" x14ac:dyDescent="0.3">
      <c r="J12459" s="1"/>
    </row>
    <row r="12460" spans="10:10" x14ac:dyDescent="0.3">
      <c r="J12460" s="1"/>
    </row>
    <row r="12461" spans="10:10" x14ac:dyDescent="0.3">
      <c r="J12461" s="1"/>
    </row>
    <row r="12462" spans="10:10" x14ac:dyDescent="0.3">
      <c r="J12462" s="1"/>
    </row>
    <row r="12463" spans="10:10" x14ac:dyDescent="0.3">
      <c r="J12463" s="1"/>
    </row>
    <row r="12464" spans="10:10" x14ac:dyDescent="0.3">
      <c r="J12464" s="1"/>
    </row>
    <row r="12465" spans="10:10" x14ac:dyDescent="0.3">
      <c r="J12465" s="1"/>
    </row>
    <row r="12466" spans="10:10" x14ac:dyDescent="0.3">
      <c r="J12466" s="1"/>
    </row>
    <row r="12467" spans="10:10" x14ac:dyDescent="0.3">
      <c r="J12467" s="1"/>
    </row>
    <row r="12468" spans="10:10" x14ac:dyDescent="0.3">
      <c r="J12468" s="1"/>
    </row>
    <row r="12469" spans="10:10" x14ac:dyDescent="0.3">
      <c r="J12469" s="1"/>
    </row>
    <row r="12470" spans="10:10" x14ac:dyDescent="0.3">
      <c r="J12470" s="1"/>
    </row>
    <row r="12471" spans="10:10" x14ac:dyDescent="0.3">
      <c r="J12471" s="1"/>
    </row>
    <row r="12472" spans="10:10" x14ac:dyDescent="0.3">
      <c r="J12472" s="1"/>
    </row>
    <row r="12473" spans="10:10" x14ac:dyDescent="0.3">
      <c r="J12473" s="1"/>
    </row>
    <row r="12474" spans="10:10" x14ac:dyDescent="0.3">
      <c r="J12474" s="1"/>
    </row>
    <row r="12475" spans="10:10" x14ac:dyDescent="0.3">
      <c r="J12475" s="1"/>
    </row>
    <row r="12476" spans="10:10" x14ac:dyDescent="0.3">
      <c r="J12476" s="1"/>
    </row>
    <row r="12477" spans="10:10" x14ac:dyDescent="0.3">
      <c r="J12477" s="1"/>
    </row>
    <row r="12478" spans="10:10" x14ac:dyDescent="0.3">
      <c r="J12478" s="1"/>
    </row>
    <row r="12479" spans="10:10" x14ac:dyDescent="0.3">
      <c r="J12479" s="1"/>
    </row>
    <row r="12480" spans="10:10" x14ac:dyDescent="0.3">
      <c r="J12480" s="1"/>
    </row>
    <row r="12481" spans="10:10" x14ac:dyDescent="0.3">
      <c r="J12481" s="1"/>
    </row>
    <row r="12482" spans="10:10" x14ac:dyDescent="0.3">
      <c r="J12482" s="1"/>
    </row>
    <row r="12483" spans="10:10" x14ac:dyDescent="0.3">
      <c r="J12483" s="1"/>
    </row>
    <row r="12484" spans="10:10" x14ac:dyDescent="0.3">
      <c r="J12484" s="1"/>
    </row>
    <row r="12485" spans="10:10" x14ac:dyDescent="0.3">
      <c r="J12485" s="1"/>
    </row>
    <row r="12486" spans="10:10" x14ac:dyDescent="0.3">
      <c r="J12486" s="1"/>
    </row>
    <row r="12487" spans="10:10" x14ac:dyDescent="0.3">
      <c r="J12487" s="1"/>
    </row>
    <row r="12488" spans="10:10" x14ac:dyDescent="0.3">
      <c r="J12488" s="1"/>
    </row>
    <row r="12489" spans="10:10" x14ac:dyDescent="0.3">
      <c r="J12489" s="1"/>
    </row>
    <row r="12490" spans="10:10" x14ac:dyDescent="0.3">
      <c r="J12490" s="1"/>
    </row>
    <row r="12491" spans="10:10" x14ac:dyDescent="0.3">
      <c r="J12491" s="1"/>
    </row>
    <row r="12492" spans="10:10" x14ac:dyDescent="0.3">
      <c r="J12492" s="1"/>
    </row>
    <row r="12493" spans="10:10" x14ac:dyDescent="0.3">
      <c r="J12493" s="1"/>
    </row>
    <row r="12494" spans="10:10" x14ac:dyDescent="0.3">
      <c r="J12494" s="1"/>
    </row>
    <row r="12495" spans="10:10" x14ac:dyDescent="0.3">
      <c r="J12495" s="1"/>
    </row>
    <row r="12496" spans="10:10" x14ac:dyDescent="0.3">
      <c r="J12496" s="1"/>
    </row>
    <row r="12497" spans="10:10" x14ac:dyDescent="0.3">
      <c r="J12497" s="1"/>
    </row>
    <row r="12498" spans="10:10" x14ac:dyDescent="0.3">
      <c r="J12498" s="1"/>
    </row>
    <row r="12499" spans="10:10" x14ac:dyDescent="0.3">
      <c r="J12499" s="1"/>
    </row>
    <row r="12500" spans="10:10" x14ac:dyDescent="0.3">
      <c r="J12500" s="1"/>
    </row>
    <row r="12501" spans="10:10" x14ac:dyDescent="0.3">
      <c r="J12501" s="1"/>
    </row>
    <row r="12502" spans="10:10" x14ac:dyDescent="0.3">
      <c r="J12502" s="1"/>
    </row>
    <row r="12503" spans="10:10" x14ac:dyDescent="0.3">
      <c r="J12503" s="1"/>
    </row>
    <row r="12504" spans="10:10" x14ac:dyDescent="0.3">
      <c r="J12504" s="1"/>
    </row>
    <row r="12505" spans="10:10" x14ac:dyDescent="0.3">
      <c r="J12505" s="1"/>
    </row>
    <row r="12506" spans="10:10" x14ac:dyDescent="0.3">
      <c r="J12506" s="1"/>
    </row>
    <row r="12507" spans="10:10" x14ac:dyDescent="0.3">
      <c r="J12507" s="1"/>
    </row>
    <row r="12508" spans="10:10" x14ac:dyDescent="0.3">
      <c r="J12508" s="1"/>
    </row>
    <row r="12509" spans="10:10" x14ac:dyDescent="0.3">
      <c r="J12509" s="1"/>
    </row>
    <row r="12510" spans="10:10" x14ac:dyDescent="0.3">
      <c r="J12510" s="1"/>
    </row>
    <row r="12511" spans="10:10" x14ac:dyDescent="0.3">
      <c r="J12511" s="1"/>
    </row>
    <row r="12512" spans="10:10" x14ac:dyDescent="0.3">
      <c r="J12512" s="1"/>
    </row>
    <row r="12513" spans="10:10" x14ac:dyDescent="0.3">
      <c r="J12513" s="1"/>
    </row>
    <row r="12514" spans="10:10" x14ac:dyDescent="0.3">
      <c r="J12514" s="1"/>
    </row>
    <row r="12515" spans="10:10" x14ac:dyDescent="0.3">
      <c r="J12515" s="1"/>
    </row>
    <row r="12516" spans="10:10" x14ac:dyDescent="0.3">
      <c r="J12516" s="1"/>
    </row>
    <row r="12517" spans="10:10" x14ac:dyDescent="0.3">
      <c r="J12517" s="1"/>
    </row>
    <row r="12518" spans="10:10" x14ac:dyDescent="0.3">
      <c r="J12518" s="1"/>
    </row>
    <row r="12519" spans="10:10" x14ac:dyDescent="0.3">
      <c r="J12519" s="1"/>
    </row>
    <row r="12520" spans="10:10" x14ac:dyDescent="0.3">
      <c r="J12520" s="1"/>
    </row>
    <row r="12521" spans="10:10" x14ac:dyDescent="0.3">
      <c r="J12521" s="1"/>
    </row>
    <row r="12522" spans="10:10" x14ac:dyDescent="0.3">
      <c r="J12522" s="1"/>
    </row>
    <row r="12523" spans="10:10" x14ac:dyDescent="0.3">
      <c r="J12523" s="1"/>
    </row>
    <row r="12524" spans="10:10" x14ac:dyDescent="0.3">
      <c r="J12524" s="1"/>
    </row>
    <row r="12525" spans="10:10" x14ac:dyDescent="0.3">
      <c r="J12525" s="1"/>
    </row>
    <row r="12526" spans="10:10" x14ac:dyDescent="0.3">
      <c r="J12526" s="1"/>
    </row>
    <row r="12527" spans="10:10" x14ac:dyDescent="0.3">
      <c r="J12527" s="1"/>
    </row>
    <row r="12528" spans="10:10" x14ac:dyDescent="0.3">
      <c r="J12528" s="1"/>
    </row>
    <row r="12529" spans="10:10" x14ac:dyDescent="0.3">
      <c r="J12529" s="1"/>
    </row>
    <row r="12530" spans="10:10" x14ac:dyDescent="0.3">
      <c r="J12530" s="1"/>
    </row>
    <row r="12531" spans="10:10" x14ac:dyDescent="0.3">
      <c r="J12531" s="1"/>
    </row>
    <row r="12532" spans="10:10" x14ac:dyDescent="0.3">
      <c r="J12532" s="1"/>
    </row>
    <row r="12533" spans="10:10" x14ac:dyDescent="0.3">
      <c r="J12533" s="1"/>
    </row>
    <row r="12534" spans="10:10" x14ac:dyDescent="0.3">
      <c r="J12534" s="1"/>
    </row>
    <row r="12535" spans="10:10" x14ac:dyDescent="0.3">
      <c r="J12535" s="1"/>
    </row>
    <row r="12536" spans="10:10" x14ac:dyDescent="0.3">
      <c r="J12536" s="1"/>
    </row>
    <row r="12537" spans="10:10" x14ac:dyDescent="0.3">
      <c r="J12537" s="1"/>
    </row>
    <row r="12538" spans="10:10" x14ac:dyDescent="0.3">
      <c r="J12538" s="1"/>
    </row>
    <row r="12539" spans="10:10" x14ac:dyDescent="0.3">
      <c r="J12539" s="1"/>
    </row>
    <row r="12540" spans="10:10" x14ac:dyDescent="0.3">
      <c r="J12540" s="1"/>
    </row>
    <row r="12541" spans="10:10" x14ac:dyDescent="0.3">
      <c r="J12541" s="1"/>
    </row>
    <row r="12542" spans="10:10" x14ac:dyDescent="0.3">
      <c r="J12542" s="1"/>
    </row>
    <row r="12543" spans="10:10" x14ac:dyDescent="0.3">
      <c r="J12543" s="1"/>
    </row>
    <row r="12544" spans="10:10" x14ac:dyDescent="0.3">
      <c r="J12544" s="1"/>
    </row>
    <row r="12545" spans="10:10" x14ac:dyDescent="0.3">
      <c r="J12545" s="1"/>
    </row>
    <row r="12546" spans="10:10" x14ac:dyDescent="0.3">
      <c r="J12546" s="1"/>
    </row>
    <row r="12547" spans="10:10" x14ac:dyDescent="0.3">
      <c r="J12547" s="1"/>
    </row>
    <row r="12548" spans="10:10" x14ac:dyDescent="0.3">
      <c r="J12548" s="1"/>
    </row>
    <row r="12549" spans="10:10" x14ac:dyDescent="0.3">
      <c r="J12549" s="1"/>
    </row>
    <row r="12550" spans="10:10" x14ac:dyDescent="0.3">
      <c r="J12550" s="1"/>
    </row>
    <row r="12551" spans="10:10" x14ac:dyDescent="0.3">
      <c r="J12551" s="1"/>
    </row>
    <row r="12552" spans="10:10" x14ac:dyDescent="0.3">
      <c r="J12552" s="1"/>
    </row>
    <row r="12553" spans="10:10" x14ac:dyDescent="0.3">
      <c r="J12553" s="1"/>
    </row>
    <row r="12554" spans="10:10" x14ac:dyDescent="0.3">
      <c r="J12554" s="1"/>
    </row>
    <row r="12555" spans="10:10" x14ac:dyDescent="0.3">
      <c r="J12555" s="1"/>
    </row>
    <row r="12556" spans="10:10" x14ac:dyDescent="0.3">
      <c r="J12556" s="1"/>
    </row>
    <row r="12557" spans="10:10" x14ac:dyDescent="0.3">
      <c r="J12557" s="1"/>
    </row>
    <row r="12558" spans="10:10" x14ac:dyDescent="0.3">
      <c r="J12558" s="1"/>
    </row>
    <row r="12559" spans="10:10" x14ac:dyDescent="0.3">
      <c r="J12559" s="1"/>
    </row>
    <row r="12560" spans="10:10" x14ac:dyDescent="0.3">
      <c r="J12560" s="1"/>
    </row>
    <row r="12561" spans="10:10" x14ac:dyDescent="0.3">
      <c r="J12561" s="1"/>
    </row>
    <row r="12562" spans="10:10" x14ac:dyDescent="0.3">
      <c r="J12562" s="1"/>
    </row>
    <row r="12563" spans="10:10" x14ac:dyDescent="0.3">
      <c r="J12563" s="1"/>
    </row>
    <row r="12564" spans="10:10" x14ac:dyDescent="0.3">
      <c r="J12564" s="1"/>
    </row>
    <row r="12565" spans="10:10" x14ac:dyDescent="0.3">
      <c r="J12565" s="1"/>
    </row>
    <row r="12566" spans="10:10" x14ac:dyDescent="0.3">
      <c r="J12566" s="1"/>
    </row>
    <row r="12567" spans="10:10" x14ac:dyDescent="0.3">
      <c r="J12567" s="1"/>
    </row>
    <row r="12568" spans="10:10" x14ac:dyDescent="0.3">
      <c r="J12568" s="1"/>
    </row>
    <row r="12569" spans="10:10" x14ac:dyDescent="0.3">
      <c r="J12569" s="1"/>
    </row>
    <row r="12570" spans="10:10" x14ac:dyDescent="0.3">
      <c r="J12570" s="1"/>
    </row>
    <row r="12571" spans="10:10" x14ac:dyDescent="0.3">
      <c r="J12571" s="1"/>
    </row>
    <row r="12572" spans="10:10" x14ac:dyDescent="0.3">
      <c r="J12572" s="1"/>
    </row>
    <row r="12573" spans="10:10" x14ac:dyDescent="0.3">
      <c r="J12573" s="1"/>
    </row>
    <row r="12574" spans="10:10" x14ac:dyDescent="0.3">
      <c r="J12574" s="1"/>
    </row>
    <row r="12575" spans="10:10" x14ac:dyDescent="0.3">
      <c r="J12575" s="1"/>
    </row>
    <row r="12576" spans="10:10" x14ac:dyDescent="0.3">
      <c r="J1257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22A81-6FF5-41A8-9962-9F160B9F3F1B}">
  <dimension ref="A1:N1000"/>
  <sheetViews>
    <sheetView topLeftCell="B2" workbookViewId="0">
      <selection activeCell="M15" sqref="M15"/>
    </sheetView>
  </sheetViews>
  <sheetFormatPr defaultRowHeight="14.4" x14ac:dyDescent="0.3"/>
  <cols>
    <col min="1" max="1" width="14.88671875" customWidth="1"/>
    <col min="2" max="2" width="13.21875" customWidth="1"/>
    <col min="3" max="3" width="31" customWidth="1"/>
    <col min="4" max="4" width="17" customWidth="1"/>
    <col min="5" max="5" width="17.6640625" style="4" customWidth="1"/>
    <col min="6" max="6" width="12.6640625" style="4" customWidth="1"/>
    <col min="7" max="7" width="12.44140625" style="4" customWidth="1"/>
    <col min="8" max="8" width="17.6640625" customWidth="1"/>
    <col min="9" max="9" width="10.109375" customWidth="1"/>
    <col min="10" max="10" width="17" customWidth="1"/>
    <col min="11" max="11" width="17.109375" style="2" customWidth="1"/>
    <col min="13" max="13" width="30.5546875" customWidth="1"/>
    <col min="14" max="14" width="13.5546875" customWidth="1"/>
  </cols>
  <sheetData>
    <row r="1" spans="1:14" x14ac:dyDescent="0.3">
      <c r="A1" s="3" t="s">
        <v>0</v>
      </c>
      <c r="B1" s="3" t="s">
        <v>1</v>
      </c>
      <c r="C1" s="3" t="s">
        <v>2</v>
      </c>
      <c r="D1" s="3" t="s">
        <v>3</v>
      </c>
      <c r="E1" s="2" t="s">
        <v>4</v>
      </c>
      <c r="F1" s="2" t="s">
        <v>5</v>
      </c>
      <c r="G1" s="3" t="s">
        <v>6</v>
      </c>
      <c r="H1" s="3" t="s">
        <v>7</v>
      </c>
      <c r="I1" s="3" t="s">
        <v>8</v>
      </c>
      <c r="J1" s="3" t="s">
        <v>9</v>
      </c>
      <c r="K1" s="3" t="s">
        <v>10</v>
      </c>
      <c r="M1" t="s">
        <v>1234</v>
      </c>
      <c r="N1" t="s">
        <v>1235</v>
      </c>
    </row>
    <row r="2" spans="1:14" x14ac:dyDescent="0.3">
      <c r="A2" s="3" t="s">
        <v>11</v>
      </c>
      <c r="B2" s="3" t="s">
        <v>12</v>
      </c>
      <c r="C2" s="3" t="s">
        <v>13</v>
      </c>
      <c r="D2" s="3" t="s">
        <v>14</v>
      </c>
      <c r="E2" s="4">
        <v>18.5</v>
      </c>
      <c r="F2" s="4">
        <v>10</v>
      </c>
      <c r="G2" s="4">
        <v>185</v>
      </c>
      <c r="H2" s="3" t="s">
        <v>15</v>
      </c>
      <c r="I2" s="3" t="s">
        <v>16</v>
      </c>
      <c r="J2" s="5">
        <v>45390</v>
      </c>
      <c r="K2" s="2" t="b">
        <v>1</v>
      </c>
      <c r="M2">
        <f>SUM(G:G)</f>
        <v>121050</v>
      </c>
      <c r="N2">
        <f>AVERAGE(G:G)</f>
        <v>127.28706624605678</v>
      </c>
    </row>
    <row r="3" spans="1:14" x14ac:dyDescent="0.3">
      <c r="A3" s="3" t="s">
        <v>17</v>
      </c>
      <c r="B3" s="3" t="s">
        <v>18</v>
      </c>
      <c r="C3" s="3" t="s">
        <v>19</v>
      </c>
      <c r="D3" s="3" t="s">
        <v>20</v>
      </c>
      <c r="E3" s="4">
        <v>29</v>
      </c>
      <c r="F3" s="4">
        <v>9</v>
      </c>
      <c r="G3" s="4">
        <v>261</v>
      </c>
      <c r="H3" s="3" t="s">
        <v>15</v>
      </c>
      <c r="I3" s="3" t="s">
        <v>16</v>
      </c>
      <c r="J3" s="5">
        <v>45130</v>
      </c>
      <c r="K3" s="2" t="b">
        <v>1</v>
      </c>
    </row>
    <row r="4" spans="1:14" x14ac:dyDescent="0.3">
      <c r="A4" s="3" t="s">
        <v>21</v>
      </c>
      <c r="B4" s="3" t="s">
        <v>22</v>
      </c>
      <c r="C4" s="3" t="s">
        <v>23</v>
      </c>
      <c r="D4" s="3" t="s">
        <v>24</v>
      </c>
      <c r="E4" s="4">
        <v>21.5</v>
      </c>
      <c r="F4" s="4">
        <v>2</v>
      </c>
      <c r="G4" s="4">
        <v>43</v>
      </c>
      <c r="H4" s="3" t="s">
        <v>25</v>
      </c>
      <c r="I4" s="3" t="s">
        <v>16</v>
      </c>
      <c r="J4" s="5">
        <v>44839</v>
      </c>
      <c r="K4" s="2" t="b">
        <v>0</v>
      </c>
    </row>
    <row r="5" spans="1:14" x14ac:dyDescent="0.3">
      <c r="A5" s="3" t="s">
        <v>26</v>
      </c>
      <c r="B5" s="3" t="s">
        <v>27</v>
      </c>
      <c r="C5" s="3" t="s">
        <v>28</v>
      </c>
      <c r="D5" s="3" t="s">
        <v>29</v>
      </c>
      <c r="E5" s="4">
        <v>27.5</v>
      </c>
      <c r="F5" s="4">
        <v>9</v>
      </c>
      <c r="G5" s="4">
        <v>247.5</v>
      </c>
      <c r="H5" s="3" t="s">
        <v>25</v>
      </c>
      <c r="I5" s="3" t="s">
        <v>16</v>
      </c>
      <c r="J5" s="5">
        <v>44688</v>
      </c>
      <c r="K5" s="2" t="s">
        <v>1233</v>
      </c>
      <c r="M5" t="s">
        <v>2</v>
      </c>
      <c r="N5" t="s">
        <v>1236</v>
      </c>
    </row>
    <row r="6" spans="1:14" x14ac:dyDescent="0.3">
      <c r="A6" s="3" t="s">
        <v>30</v>
      </c>
      <c r="B6" s="3" t="s">
        <v>31</v>
      </c>
      <c r="C6" s="3" t="s">
        <v>32</v>
      </c>
      <c r="D6" s="3" t="s">
        <v>33</v>
      </c>
      <c r="E6" s="4">
        <v>12.5</v>
      </c>
      <c r="F6" s="4">
        <v>7</v>
      </c>
      <c r="G6" s="4">
        <v>87.5</v>
      </c>
      <c r="H6" s="3" t="s">
        <v>15</v>
      </c>
      <c r="I6" s="3" t="s">
        <v>16</v>
      </c>
      <c r="J6" s="5">
        <v>44836</v>
      </c>
      <c r="K6" s="2" t="b">
        <v>0</v>
      </c>
      <c r="M6" t="s">
        <v>32</v>
      </c>
      <c r="N6">
        <f>SUMIF(C:C,"food",G:G)</f>
        <v>14888</v>
      </c>
    </row>
    <row r="7" spans="1:14" x14ac:dyDescent="0.3">
      <c r="A7" s="3" t="s">
        <v>34</v>
      </c>
      <c r="B7" s="3" t="s">
        <v>12</v>
      </c>
      <c r="C7" s="3" t="s">
        <v>13</v>
      </c>
      <c r="D7" s="3" t="s">
        <v>1233</v>
      </c>
      <c r="E7" s="4" t="s">
        <v>1233</v>
      </c>
      <c r="F7" s="4">
        <v>10</v>
      </c>
      <c r="G7" s="4">
        <v>200</v>
      </c>
      <c r="H7" s="3" t="s">
        <v>25</v>
      </c>
      <c r="I7" s="3" t="s">
        <v>16</v>
      </c>
      <c r="J7" s="5">
        <v>45260</v>
      </c>
      <c r="K7" s="2" t="s">
        <v>1233</v>
      </c>
      <c r="M7" s="6" t="s">
        <v>19</v>
      </c>
      <c r="N7">
        <f>SUMIF(C:C,"Milk Products",G:G)</f>
        <v>12141.5</v>
      </c>
    </row>
    <row r="8" spans="1:14" x14ac:dyDescent="0.3">
      <c r="A8" s="3" t="s">
        <v>35</v>
      </c>
      <c r="B8" s="3" t="s">
        <v>36</v>
      </c>
      <c r="C8" s="3" t="s">
        <v>32</v>
      </c>
      <c r="D8" s="3" t="s">
        <v>37</v>
      </c>
      <c r="E8" s="4">
        <v>5</v>
      </c>
      <c r="F8" s="4">
        <v>8</v>
      </c>
      <c r="G8" s="4">
        <v>40</v>
      </c>
      <c r="H8" s="3" t="s">
        <v>25</v>
      </c>
      <c r="I8" s="3" t="s">
        <v>38</v>
      </c>
      <c r="J8" s="5">
        <v>45087</v>
      </c>
      <c r="K8" s="2" t="b">
        <v>1</v>
      </c>
      <c r="M8" s="6" t="s">
        <v>28</v>
      </c>
      <c r="N8">
        <f>SUMIF(C:C,"Beverages",G:G)</f>
        <v>13417.5</v>
      </c>
    </row>
    <row r="9" spans="1:14" x14ac:dyDescent="0.3">
      <c r="A9" s="3" t="s">
        <v>39</v>
      </c>
      <c r="B9" s="3" t="s">
        <v>40</v>
      </c>
      <c r="C9" s="3" t="s">
        <v>41</v>
      </c>
      <c r="D9" s="3" t="s">
        <v>1233</v>
      </c>
      <c r="E9" s="4">
        <v>33.5</v>
      </c>
      <c r="F9" s="4" t="s">
        <v>1233</v>
      </c>
      <c r="G9" s="4" t="s">
        <v>1233</v>
      </c>
      <c r="H9" s="3" t="s">
        <v>15</v>
      </c>
      <c r="I9" s="3" t="s">
        <v>38</v>
      </c>
      <c r="J9" s="5">
        <v>45384</v>
      </c>
      <c r="K9" s="2" t="b">
        <v>1</v>
      </c>
      <c r="M9" s="6" t="s">
        <v>13</v>
      </c>
      <c r="N9">
        <f>SUMIF(C:C,"Patisserie",G:G)</f>
        <v>15139.5</v>
      </c>
    </row>
    <row r="10" spans="1:14" x14ac:dyDescent="0.3">
      <c r="A10" s="3" t="s">
        <v>42</v>
      </c>
      <c r="B10" s="3" t="s">
        <v>43</v>
      </c>
      <c r="C10" s="3" t="s">
        <v>41</v>
      </c>
      <c r="D10" s="3" t="s">
        <v>44</v>
      </c>
      <c r="E10" s="4">
        <v>27.5</v>
      </c>
      <c r="F10" s="4">
        <v>1</v>
      </c>
      <c r="G10" s="4">
        <v>27.5</v>
      </c>
      <c r="H10" s="3" t="s">
        <v>25</v>
      </c>
      <c r="I10" s="3" t="s">
        <v>38</v>
      </c>
      <c r="J10" s="5">
        <v>45042</v>
      </c>
      <c r="K10" s="2" t="b">
        <v>0</v>
      </c>
      <c r="M10" s="7" t="s">
        <v>23</v>
      </c>
      <c r="N10">
        <f>SUMIF(C:C,"Butchers",G:G)</f>
        <v>17995</v>
      </c>
    </row>
    <row r="11" spans="1:14" x14ac:dyDescent="0.3">
      <c r="A11" s="3" t="s">
        <v>45</v>
      </c>
      <c r="B11" s="3" t="s">
        <v>46</v>
      </c>
      <c r="C11" s="3" t="s">
        <v>23</v>
      </c>
      <c r="D11" s="3" t="s">
        <v>47</v>
      </c>
      <c r="E11" s="4">
        <v>36.5</v>
      </c>
      <c r="F11" s="4">
        <v>3</v>
      </c>
      <c r="G11" s="4">
        <v>109.5</v>
      </c>
      <c r="H11" s="3" t="s">
        <v>48</v>
      </c>
      <c r="I11" s="3" t="s">
        <v>16</v>
      </c>
      <c r="J11" s="5">
        <v>45365</v>
      </c>
      <c r="K11" s="2" t="b">
        <v>0</v>
      </c>
      <c r="M11" s="6" t="s">
        <v>41</v>
      </c>
      <c r="N11">
        <f>SUMIF(C:C,"Furniture",G:G)</f>
        <v>17122.5</v>
      </c>
    </row>
    <row r="12" spans="1:14" x14ac:dyDescent="0.3">
      <c r="A12" s="3" t="s">
        <v>49</v>
      </c>
      <c r="B12" s="3" t="s">
        <v>18</v>
      </c>
      <c r="C12" s="3" t="s">
        <v>23</v>
      </c>
      <c r="D12" s="3" t="s">
        <v>50</v>
      </c>
      <c r="E12" s="4">
        <v>8</v>
      </c>
      <c r="F12" s="4">
        <v>9</v>
      </c>
      <c r="G12" s="4">
        <v>72</v>
      </c>
      <c r="H12" s="3" t="s">
        <v>48</v>
      </c>
      <c r="I12" s="3" t="s">
        <v>38</v>
      </c>
      <c r="J12" s="5">
        <v>45640</v>
      </c>
      <c r="K12" s="2" t="b">
        <v>1</v>
      </c>
      <c r="M12" s="7" t="s">
        <v>66</v>
      </c>
      <c r="N12">
        <f>SUMIF(C:C,"Electric household essentials",G:G)</f>
        <v>13569</v>
      </c>
    </row>
    <row r="13" spans="1:14" x14ac:dyDescent="0.3">
      <c r="A13" s="3" t="s">
        <v>51</v>
      </c>
      <c r="B13" s="3" t="s">
        <v>12</v>
      </c>
      <c r="C13" s="3" t="s">
        <v>19</v>
      </c>
      <c r="D13" s="3" t="s">
        <v>1233</v>
      </c>
      <c r="E13" s="4" t="s">
        <v>1233</v>
      </c>
      <c r="F13" s="4">
        <v>8</v>
      </c>
      <c r="G13" s="4">
        <v>52</v>
      </c>
      <c r="H13" s="3" t="s">
        <v>15</v>
      </c>
      <c r="I13" s="3" t="s">
        <v>38</v>
      </c>
      <c r="J13" s="5">
        <v>45669</v>
      </c>
      <c r="K13" s="2" t="b">
        <v>1</v>
      </c>
      <c r="M13" s="8" t="s">
        <v>130</v>
      </c>
      <c r="N13" s="9">
        <f>SUMIF(C:C,"food",G:G)</f>
        <v>14888</v>
      </c>
    </row>
    <row r="14" spans="1:14" x14ac:dyDescent="0.3">
      <c r="A14" s="3" t="s">
        <v>52</v>
      </c>
      <c r="B14" s="3" t="s">
        <v>43</v>
      </c>
      <c r="C14" s="3" t="s">
        <v>32</v>
      </c>
      <c r="D14" s="3" t="s">
        <v>53</v>
      </c>
      <c r="E14" s="4">
        <v>6.5</v>
      </c>
      <c r="F14" s="4">
        <v>7</v>
      </c>
      <c r="G14" s="4">
        <v>45.5</v>
      </c>
      <c r="H14" s="3" t="s">
        <v>48</v>
      </c>
      <c r="I14" s="3" t="s">
        <v>16</v>
      </c>
      <c r="J14" s="5">
        <v>45178</v>
      </c>
      <c r="K14" s="2" t="b">
        <v>1</v>
      </c>
    </row>
    <row r="15" spans="1:14" x14ac:dyDescent="0.3">
      <c r="A15" s="3" t="s">
        <v>54</v>
      </c>
      <c r="B15" s="3" t="s">
        <v>55</v>
      </c>
      <c r="C15" s="3" t="s">
        <v>13</v>
      </c>
      <c r="D15" s="3" t="s">
        <v>56</v>
      </c>
      <c r="E15" s="4">
        <v>39.5</v>
      </c>
      <c r="F15" s="4">
        <v>6</v>
      </c>
      <c r="G15" s="4">
        <v>237</v>
      </c>
      <c r="H15" s="3" t="s">
        <v>15</v>
      </c>
      <c r="I15" s="3" t="s">
        <v>38</v>
      </c>
      <c r="J15" s="5">
        <v>44701</v>
      </c>
      <c r="K15" s="2" t="b">
        <v>0</v>
      </c>
    </row>
    <row r="16" spans="1:14" x14ac:dyDescent="0.3">
      <c r="A16" s="3" t="s">
        <v>57</v>
      </c>
      <c r="B16" s="3" t="s">
        <v>12</v>
      </c>
      <c r="C16" s="3" t="s">
        <v>19</v>
      </c>
      <c r="D16" s="3" t="s">
        <v>58</v>
      </c>
      <c r="E16" s="4">
        <v>27.5</v>
      </c>
      <c r="F16" s="4">
        <v>2</v>
      </c>
      <c r="G16" s="4">
        <v>55</v>
      </c>
      <c r="H16" s="3" t="s">
        <v>15</v>
      </c>
      <c r="I16" s="3" t="s">
        <v>16</v>
      </c>
      <c r="J16" s="5">
        <v>44703</v>
      </c>
      <c r="K16" s="2" t="s">
        <v>1233</v>
      </c>
    </row>
    <row r="17" spans="1:11" x14ac:dyDescent="0.3">
      <c r="A17" s="3" t="s">
        <v>59</v>
      </c>
      <c r="B17" s="3" t="s">
        <v>55</v>
      </c>
      <c r="C17" s="3" t="s">
        <v>28</v>
      </c>
      <c r="D17" s="3" t="s">
        <v>1233</v>
      </c>
      <c r="E17" s="4">
        <v>24.5</v>
      </c>
      <c r="F17" s="4" t="s">
        <v>1233</v>
      </c>
      <c r="G17" s="4" t="s">
        <v>1233</v>
      </c>
      <c r="H17" s="3" t="s">
        <v>25</v>
      </c>
      <c r="I17" s="3" t="s">
        <v>38</v>
      </c>
      <c r="J17" s="5">
        <v>44692</v>
      </c>
      <c r="K17" s="2" t="s">
        <v>1233</v>
      </c>
    </row>
    <row r="18" spans="1:11" x14ac:dyDescent="0.3">
      <c r="A18" s="3" t="s">
        <v>60</v>
      </c>
      <c r="B18" s="3" t="s">
        <v>43</v>
      </c>
      <c r="C18" s="3" t="s">
        <v>13</v>
      </c>
      <c r="D18" s="3" t="s">
        <v>61</v>
      </c>
      <c r="E18" s="4">
        <v>29</v>
      </c>
      <c r="F18" s="4">
        <v>8</v>
      </c>
      <c r="G18" s="4">
        <v>232</v>
      </c>
      <c r="H18" s="3" t="s">
        <v>48</v>
      </c>
      <c r="I18" s="3" t="s">
        <v>16</v>
      </c>
      <c r="J18" s="5">
        <v>45612</v>
      </c>
      <c r="K18" s="2" t="b">
        <v>1</v>
      </c>
    </row>
    <row r="19" spans="1:11" x14ac:dyDescent="0.3">
      <c r="A19" s="3" t="s">
        <v>62</v>
      </c>
      <c r="B19" s="3" t="s">
        <v>63</v>
      </c>
      <c r="C19" s="3" t="s">
        <v>19</v>
      </c>
      <c r="D19" s="3" t="s">
        <v>1233</v>
      </c>
      <c r="E19" s="4" t="s">
        <v>1233</v>
      </c>
      <c r="F19" s="4">
        <v>10</v>
      </c>
      <c r="G19" s="4">
        <v>275</v>
      </c>
      <c r="H19" s="3" t="s">
        <v>15</v>
      </c>
      <c r="I19" s="3" t="s">
        <v>16</v>
      </c>
      <c r="J19" s="5">
        <v>44668</v>
      </c>
      <c r="K19" s="2" t="s">
        <v>1233</v>
      </c>
    </row>
    <row r="20" spans="1:11" x14ac:dyDescent="0.3">
      <c r="A20" s="3" t="s">
        <v>64</v>
      </c>
      <c r="B20" s="3" t="s">
        <v>65</v>
      </c>
      <c r="C20" s="3" t="s">
        <v>66</v>
      </c>
      <c r="D20" s="3" t="s">
        <v>67</v>
      </c>
      <c r="E20" s="4">
        <v>23</v>
      </c>
      <c r="F20" s="4">
        <v>1</v>
      </c>
      <c r="G20" s="4">
        <v>23</v>
      </c>
      <c r="H20" s="3" t="s">
        <v>15</v>
      </c>
      <c r="I20" s="3" t="s">
        <v>38</v>
      </c>
      <c r="J20" s="5">
        <v>44599</v>
      </c>
      <c r="K20" s="2" t="b">
        <v>0</v>
      </c>
    </row>
    <row r="21" spans="1:11" x14ac:dyDescent="0.3">
      <c r="A21" s="3" t="s">
        <v>68</v>
      </c>
      <c r="B21" s="3" t="s">
        <v>69</v>
      </c>
      <c r="C21" s="3" t="s">
        <v>41</v>
      </c>
      <c r="D21" s="3" t="s">
        <v>1233</v>
      </c>
      <c r="E21" s="4">
        <v>35</v>
      </c>
      <c r="F21" s="4" t="s">
        <v>1233</v>
      </c>
      <c r="G21" s="4" t="s">
        <v>1233</v>
      </c>
      <c r="H21" s="3" t="s">
        <v>15</v>
      </c>
      <c r="I21" s="3" t="s">
        <v>16</v>
      </c>
      <c r="J21" s="5">
        <v>45670</v>
      </c>
      <c r="K21" s="2" t="b">
        <v>0</v>
      </c>
    </row>
    <row r="22" spans="1:11" x14ac:dyDescent="0.3">
      <c r="A22" s="3" t="s">
        <v>70</v>
      </c>
      <c r="B22" s="3" t="s">
        <v>55</v>
      </c>
      <c r="C22" s="3" t="s">
        <v>28</v>
      </c>
      <c r="D22" s="3" t="s">
        <v>71</v>
      </c>
      <c r="E22" s="4">
        <v>14</v>
      </c>
      <c r="F22" s="4">
        <v>9</v>
      </c>
      <c r="G22" s="4">
        <v>126</v>
      </c>
      <c r="H22" s="3" t="s">
        <v>15</v>
      </c>
      <c r="I22" s="3" t="s">
        <v>38</v>
      </c>
      <c r="J22" s="5">
        <v>45305</v>
      </c>
      <c r="K22" s="2" t="s">
        <v>1233</v>
      </c>
    </row>
    <row r="23" spans="1:11" x14ac:dyDescent="0.3">
      <c r="A23" s="3" t="s">
        <v>72</v>
      </c>
      <c r="B23" s="3" t="s">
        <v>63</v>
      </c>
      <c r="C23" s="3" t="s">
        <v>19</v>
      </c>
      <c r="D23" s="3" t="s">
        <v>1233</v>
      </c>
      <c r="E23" s="4" t="s">
        <v>1233</v>
      </c>
      <c r="F23" s="4">
        <v>3</v>
      </c>
      <c r="G23" s="4">
        <v>105</v>
      </c>
      <c r="H23" s="3" t="s">
        <v>25</v>
      </c>
      <c r="I23" s="3" t="s">
        <v>38</v>
      </c>
      <c r="J23" s="5">
        <v>45228</v>
      </c>
      <c r="K23" s="2" t="s">
        <v>1233</v>
      </c>
    </row>
    <row r="24" spans="1:11" x14ac:dyDescent="0.3">
      <c r="A24" s="3" t="s">
        <v>73</v>
      </c>
      <c r="B24" s="3" t="s">
        <v>74</v>
      </c>
      <c r="C24" s="3" t="s">
        <v>66</v>
      </c>
      <c r="D24" s="3" t="s">
        <v>75</v>
      </c>
      <c r="E24" s="4">
        <v>9.5</v>
      </c>
      <c r="F24" s="4">
        <v>7</v>
      </c>
      <c r="G24" s="4">
        <v>66.5</v>
      </c>
      <c r="H24" s="3" t="s">
        <v>48</v>
      </c>
      <c r="I24" s="3" t="s">
        <v>38</v>
      </c>
      <c r="J24" s="5">
        <v>44788</v>
      </c>
      <c r="K24" s="2" t="s">
        <v>1233</v>
      </c>
    </row>
    <row r="25" spans="1:11" x14ac:dyDescent="0.3">
      <c r="A25" s="3" t="s">
        <v>76</v>
      </c>
      <c r="B25" s="3" t="s">
        <v>77</v>
      </c>
      <c r="C25" s="3" t="s">
        <v>32</v>
      </c>
      <c r="D25" s="3" t="s">
        <v>78</v>
      </c>
      <c r="E25" s="4">
        <v>18.5</v>
      </c>
      <c r="F25" s="4">
        <v>1</v>
      </c>
      <c r="G25" s="4">
        <v>18.5</v>
      </c>
      <c r="H25" s="3" t="s">
        <v>48</v>
      </c>
      <c r="I25" s="3" t="s">
        <v>16</v>
      </c>
      <c r="J25" s="5">
        <v>45199</v>
      </c>
      <c r="K25" s="2" t="b">
        <v>0</v>
      </c>
    </row>
    <row r="26" spans="1:11" x14ac:dyDescent="0.3">
      <c r="A26" s="3" t="s">
        <v>79</v>
      </c>
      <c r="B26" s="3" t="s">
        <v>80</v>
      </c>
      <c r="C26" s="3" t="s">
        <v>41</v>
      </c>
      <c r="D26" s="3" t="s">
        <v>81</v>
      </c>
      <c r="E26" s="4">
        <v>24.5</v>
      </c>
      <c r="F26" s="4">
        <v>2</v>
      </c>
      <c r="G26" s="4">
        <v>49</v>
      </c>
      <c r="H26" s="3" t="s">
        <v>48</v>
      </c>
      <c r="I26" s="3" t="s">
        <v>16</v>
      </c>
      <c r="J26" s="5">
        <v>45167</v>
      </c>
      <c r="K26" s="2" t="b">
        <v>0</v>
      </c>
    </row>
    <row r="27" spans="1:11" x14ac:dyDescent="0.3">
      <c r="A27" s="3" t="s">
        <v>82</v>
      </c>
      <c r="B27" s="3" t="s">
        <v>31</v>
      </c>
      <c r="C27" s="3" t="s">
        <v>41</v>
      </c>
      <c r="D27" s="3" t="s">
        <v>1233</v>
      </c>
      <c r="E27" s="4">
        <v>39.5</v>
      </c>
      <c r="F27" s="4" t="s">
        <v>1233</v>
      </c>
      <c r="G27" s="4" t="s">
        <v>1233</v>
      </c>
      <c r="H27" s="3" t="s">
        <v>48</v>
      </c>
      <c r="I27" s="3" t="s">
        <v>16</v>
      </c>
      <c r="J27" s="5">
        <v>44812</v>
      </c>
      <c r="K27" s="2" t="b">
        <v>0</v>
      </c>
    </row>
    <row r="28" spans="1:11" x14ac:dyDescent="0.3">
      <c r="A28" s="3" t="s">
        <v>83</v>
      </c>
      <c r="B28" s="3" t="s">
        <v>84</v>
      </c>
      <c r="C28" s="3" t="s">
        <v>23</v>
      </c>
      <c r="D28" s="3" t="s">
        <v>85</v>
      </c>
      <c r="E28" s="4">
        <v>33.5</v>
      </c>
      <c r="F28" s="4">
        <v>4</v>
      </c>
      <c r="G28" s="4">
        <v>134</v>
      </c>
      <c r="H28" s="3" t="s">
        <v>25</v>
      </c>
      <c r="I28" s="3" t="s">
        <v>38</v>
      </c>
      <c r="J28" s="5">
        <v>44636</v>
      </c>
      <c r="K28" s="2" t="b">
        <v>1</v>
      </c>
    </row>
    <row r="29" spans="1:11" x14ac:dyDescent="0.3">
      <c r="A29" s="3" t="s">
        <v>86</v>
      </c>
      <c r="B29" s="3" t="s">
        <v>55</v>
      </c>
      <c r="C29" s="3" t="s">
        <v>41</v>
      </c>
      <c r="D29" s="3" t="s">
        <v>87</v>
      </c>
      <c r="E29" s="4">
        <v>41</v>
      </c>
      <c r="F29" s="4">
        <v>10</v>
      </c>
      <c r="G29" s="4">
        <v>410</v>
      </c>
      <c r="H29" s="3" t="s">
        <v>25</v>
      </c>
      <c r="I29" s="3" t="s">
        <v>38</v>
      </c>
      <c r="J29" s="5">
        <v>45375</v>
      </c>
      <c r="K29" s="2" t="b">
        <v>1</v>
      </c>
    </row>
    <row r="30" spans="1:11" x14ac:dyDescent="0.3">
      <c r="A30" s="3" t="s">
        <v>88</v>
      </c>
      <c r="B30" s="3" t="s">
        <v>89</v>
      </c>
      <c r="C30" s="3" t="s">
        <v>32</v>
      </c>
      <c r="D30" s="3" t="s">
        <v>90</v>
      </c>
      <c r="E30" s="4">
        <v>24.5</v>
      </c>
      <c r="F30" s="4">
        <v>10</v>
      </c>
      <c r="G30" s="4">
        <v>245</v>
      </c>
      <c r="H30" s="3" t="s">
        <v>48</v>
      </c>
      <c r="I30" s="3" t="s">
        <v>38</v>
      </c>
      <c r="J30" s="5">
        <v>44857</v>
      </c>
      <c r="K30" s="2" t="b">
        <v>1</v>
      </c>
    </row>
    <row r="31" spans="1:11" x14ac:dyDescent="0.3">
      <c r="A31" s="3" t="s">
        <v>91</v>
      </c>
      <c r="B31" s="3" t="s">
        <v>84</v>
      </c>
      <c r="C31" s="3" t="s">
        <v>13</v>
      </c>
      <c r="D31" s="3" t="s">
        <v>92</v>
      </c>
      <c r="E31" s="4">
        <v>36.5</v>
      </c>
      <c r="F31" s="4">
        <v>5</v>
      </c>
      <c r="G31" s="4">
        <v>182.5</v>
      </c>
      <c r="H31" s="3" t="s">
        <v>25</v>
      </c>
      <c r="I31" s="3" t="s">
        <v>38</v>
      </c>
      <c r="J31" s="5">
        <v>44630</v>
      </c>
      <c r="K31" s="2" t="b">
        <v>0</v>
      </c>
    </row>
    <row r="32" spans="1:11" x14ac:dyDescent="0.3">
      <c r="A32" s="3" t="s">
        <v>93</v>
      </c>
      <c r="B32" s="3" t="s">
        <v>31</v>
      </c>
      <c r="C32" s="3" t="s">
        <v>32</v>
      </c>
      <c r="D32" s="3" t="s">
        <v>94</v>
      </c>
      <c r="E32" s="4">
        <v>20</v>
      </c>
      <c r="F32" s="4">
        <v>10</v>
      </c>
      <c r="G32" s="4">
        <v>200</v>
      </c>
      <c r="H32" s="3" t="s">
        <v>15</v>
      </c>
      <c r="I32" s="3" t="s">
        <v>16</v>
      </c>
      <c r="J32" s="5">
        <v>44677</v>
      </c>
      <c r="K32" s="2" t="b">
        <v>0</v>
      </c>
    </row>
    <row r="33" spans="1:11" x14ac:dyDescent="0.3">
      <c r="A33" s="3" t="s">
        <v>95</v>
      </c>
      <c r="B33" s="3" t="s">
        <v>18</v>
      </c>
      <c r="C33" s="3" t="s">
        <v>13</v>
      </c>
      <c r="D33" s="3" t="s">
        <v>96</v>
      </c>
      <c r="E33" s="4">
        <v>12.5</v>
      </c>
      <c r="F33" s="4">
        <v>8</v>
      </c>
      <c r="G33" s="4">
        <v>100</v>
      </c>
      <c r="H33" s="3" t="s">
        <v>25</v>
      </c>
      <c r="I33" s="3" t="s">
        <v>16</v>
      </c>
      <c r="J33" s="5">
        <v>44656</v>
      </c>
      <c r="K33" s="2" t="b">
        <v>1</v>
      </c>
    </row>
    <row r="34" spans="1:11" x14ac:dyDescent="0.3">
      <c r="A34" s="3" t="s">
        <v>97</v>
      </c>
      <c r="B34" s="3" t="s">
        <v>98</v>
      </c>
      <c r="C34" s="3" t="s">
        <v>32</v>
      </c>
      <c r="D34" s="3" t="s">
        <v>1233</v>
      </c>
      <c r="E34" s="4" t="s">
        <v>1233</v>
      </c>
      <c r="F34" s="4">
        <v>8</v>
      </c>
      <c r="G34" s="4">
        <v>196</v>
      </c>
      <c r="H34" s="3" t="s">
        <v>25</v>
      </c>
      <c r="I34" s="3" t="s">
        <v>16</v>
      </c>
      <c r="J34" s="5">
        <v>45590</v>
      </c>
      <c r="K34" s="2" t="b">
        <v>1</v>
      </c>
    </row>
    <row r="35" spans="1:11" x14ac:dyDescent="0.3">
      <c r="A35" s="3" t="s">
        <v>99</v>
      </c>
      <c r="B35" s="3" t="s">
        <v>100</v>
      </c>
      <c r="C35" s="3" t="s">
        <v>66</v>
      </c>
      <c r="D35" s="3" t="s">
        <v>101</v>
      </c>
      <c r="E35" s="4">
        <v>35</v>
      </c>
      <c r="F35" s="4">
        <v>9</v>
      </c>
      <c r="G35" s="4">
        <v>315</v>
      </c>
      <c r="H35" s="3" t="s">
        <v>25</v>
      </c>
      <c r="I35" s="3" t="s">
        <v>38</v>
      </c>
      <c r="J35" s="5">
        <v>45358</v>
      </c>
      <c r="K35" s="2" t="s">
        <v>1233</v>
      </c>
    </row>
    <row r="36" spans="1:11" x14ac:dyDescent="0.3">
      <c r="A36" s="3" t="s">
        <v>102</v>
      </c>
      <c r="B36" s="3" t="s">
        <v>27</v>
      </c>
      <c r="C36" s="3" t="s">
        <v>13</v>
      </c>
      <c r="D36" s="3" t="s">
        <v>1233</v>
      </c>
      <c r="E36" s="4">
        <v>23</v>
      </c>
      <c r="F36" s="4" t="s">
        <v>1233</v>
      </c>
      <c r="G36" s="4" t="s">
        <v>1233</v>
      </c>
      <c r="H36" s="3" t="s">
        <v>48</v>
      </c>
      <c r="I36" s="3" t="s">
        <v>38</v>
      </c>
      <c r="J36" s="5">
        <v>44975</v>
      </c>
      <c r="K36" s="2" t="s">
        <v>1233</v>
      </c>
    </row>
    <row r="37" spans="1:11" x14ac:dyDescent="0.3">
      <c r="A37" s="3" t="s">
        <v>103</v>
      </c>
      <c r="B37" s="3" t="s">
        <v>63</v>
      </c>
      <c r="C37" s="3" t="s">
        <v>28</v>
      </c>
      <c r="D37" s="3" t="s">
        <v>104</v>
      </c>
      <c r="E37" s="4">
        <v>41</v>
      </c>
      <c r="F37" s="4">
        <v>7</v>
      </c>
      <c r="G37" s="4">
        <v>287</v>
      </c>
      <c r="H37" s="3" t="s">
        <v>25</v>
      </c>
      <c r="I37" s="3" t="s">
        <v>38</v>
      </c>
      <c r="J37" s="5">
        <v>45446</v>
      </c>
      <c r="K37" s="2" t="b">
        <v>1</v>
      </c>
    </row>
    <row r="38" spans="1:11" x14ac:dyDescent="0.3">
      <c r="A38" s="3" t="s">
        <v>105</v>
      </c>
      <c r="B38" s="3" t="s">
        <v>22</v>
      </c>
      <c r="C38" s="3" t="s">
        <v>32</v>
      </c>
      <c r="D38" s="3" t="s">
        <v>106</v>
      </c>
      <c r="E38" s="4">
        <v>38</v>
      </c>
      <c r="F38" s="4">
        <v>2</v>
      </c>
      <c r="G38" s="4">
        <v>76</v>
      </c>
      <c r="H38" s="3" t="s">
        <v>15</v>
      </c>
      <c r="I38" s="3" t="s">
        <v>38</v>
      </c>
      <c r="J38" s="5">
        <v>45361</v>
      </c>
      <c r="K38" s="2" t="b">
        <v>0</v>
      </c>
    </row>
    <row r="39" spans="1:11" x14ac:dyDescent="0.3">
      <c r="A39" s="3" t="s">
        <v>107</v>
      </c>
      <c r="B39" s="3" t="s">
        <v>108</v>
      </c>
      <c r="C39" s="3" t="s">
        <v>41</v>
      </c>
      <c r="D39" s="3" t="s">
        <v>109</v>
      </c>
      <c r="E39" s="4">
        <v>18.5</v>
      </c>
      <c r="F39" s="4">
        <v>5</v>
      </c>
      <c r="G39" s="4">
        <v>92.5</v>
      </c>
      <c r="H39" s="3" t="s">
        <v>25</v>
      </c>
      <c r="I39" s="3" t="s">
        <v>16</v>
      </c>
      <c r="J39" s="5">
        <v>45405</v>
      </c>
      <c r="K39" s="2" t="b">
        <v>1</v>
      </c>
    </row>
    <row r="40" spans="1:11" x14ac:dyDescent="0.3">
      <c r="A40" s="3" t="s">
        <v>110</v>
      </c>
      <c r="B40" s="3" t="s">
        <v>55</v>
      </c>
      <c r="C40" s="3" t="s">
        <v>28</v>
      </c>
      <c r="D40" s="3" t="s">
        <v>111</v>
      </c>
      <c r="E40" s="4">
        <v>20</v>
      </c>
      <c r="F40" s="4">
        <v>5</v>
      </c>
      <c r="G40" s="4">
        <v>100</v>
      </c>
      <c r="H40" s="3" t="s">
        <v>15</v>
      </c>
      <c r="I40" s="3" t="s">
        <v>16</v>
      </c>
      <c r="J40" s="5">
        <v>44715</v>
      </c>
      <c r="K40" s="2" t="s">
        <v>1233</v>
      </c>
    </row>
    <row r="41" spans="1:11" x14ac:dyDescent="0.3">
      <c r="A41" s="3" t="s">
        <v>112</v>
      </c>
      <c r="B41" s="3" t="s">
        <v>113</v>
      </c>
      <c r="C41" s="3" t="s">
        <v>23</v>
      </c>
      <c r="D41" s="3" t="s">
        <v>114</v>
      </c>
      <c r="E41" s="4">
        <v>38</v>
      </c>
      <c r="F41" s="4">
        <v>5</v>
      </c>
      <c r="G41" s="4">
        <v>190</v>
      </c>
      <c r="H41" s="3" t="s">
        <v>25</v>
      </c>
      <c r="I41" s="3" t="s">
        <v>38</v>
      </c>
      <c r="J41" s="5">
        <v>45584</v>
      </c>
      <c r="K41" s="2" t="b">
        <v>0</v>
      </c>
    </row>
    <row r="42" spans="1:11" x14ac:dyDescent="0.3">
      <c r="A42" s="3" t="s">
        <v>115</v>
      </c>
      <c r="B42" s="3" t="s">
        <v>116</v>
      </c>
      <c r="C42" s="3" t="s">
        <v>28</v>
      </c>
      <c r="D42" s="3" t="s">
        <v>117</v>
      </c>
      <c r="E42" s="4">
        <v>36.5</v>
      </c>
      <c r="F42" s="4">
        <v>7</v>
      </c>
      <c r="G42" s="4">
        <v>255.5</v>
      </c>
      <c r="H42" s="3" t="s">
        <v>48</v>
      </c>
      <c r="I42" s="3" t="s">
        <v>16</v>
      </c>
      <c r="J42" s="5">
        <v>45077</v>
      </c>
      <c r="K42" s="2" t="b">
        <v>1</v>
      </c>
    </row>
    <row r="43" spans="1:11" x14ac:dyDescent="0.3">
      <c r="A43" s="3" t="s">
        <v>118</v>
      </c>
      <c r="B43" s="3" t="s">
        <v>116</v>
      </c>
      <c r="C43" s="3" t="s">
        <v>66</v>
      </c>
      <c r="D43" s="3" t="s">
        <v>119</v>
      </c>
      <c r="E43" s="4">
        <v>18.5</v>
      </c>
      <c r="F43" s="4">
        <v>5</v>
      </c>
      <c r="G43" s="4">
        <v>92.5</v>
      </c>
      <c r="H43" s="3" t="s">
        <v>48</v>
      </c>
      <c r="I43" s="3" t="s">
        <v>16</v>
      </c>
      <c r="J43" s="5">
        <v>44774</v>
      </c>
      <c r="K43" s="2" t="s">
        <v>1233</v>
      </c>
    </row>
    <row r="44" spans="1:11" x14ac:dyDescent="0.3">
      <c r="A44" s="3" t="s">
        <v>120</v>
      </c>
      <c r="B44" s="3" t="s">
        <v>46</v>
      </c>
      <c r="C44" s="3" t="s">
        <v>23</v>
      </c>
      <c r="D44" s="3" t="s">
        <v>121</v>
      </c>
      <c r="E44" s="4">
        <v>39.5</v>
      </c>
      <c r="F44" s="4">
        <v>7</v>
      </c>
      <c r="G44" s="4">
        <v>276.5</v>
      </c>
      <c r="H44" s="3" t="s">
        <v>15</v>
      </c>
      <c r="I44" s="3" t="s">
        <v>38</v>
      </c>
      <c r="J44" s="5">
        <v>44855</v>
      </c>
      <c r="K44" s="2" t="s">
        <v>1233</v>
      </c>
    </row>
    <row r="45" spans="1:11" x14ac:dyDescent="0.3">
      <c r="A45" s="3" t="s">
        <v>122</v>
      </c>
      <c r="B45" s="3" t="s">
        <v>123</v>
      </c>
      <c r="C45" s="3" t="s">
        <v>28</v>
      </c>
      <c r="D45" s="3" t="s">
        <v>124</v>
      </c>
      <c r="E45" s="4">
        <v>15.5</v>
      </c>
      <c r="F45" s="4">
        <v>3</v>
      </c>
      <c r="G45" s="4">
        <v>46.5</v>
      </c>
      <c r="H45" s="3" t="s">
        <v>48</v>
      </c>
      <c r="I45" s="3" t="s">
        <v>38</v>
      </c>
      <c r="J45" s="5">
        <v>45390</v>
      </c>
      <c r="K45" s="2" t="s">
        <v>1233</v>
      </c>
    </row>
    <row r="46" spans="1:11" x14ac:dyDescent="0.3">
      <c r="A46" s="3" t="s">
        <v>125</v>
      </c>
      <c r="B46" s="3" t="s">
        <v>46</v>
      </c>
      <c r="C46" s="3" t="s">
        <v>32</v>
      </c>
      <c r="D46" s="3" t="s">
        <v>126</v>
      </c>
      <c r="E46" s="4">
        <v>8</v>
      </c>
      <c r="F46" s="4">
        <v>1</v>
      </c>
      <c r="G46" s="4">
        <v>8</v>
      </c>
      <c r="H46" s="3" t="s">
        <v>15</v>
      </c>
      <c r="I46" s="3" t="s">
        <v>38</v>
      </c>
      <c r="J46" s="5">
        <v>44670</v>
      </c>
      <c r="K46" s="2" t="s">
        <v>1233</v>
      </c>
    </row>
    <row r="47" spans="1:11" x14ac:dyDescent="0.3">
      <c r="A47" s="3" t="s">
        <v>127</v>
      </c>
      <c r="B47" s="3" t="s">
        <v>98</v>
      </c>
      <c r="C47" s="3" t="s">
        <v>32</v>
      </c>
      <c r="D47" s="3" t="s">
        <v>128</v>
      </c>
      <c r="E47" s="4">
        <v>21.5</v>
      </c>
      <c r="F47" s="4">
        <v>5</v>
      </c>
      <c r="G47" s="4">
        <v>107.5</v>
      </c>
      <c r="H47" s="3" t="s">
        <v>15</v>
      </c>
      <c r="I47" s="3" t="s">
        <v>16</v>
      </c>
      <c r="J47" s="5">
        <v>44985</v>
      </c>
      <c r="K47" s="2" t="b">
        <v>1</v>
      </c>
    </row>
    <row r="48" spans="1:11" x14ac:dyDescent="0.3">
      <c r="A48" s="3" t="s">
        <v>129</v>
      </c>
      <c r="B48" s="3" t="s">
        <v>77</v>
      </c>
      <c r="C48" s="3" t="s">
        <v>130</v>
      </c>
      <c r="D48" s="3" t="s">
        <v>131</v>
      </c>
      <c r="E48" s="4">
        <v>27.5</v>
      </c>
      <c r="F48" s="4">
        <v>6</v>
      </c>
      <c r="G48" s="4">
        <v>165</v>
      </c>
      <c r="H48" s="3" t="s">
        <v>25</v>
      </c>
      <c r="I48" s="3" t="s">
        <v>16</v>
      </c>
      <c r="J48" s="5">
        <v>44657</v>
      </c>
      <c r="K48" s="2" t="b">
        <v>0</v>
      </c>
    </row>
    <row r="49" spans="1:11" x14ac:dyDescent="0.3">
      <c r="A49" s="3" t="s">
        <v>132</v>
      </c>
      <c r="B49" s="3" t="s">
        <v>100</v>
      </c>
      <c r="C49" s="3" t="s">
        <v>13</v>
      </c>
      <c r="D49" s="3" t="s">
        <v>133</v>
      </c>
      <c r="E49" s="4">
        <v>20</v>
      </c>
      <c r="F49" s="4">
        <v>4</v>
      </c>
      <c r="G49" s="4">
        <v>80</v>
      </c>
      <c r="H49" s="3" t="s">
        <v>25</v>
      </c>
      <c r="I49" s="3" t="s">
        <v>16</v>
      </c>
      <c r="J49" s="5">
        <v>44748</v>
      </c>
      <c r="K49" s="2" t="b">
        <v>1</v>
      </c>
    </row>
    <row r="50" spans="1:11" x14ac:dyDescent="0.3">
      <c r="A50" s="3" t="s">
        <v>134</v>
      </c>
      <c r="B50" s="3" t="s">
        <v>80</v>
      </c>
      <c r="C50" s="3" t="s">
        <v>23</v>
      </c>
      <c r="D50" s="3" t="s">
        <v>135</v>
      </c>
      <c r="E50" s="4">
        <v>27.5</v>
      </c>
      <c r="F50" s="4">
        <v>6</v>
      </c>
      <c r="G50" s="4">
        <v>165</v>
      </c>
      <c r="H50" s="3" t="s">
        <v>25</v>
      </c>
      <c r="I50" s="3" t="s">
        <v>16</v>
      </c>
      <c r="J50" s="5">
        <v>45657</v>
      </c>
      <c r="K50" s="2" t="b">
        <v>1</v>
      </c>
    </row>
    <row r="51" spans="1:11" x14ac:dyDescent="0.3">
      <c r="A51" s="3" t="s">
        <v>136</v>
      </c>
      <c r="B51" s="3" t="s">
        <v>46</v>
      </c>
      <c r="C51" s="3" t="s">
        <v>19</v>
      </c>
      <c r="D51" s="3" t="s">
        <v>58</v>
      </c>
      <c r="E51" s="4">
        <v>27.5</v>
      </c>
      <c r="F51" s="4">
        <v>7</v>
      </c>
      <c r="G51" s="4">
        <v>192.5</v>
      </c>
      <c r="H51" s="3" t="s">
        <v>48</v>
      </c>
      <c r="I51" s="3" t="s">
        <v>38</v>
      </c>
      <c r="J51" s="5">
        <v>44632</v>
      </c>
      <c r="K51" s="2" t="s">
        <v>1233</v>
      </c>
    </row>
    <row r="52" spans="1:11" x14ac:dyDescent="0.3">
      <c r="A52" s="3" t="s">
        <v>137</v>
      </c>
      <c r="B52" s="3" t="s">
        <v>31</v>
      </c>
      <c r="C52" s="3" t="s">
        <v>23</v>
      </c>
      <c r="D52" s="3" t="s">
        <v>85</v>
      </c>
      <c r="E52" s="4">
        <v>33.5</v>
      </c>
      <c r="F52" s="4">
        <v>10</v>
      </c>
      <c r="G52" s="4">
        <v>335</v>
      </c>
      <c r="H52" s="3" t="s">
        <v>25</v>
      </c>
      <c r="I52" s="3" t="s">
        <v>38</v>
      </c>
      <c r="J52" s="5">
        <v>45028</v>
      </c>
      <c r="K52" s="2" t="b">
        <v>0</v>
      </c>
    </row>
    <row r="53" spans="1:11" x14ac:dyDescent="0.3">
      <c r="A53" s="3" t="s">
        <v>138</v>
      </c>
      <c r="B53" s="3" t="s">
        <v>43</v>
      </c>
      <c r="C53" s="3" t="s">
        <v>130</v>
      </c>
      <c r="D53" s="3" t="s">
        <v>139</v>
      </c>
      <c r="E53" s="4">
        <v>11</v>
      </c>
      <c r="F53" s="4">
        <v>6</v>
      </c>
      <c r="G53" s="4">
        <v>66</v>
      </c>
      <c r="H53" s="3" t="s">
        <v>25</v>
      </c>
      <c r="I53" s="3" t="s">
        <v>16</v>
      </c>
      <c r="J53" s="5">
        <v>45360</v>
      </c>
      <c r="K53" s="2" t="b">
        <v>1</v>
      </c>
    </row>
    <row r="54" spans="1:11" x14ac:dyDescent="0.3">
      <c r="A54" s="3" t="s">
        <v>140</v>
      </c>
      <c r="B54" s="3" t="s">
        <v>40</v>
      </c>
      <c r="C54" s="3" t="s">
        <v>32</v>
      </c>
      <c r="D54" s="3" t="s">
        <v>128</v>
      </c>
      <c r="E54" s="4">
        <v>21.5</v>
      </c>
      <c r="F54" s="4">
        <v>10</v>
      </c>
      <c r="G54" s="4">
        <v>215</v>
      </c>
      <c r="H54" s="3" t="s">
        <v>15</v>
      </c>
      <c r="I54" s="3" t="s">
        <v>38</v>
      </c>
      <c r="J54" s="5">
        <v>44940</v>
      </c>
      <c r="K54" s="2" t="b">
        <v>0</v>
      </c>
    </row>
    <row r="55" spans="1:11" x14ac:dyDescent="0.3">
      <c r="A55" s="3" t="s">
        <v>141</v>
      </c>
      <c r="B55" s="3" t="s">
        <v>123</v>
      </c>
      <c r="C55" s="3" t="s">
        <v>19</v>
      </c>
      <c r="D55" s="3" t="s">
        <v>142</v>
      </c>
      <c r="E55" s="4">
        <v>32</v>
      </c>
      <c r="F55" s="4">
        <v>3</v>
      </c>
      <c r="G55" s="4">
        <v>96</v>
      </c>
      <c r="H55" s="3" t="s">
        <v>25</v>
      </c>
      <c r="I55" s="3" t="s">
        <v>16</v>
      </c>
      <c r="J55" s="5">
        <v>45319</v>
      </c>
      <c r="K55" s="2" t="s">
        <v>1233</v>
      </c>
    </row>
    <row r="56" spans="1:11" x14ac:dyDescent="0.3">
      <c r="A56" s="3" t="s">
        <v>143</v>
      </c>
      <c r="B56" s="3" t="s">
        <v>69</v>
      </c>
      <c r="C56" s="3" t="s">
        <v>41</v>
      </c>
      <c r="D56" s="3" t="s">
        <v>144</v>
      </c>
      <c r="E56" s="4">
        <v>38</v>
      </c>
      <c r="F56" s="4">
        <v>5</v>
      </c>
      <c r="G56" s="4">
        <v>190</v>
      </c>
      <c r="H56" s="3" t="s">
        <v>15</v>
      </c>
      <c r="I56" s="3" t="s">
        <v>16</v>
      </c>
      <c r="J56" s="5">
        <v>45045</v>
      </c>
      <c r="K56" s="2" t="b">
        <v>0</v>
      </c>
    </row>
    <row r="57" spans="1:11" x14ac:dyDescent="0.3">
      <c r="A57" s="3" t="s">
        <v>145</v>
      </c>
      <c r="B57" s="3" t="s">
        <v>63</v>
      </c>
      <c r="C57" s="3" t="s">
        <v>41</v>
      </c>
      <c r="D57" s="3" t="s">
        <v>146</v>
      </c>
      <c r="E57" s="4">
        <v>14</v>
      </c>
      <c r="F57" s="4">
        <v>3</v>
      </c>
      <c r="G57" s="4">
        <v>42</v>
      </c>
      <c r="H57" s="3" t="s">
        <v>15</v>
      </c>
      <c r="I57" s="3" t="s">
        <v>38</v>
      </c>
      <c r="J57" s="5">
        <v>45018</v>
      </c>
      <c r="K57" s="2" t="s">
        <v>1233</v>
      </c>
    </row>
    <row r="58" spans="1:11" x14ac:dyDescent="0.3">
      <c r="A58" s="3" t="s">
        <v>147</v>
      </c>
      <c r="B58" s="3" t="s">
        <v>100</v>
      </c>
      <c r="C58" s="3" t="s">
        <v>130</v>
      </c>
      <c r="D58" s="3" t="s">
        <v>139</v>
      </c>
      <c r="E58" s="4">
        <v>11</v>
      </c>
      <c r="F58" s="4">
        <v>1</v>
      </c>
      <c r="G58" s="4">
        <v>11</v>
      </c>
      <c r="H58" s="3" t="s">
        <v>25</v>
      </c>
      <c r="I58" s="3" t="s">
        <v>16</v>
      </c>
      <c r="J58" s="5">
        <v>45277</v>
      </c>
      <c r="K58" s="2" t="b">
        <v>1</v>
      </c>
    </row>
    <row r="59" spans="1:11" x14ac:dyDescent="0.3">
      <c r="A59" s="3" t="s">
        <v>148</v>
      </c>
      <c r="B59" s="3" t="s">
        <v>36</v>
      </c>
      <c r="C59" s="3" t="s">
        <v>130</v>
      </c>
      <c r="D59" s="3" t="s">
        <v>149</v>
      </c>
      <c r="E59" s="4">
        <v>26</v>
      </c>
      <c r="F59" s="4">
        <v>9</v>
      </c>
      <c r="G59" s="4">
        <v>234</v>
      </c>
      <c r="H59" s="3" t="s">
        <v>48</v>
      </c>
      <c r="I59" s="3" t="s">
        <v>16</v>
      </c>
      <c r="J59" s="5">
        <v>45495</v>
      </c>
      <c r="K59" s="2" t="b">
        <v>1</v>
      </c>
    </row>
    <row r="60" spans="1:11" x14ac:dyDescent="0.3">
      <c r="A60" s="3" t="s">
        <v>150</v>
      </c>
      <c r="B60" s="3" t="s">
        <v>22</v>
      </c>
      <c r="C60" s="3" t="s">
        <v>41</v>
      </c>
      <c r="D60" s="3" t="s">
        <v>44</v>
      </c>
      <c r="E60" s="4">
        <v>27.5</v>
      </c>
      <c r="F60" s="4">
        <v>9</v>
      </c>
      <c r="G60" s="4">
        <v>247.5</v>
      </c>
      <c r="H60" s="3" t="s">
        <v>48</v>
      </c>
      <c r="I60" s="3" t="s">
        <v>16</v>
      </c>
      <c r="J60" s="5">
        <v>45541</v>
      </c>
      <c r="K60" s="2" t="s">
        <v>1233</v>
      </c>
    </row>
    <row r="61" spans="1:11" x14ac:dyDescent="0.3">
      <c r="A61" s="3" t="s">
        <v>151</v>
      </c>
      <c r="B61" s="3" t="s">
        <v>12</v>
      </c>
      <c r="C61" s="3" t="s">
        <v>19</v>
      </c>
      <c r="D61" s="3" t="s">
        <v>152</v>
      </c>
      <c r="E61" s="4">
        <v>12.5</v>
      </c>
      <c r="F61" s="4">
        <v>7</v>
      </c>
      <c r="G61" s="4">
        <v>87.5</v>
      </c>
      <c r="H61" s="3" t="s">
        <v>25</v>
      </c>
      <c r="I61" s="3" t="s">
        <v>16</v>
      </c>
      <c r="J61" s="5">
        <v>44939</v>
      </c>
      <c r="K61" s="2" t="b">
        <v>0</v>
      </c>
    </row>
    <row r="62" spans="1:11" x14ac:dyDescent="0.3">
      <c r="A62" s="3" t="s">
        <v>153</v>
      </c>
      <c r="B62" s="3" t="s">
        <v>74</v>
      </c>
      <c r="C62" s="3" t="s">
        <v>130</v>
      </c>
      <c r="D62" s="3" t="s">
        <v>154</v>
      </c>
      <c r="E62" s="4">
        <v>39.5</v>
      </c>
      <c r="F62" s="4">
        <v>8</v>
      </c>
      <c r="G62" s="4">
        <v>316</v>
      </c>
      <c r="H62" s="3" t="s">
        <v>25</v>
      </c>
      <c r="I62" s="3" t="s">
        <v>38</v>
      </c>
      <c r="J62" s="5">
        <v>45034</v>
      </c>
      <c r="K62" s="2" t="b">
        <v>0</v>
      </c>
    </row>
    <row r="63" spans="1:11" x14ac:dyDescent="0.3">
      <c r="A63" s="3" t="s">
        <v>155</v>
      </c>
      <c r="B63" s="3" t="s">
        <v>46</v>
      </c>
      <c r="C63" s="3" t="s">
        <v>19</v>
      </c>
      <c r="D63" s="3" t="s">
        <v>58</v>
      </c>
      <c r="E63" s="4">
        <v>27.5</v>
      </c>
      <c r="F63" s="4">
        <v>3</v>
      </c>
      <c r="G63" s="4">
        <v>82.5</v>
      </c>
      <c r="H63" s="3" t="s">
        <v>15</v>
      </c>
      <c r="I63" s="3" t="s">
        <v>16</v>
      </c>
      <c r="J63" s="5">
        <v>45603</v>
      </c>
      <c r="K63" s="2" t="b">
        <v>1</v>
      </c>
    </row>
    <row r="64" spans="1:11" x14ac:dyDescent="0.3">
      <c r="A64" s="3" t="s">
        <v>156</v>
      </c>
      <c r="B64" s="3" t="s">
        <v>123</v>
      </c>
      <c r="C64" s="3" t="s">
        <v>13</v>
      </c>
      <c r="D64" s="3" t="s">
        <v>133</v>
      </c>
      <c r="E64" s="4">
        <v>20</v>
      </c>
      <c r="F64" s="4">
        <v>9</v>
      </c>
      <c r="G64" s="4">
        <v>180</v>
      </c>
      <c r="H64" s="3" t="s">
        <v>25</v>
      </c>
      <c r="I64" s="3" t="s">
        <v>38</v>
      </c>
      <c r="J64" s="5">
        <v>45064</v>
      </c>
      <c r="K64" s="2" t="b">
        <v>1</v>
      </c>
    </row>
    <row r="65" spans="1:11" x14ac:dyDescent="0.3">
      <c r="A65" s="3" t="s">
        <v>157</v>
      </c>
      <c r="B65" s="3" t="s">
        <v>77</v>
      </c>
      <c r="C65" s="3" t="s">
        <v>130</v>
      </c>
      <c r="D65" s="3" t="s">
        <v>158</v>
      </c>
      <c r="E65" s="4">
        <v>36.5</v>
      </c>
      <c r="F65" s="4">
        <v>7</v>
      </c>
      <c r="G65" s="4">
        <v>255.5</v>
      </c>
      <c r="H65" s="3" t="s">
        <v>48</v>
      </c>
      <c r="I65" s="3" t="s">
        <v>38</v>
      </c>
      <c r="J65" s="5">
        <v>44636</v>
      </c>
      <c r="K65" s="2" t="b">
        <v>0</v>
      </c>
    </row>
    <row r="66" spans="1:11" x14ac:dyDescent="0.3">
      <c r="A66" s="3" t="s">
        <v>159</v>
      </c>
      <c r="B66" s="3" t="s">
        <v>69</v>
      </c>
      <c r="C66" s="3" t="s">
        <v>32</v>
      </c>
      <c r="D66" s="3" t="s">
        <v>160</v>
      </c>
      <c r="E66" s="4">
        <v>36.5</v>
      </c>
      <c r="F66" s="4">
        <v>10</v>
      </c>
      <c r="G66" s="4">
        <v>365</v>
      </c>
      <c r="H66" s="3" t="s">
        <v>25</v>
      </c>
      <c r="I66" s="3" t="s">
        <v>16</v>
      </c>
      <c r="J66" s="5">
        <v>45506</v>
      </c>
      <c r="K66" s="2" t="b">
        <v>1</v>
      </c>
    </row>
    <row r="67" spans="1:11" x14ac:dyDescent="0.3">
      <c r="A67" s="3" t="s">
        <v>161</v>
      </c>
      <c r="B67" s="3" t="s">
        <v>65</v>
      </c>
      <c r="C67" s="3" t="s">
        <v>23</v>
      </c>
      <c r="D67" s="3" t="s">
        <v>162</v>
      </c>
      <c r="E67" s="4">
        <v>6.5</v>
      </c>
      <c r="F67" s="4">
        <v>6</v>
      </c>
      <c r="G67" s="4">
        <v>39</v>
      </c>
      <c r="H67" s="3" t="s">
        <v>25</v>
      </c>
      <c r="I67" s="3" t="s">
        <v>38</v>
      </c>
      <c r="J67" s="5">
        <v>44846</v>
      </c>
      <c r="K67" s="2" t="s">
        <v>1233</v>
      </c>
    </row>
    <row r="68" spans="1:11" x14ac:dyDescent="0.3">
      <c r="A68" s="3" t="s">
        <v>163</v>
      </c>
      <c r="B68" s="3" t="s">
        <v>69</v>
      </c>
      <c r="C68" s="3" t="s">
        <v>13</v>
      </c>
      <c r="D68" s="3" t="s">
        <v>164</v>
      </c>
      <c r="E68" s="4">
        <v>24.5</v>
      </c>
      <c r="F68" s="4">
        <v>10</v>
      </c>
      <c r="G68" s="4">
        <v>245</v>
      </c>
      <c r="H68" s="3" t="s">
        <v>25</v>
      </c>
      <c r="I68" s="3" t="s">
        <v>38</v>
      </c>
      <c r="J68" s="5">
        <v>44601</v>
      </c>
      <c r="K68" s="2" t="b">
        <v>0</v>
      </c>
    </row>
    <row r="69" spans="1:11" x14ac:dyDescent="0.3">
      <c r="A69" s="3" t="s">
        <v>165</v>
      </c>
      <c r="B69" s="3" t="s">
        <v>84</v>
      </c>
      <c r="C69" s="3" t="s">
        <v>13</v>
      </c>
      <c r="D69" s="3" t="s">
        <v>166</v>
      </c>
      <c r="E69" s="4">
        <v>21.5</v>
      </c>
      <c r="F69" s="4">
        <v>8</v>
      </c>
      <c r="G69" s="4">
        <v>172</v>
      </c>
      <c r="H69" s="3" t="s">
        <v>48</v>
      </c>
      <c r="I69" s="3" t="s">
        <v>38</v>
      </c>
      <c r="J69" s="5">
        <v>45257</v>
      </c>
      <c r="K69" s="2" t="b">
        <v>0</v>
      </c>
    </row>
    <row r="70" spans="1:11" x14ac:dyDescent="0.3">
      <c r="A70" s="3" t="s">
        <v>167</v>
      </c>
      <c r="B70" s="3" t="s">
        <v>168</v>
      </c>
      <c r="C70" s="3" t="s">
        <v>23</v>
      </c>
      <c r="D70" s="3" t="s">
        <v>85</v>
      </c>
      <c r="E70" s="4">
        <v>33.5</v>
      </c>
      <c r="F70" s="4">
        <v>4</v>
      </c>
      <c r="G70" s="4">
        <v>134</v>
      </c>
      <c r="H70" s="3" t="s">
        <v>25</v>
      </c>
      <c r="I70" s="3" t="s">
        <v>16</v>
      </c>
      <c r="J70" s="5">
        <v>45251</v>
      </c>
      <c r="K70" s="2" t="s">
        <v>1233</v>
      </c>
    </row>
    <row r="71" spans="1:11" x14ac:dyDescent="0.3">
      <c r="A71" s="3" t="s">
        <v>169</v>
      </c>
      <c r="B71" s="3" t="s">
        <v>113</v>
      </c>
      <c r="C71" s="3" t="s">
        <v>32</v>
      </c>
      <c r="D71" s="3" t="s">
        <v>170</v>
      </c>
      <c r="E71" s="4">
        <v>30.5</v>
      </c>
      <c r="F71" s="4">
        <v>4</v>
      </c>
      <c r="G71" s="4">
        <v>122</v>
      </c>
      <c r="H71" s="3" t="s">
        <v>25</v>
      </c>
      <c r="I71" s="3" t="s">
        <v>16</v>
      </c>
      <c r="J71" s="5">
        <v>44833</v>
      </c>
      <c r="K71" s="2" t="b">
        <v>1</v>
      </c>
    </row>
    <row r="72" spans="1:11" x14ac:dyDescent="0.3">
      <c r="A72" s="3" t="s">
        <v>171</v>
      </c>
      <c r="B72" s="3" t="s">
        <v>65</v>
      </c>
      <c r="C72" s="3" t="s">
        <v>13</v>
      </c>
      <c r="D72" s="3" t="s">
        <v>172</v>
      </c>
      <c r="E72" s="4">
        <v>5</v>
      </c>
      <c r="F72" s="4">
        <v>6</v>
      </c>
      <c r="G72" s="4">
        <v>30</v>
      </c>
      <c r="H72" s="3" t="s">
        <v>15</v>
      </c>
      <c r="I72" s="3" t="s">
        <v>16</v>
      </c>
      <c r="J72" s="5">
        <v>44912</v>
      </c>
      <c r="K72" s="2" t="b">
        <v>1</v>
      </c>
    </row>
    <row r="73" spans="1:11" x14ac:dyDescent="0.3">
      <c r="A73" s="3" t="s">
        <v>173</v>
      </c>
      <c r="B73" s="3" t="s">
        <v>46</v>
      </c>
      <c r="C73" s="3" t="s">
        <v>28</v>
      </c>
      <c r="D73" s="3" t="s">
        <v>174</v>
      </c>
      <c r="E73" s="4">
        <v>9.5</v>
      </c>
      <c r="F73" s="4">
        <v>7</v>
      </c>
      <c r="G73" s="4">
        <v>66.5</v>
      </c>
      <c r="H73" s="3" t="s">
        <v>15</v>
      </c>
      <c r="I73" s="3" t="s">
        <v>38</v>
      </c>
      <c r="J73" s="5">
        <v>45010</v>
      </c>
      <c r="K73" s="2" t="s">
        <v>1233</v>
      </c>
    </row>
    <row r="74" spans="1:11" x14ac:dyDescent="0.3">
      <c r="A74" s="3" t="s">
        <v>175</v>
      </c>
      <c r="B74" s="3" t="s">
        <v>46</v>
      </c>
      <c r="C74" s="3" t="s">
        <v>41</v>
      </c>
      <c r="D74" s="3" t="s">
        <v>176</v>
      </c>
      <c r="E74" s="4">
        <v>36.5</v>
      </c>
      <c r="F74" s="4">
        <v>10</v>
      </c>
      <c r="G74" s="4">
        <v>365</v>
      </c>
      <c r="H74" s="3" t="s">
        <v>15</v>
      </c>
      <c r="I74" s="3" t="s">
        <v>38</v>
      </c>
      <c r="J74" s="5">
        <v>45284</v>
      </c>
      <c r="K74" s="2" t="b">
        <v>1</v>
      </c>
    </row>
    <row r="75" spans="1:11" x14ac:dyDescent="0.3">
      <c r="A75" s="3" t="s">
        <v>177</v>
      </c>
      <c r="B75" s="3" t="s">
        <v>40</v>
      </c>
      <c r="C75" s="3" t="s">
        <v>13</v>
      </c>
      <c r="D75" s="3" t="s">
        <v>178</v>
      </c>
      <c r="E75" s="4">
        <v>14</v>
      </c>
      <c r="F75" s="4">
        <v>9</v>
      </c>
      <c r="G75" s="4">
        <v>126</v>
      </c>
      <c r="H75" s="3" t="s">
        <v>15</v>
      </c>
      <c r="I75" s="3" t="s">
        <v>38</v>
      </c>
      <c r="J75" s="5">
        <v>45669</v>
      </c>
      <c r="K75" s="2" t="b">
        <v>0</v>
      </c>
    </row>
    <row r="76" spans="1:11" x14ac:dyDescent="0.3">
      <c r="A76" s="3" t="s">
        <v>179</v>
      </c>
      <c r="B76" s="3" t="s">
        <v>100</v>
      </c>
      <c r="C76" s="3" t="s">
        <v>28</v>
      </c>
      <c r="D76" s="3" t="s">
        <v>71</v>
      </c>
      <c r="E76" s="4">
        <v>14</v>
      </c>
      <c r="F76" s="4">
        <v>6</v>
      </c>
      <c r="G76" s="4">
        <v>84</v>
      </c>
      <c r="H76" s="3" t="s">
        <v>15</v>
      </c>
      <c r="I76" s="3" t="s">
        <v>16</v>
      </c>
      <c r="J76" s="5">
        <v>45285</v>
      </c>
      <c r="K76" s="2" t="b">
        <v>1</v>
      </c>
    </row>
    <row r="77" spans="1:11" x14ac:dyDescent="0.3">
      <c r="A77" s="3" t="s">
        <v>180</v>
      </c>
      <c r="B77" s="3" t="s">
        <v>22</v>
      </c>
      <c r="C77" s="3" t="s">
        <v>19</v>
      </c>
      <c r="D77" s="3" t="s">
        <v>142</v>
      </c>
      <c r="E77" s="4">
        <v>32</v>
      </c>
      <c r="F77" s="4">
        <v>10</v>
      </c>
      <c r="G77" s="4">
        <v>320</v>
      </c>
      <c r="H77" s="3" t="s">
        <v>15</v>
      </c>
      <c r="I77" s="3" t="s">
        <v>38</v>
      </c>
      <c r="J77" s="5">
        <v>44945</v>
      </c>
      <c r="K77" s="2" t="s">
        <v>1233</v>
      </c>
    </row>
    <row r="78" spans="1:11" x14ac:dyDescent="0.3">
      <c r="A78" s="3" t="s">
        <v>181</v>
      </c>
      <c r="B78" s="3" t="s">
        <v>22</v>
      </c>
      <c r="C78" s="3" t="s">
        <v>28</v>
      </c>
      <c r="D78" s="3" t="s">
        <v>117</v>
      </c>
      <c r="E78" s="4">
        <v>36.5</v>
      </c>
      <c r="F78" s="4">
        <v>6</v>
      </c>
      <c r="G78" s="4">
        <v>219</v>
      </c>
      <c r="H78" s="3" t="s">
        <v>48</v>
      </c>
      <c r="I78" s="3" t="s">
        <v>38</v>
      </c>
      <c r="J78" s="5">
        <v>44964</v>
      </c>
      <c r="K78" s="2" t="b">
        <v>1</v>
      </c>
    </row>
    <row r="79" spans="1:11" x14ac:dyDescent="0.3">
      <c r="A79" s="3" t="s">
        <v>182</v>
      </c>
      <c r="B79" s="3" t="s">
        <v>12</v>
      </c>
      <c r="C79" s="3" t="s">
        <v>130</v>
      </c>
      <c r="D79" s="3" t="s">
        <v>183</v>
      </c>
      <c r="E79" s="4">
        <v>33.5</v>
      </c>
      <c r="F79" s="4">
        <v>10</v>
      </c>
      <c r="G79" s="4">
        <v>335</v>
      </c>
      <c r="H79" s="3" t="s">
        <v>25</v>
      </c>
      <c r="I79" s="3" t="s">
        <v>16</v>
      </c>
      <c r="J79" s="5">
        <v>44666</v>
      </c>
      <c r="K79" s="2" t="s">
        <v>1233</v>
      </c>
    </row>
    <row r="80" spans="1:11" x14ac:dyDescent="0.3">
      <c r="A80" s="3" t="s">
        <v>184</v>
      </c>
      <c r="B80" s="3" t="s">
        <v>123</v>
      </c>
      <c r="C80" s="3" t="s">
        <v>32</v>
      </c>
      <c r="D80" s="3" t="s">
        <v>185</v>
      </c>
      <c r="E80" s="4">
        <v>33.5</v>
      </c>
      <c r="F80" s="4">
        <v>2</v>
      </c>
      <c r="G80" s="4">
        <v>67</v>
      </c>
      <c r="H80" s="3" t="s">
        <v>15</v>
      </c>
      <c r="I80" s="3" t="s">
        <v>16</v>
      </c>
      <c r="J80" s="5">
        <v>45040</v>
      </c>
      <c r="K80" s="2" t="s">
        <v>1233</v>
      </c>
    </row>
    <row r="81" spans="1:11" x14ac:dyDescent="0.3">
      <c r="A81" s="3" t="s">
        <v>186</v>
      </c>
      <c r="B81" s="3" t="s">
        <v>98</v>
      </c>
      <c r="C81" s="3" t="s">
        <v>130</v>
      </c>
      <c r="D81" s="3" t="s">
        <v>158</v>
      </c>
      <c r="E81" s="4">
        <v>36.5</v>
      </c>
      <c r="F81" s="4">
        <v>4</v>
      </c>
      <c r="G81" s="4">
        <v>146</v>
      </c>
      <c r="H81" s="3" t="s">
        <v>15</v>
      </c>
      <c r="I81" s="3" t="s">
        <v>16</v>
      </c>
      <c r="J81" s="5">
        <v>45487</v>
      </c>
      <c r="K81" s="2" t="b">
        <v>1</v>
      </c>
    </row>
    <row r="82" spans="1:11" x14ac:dyDescent="0.3">
      <c r="A82" s="3" t="s">
        <v>187</v>
      </c>
      <c r="B82" s="3" t="s">
        <v>36</v>
      </c>
      <c r="C82" s="3" t="s">
        <v>13</v>
      </c>
      <c r="D82" s="3" t="s">
        <v>61</v>
      </c>
      <c r="E82" s="4">
        <v>29</v>
      </c>
      <c r="F82" s="4">
        <v>10</v>
      </c>
      <c r="G82" s="4">
        <v>290</v>
      </c>
      <c r="H82" s="3" t="s">
        <v>25</v>
      </c>
      <c r="I82" s="3" t="s">
        <v>38</v>
      </c>
      <c r="J82" s="5">
        <v>45643</v>
      </c>
      <c r="K82" s="2" t="s">
        <v>1233</v>
      </c>
    </row>
    <row r="83" spans="1:11" x14ac:dyDescent="0.3">
      <c r="A83" s="3" t="s">
        <v>188</v>
      </c>
      <c r="B83" s="3" t="s">
        <v>74</v>
      </c>
      <c r="C83" s="3" t="s">
        <v>66</v>
      </c>
      <c r="D83" s="3" t="s">
        <v>101</v>
      </c>
      <c r="E83" s="4">
        <v>35</v>
      </c>
      <c r="F83" s="4">
        <v>2</v>
      </c>
      <c r="G83" s="4">
        <v>70</v>
      </c>
      <c r="H83" s="3" t="s">
        <v>15</v>
      </c>
      <c r="I83" s="3" t="s">
        <v>38</v>
      </c>
      <c r="J83" s="5">
        <v>45055</v>
      </c>
      <c r="K83" s="2" t="b">
        <v>0</v>
      </c>
    </row>
    <row r="84" spans="1:11" x14ac:dyDescent="0.3">
      <c r="A84" s="3" t="s">
        <v>189</v>
      </c>
      <c r="B84" s="3" t="s">
        <v>12</v>
      </c>
      <c r="C84" s="3" t="s">
        <v>41</v>
      </c>
      <c r="D84" s="3" t="s">
        <v>190</v>
      </c>
      <c r="E84" s="4">
        <v>20</v>
      </c>
      <c r="F84" s="4">
        <v>8</v>
      </c>
      <c r="G84" s="4">
        <v>160</v>
      </c>
      <c r="H84" s="3" t="s">
        <v>15</v>
      </c>
      <c r="I84" s="3" t="s">
        <v>38</v>
      </c>
      <c r="J84" s="5">
        <v>45526</v>
      </c>
      <c r="K84" s="2" t="b">
        <v>0</v>
      </c>
    </row>
    <row r="85" spans="1:11" x14ac:dyDescent="0.3">
      <c r="A85" s="3" t="s">
        <v>191</v>
      </c>
      <c r="B85" s="3" t="s">
        <v>46</v>
      </c>
      <c r="C85" s="3" t="s">
        <v>13</v>
      </c>
      <c r="D85" s="3" t="s">
        <v>1233</v>
      </c>
      <c r="E85" s="4">
        <v>15.5</v>
      </c>
      <c r="F85" s="4" t="s">
        <v>1233</v>
      </c>
      <c r="G85" s="4" t="s">
        <v>1233</v>
      </c>
      <c r="H85" s="3" t="s">
        <v>25</v>
      </c>
      <c r="I85" s="3" t="s">
        <v>38</v>
      </c>
      <c r="J85" s="5">
        <v>45376</v>
      </c>
      <c r="K85" s="2" t="b">
        <v>0</v>
      </c>
    </row>
    <row r="86" spans="1:11" x14ac:dyDescent="0.3">
      <c r="A86" s="3" t="s">
        <v>192</v>
      </c>
      <c r="B86" s="3" t="s">
        <v>77</v>
      </c>
      <c r="C86" s="3" t="s">
        <v>13</v>
      </c>
      <c r="D86" s="3" t="s">
        <v>193</v>
      </c>
      <c r="E86" s="4">
        <v>41</v>
      </c>
      <c r="F86" s="4">
        <v>2</v>
      </c>
      <c r="G86" s="4">
        <v>82</v>
      </c>
      <c r="H86" s="3" t="s">
        <v>25</v>
      </c>
      <c r="I86" s="3" t="s">
        <v>16</v>
      </c>
      <c r="J86" s="5">
        <v>45113</v>
      </c>
      <c r="K86" s="2" t="b">
        <v>1</v>
      </c>
    </row>
    <row r="87" spans="1:11" x14ac:dyDescent="0.3">
      <c r="A87" s="3" t="s">
        <v>194</v>
      </c>
      <c r="B87" s="3" t="s">
        <v>89</v>
      </c>
      <c r="C87" s="3" t="s">
        <v>32</v>
      </c>
      <c r="D87" s="3" t="s">
        <v>195</v>
      </c>
      <c r="E87" s="4">
        <v>14</v>
      </c>
      <c r="F87" s="4">
        <v>1</v>
      </c>
      <c r="G87" s="4">
        <v>14</v>
      </c>
      <c r="H87" s="3" t="s">
        <v>25</v>
      </c>
      <c r="I87" s="3" t="s">
        <v>38</v>
      </c>
      <c r="J87" s="5">
        <v>45409</v>
      </c>
      <c r="K87" s="2" t="s">
        <v>1233</v>
      </c>
    </row>
    <row r="88" spans="1:11" x14ac:dyDescent="0.3">
      <c r="A88" s="3" t="s">
        <v>196</v>
      </c>
      <c r="B88" s="3" t="s">
        <v>65</v>
      </c>
      <c r="C88" s="3" t="s">
        <v>41</v>
      </c>
      <c r="D88" s="3" t="s">
        <v>197</v>
      </c>
      <c r="E88" s="4">
        <v>35</v>
      </c>
      <c r="F88" s="4">
        <v>3</v>
      </c>
      <c r="G88" s="4">
        <v>105</v>
      </c>
      <c r="H88" s="3" t="s">
        <v>15</v>
      </c>
      <c r="I88" s="3" t="s">
        <v>16</v>
      </c>
      <c r="J88" s="5">
        <v>45017</v>
      </c>
      <c r="K88" s="2" t="s">
        <v>1233</v>
      </c>
    </row>
    <row r="89" spans="1:11" x14ac:dyDescent="0.3">
      <c r="A89" s="3" t="s">
        <v>198</v>
      </c>
      <c r="B89" s="3" t="s">
        <v>84</v>
      </c>
      <c r="C89" s="3" t="s">
        <v>41</v>
      </c>
      <c r="D89" s="3" t="s">
        <v>199</v>
      </c>
      <c r="E89" s="4">
        <v>39.5</v>
      </c>
      <c r="F89" s="4">
        <v>9</v>
      </c>
      <c r="G89" s="4">
        <v>355.5</v>
      </c>
      <c r="H89" s="3" t="s">
        <v>25</v>
      </c>
      <c r="I89" s="3" t="s">
        <v>38</v>
      </c>
      <c r="J89" s="5">
        <v>44902</v>
      </c>
      <c r="K89" s="2" t="b">
        <v>0</v>
      </c>
    </row>
    <row r="90" spans="1:11" x14ac:dyDescent="0.3">
      <c r="A90" s="3" t="s">
        <v>200</v>
      </c>
      <c r="B90" s="3" t="s">
        <v>123</v>
      </c>
      <c r="C90" s="3" t="s">
        <v>19</v>
      </c>
      <c r="D90" s="3" t="s">
        <v>201</v>
      </c>
      <c r="E90" s="4">
        <v>15.5</v>
      </c>
      <c r="F90" s="4">
        <v>8</v>
      </c>
      <c r="G90" s="4">
        <v>124</v>
      </c>
      <c r="H90" s="3" t="s">
        <v>48</v>
      </c>
      <c r="I90" s="3" t="s">
        <v>16</v>
      </c>
      <c r="J90" s="5">
        <v>45463</v>
      </c>
      <c r="K90" s="2" t="s">
        <v>1233</v>
      </c>
    </row>
    <row r="91" spans="1:11" x14ac:dyDescent="0.3">
      <c r="A91" s="3" t="s">
        <v>202</v>
      </c>
      <c r="B91" s="3" t="s">
        <v>18</v>
      </c>
      <c r="C91" s="3" t="s">
        <v>32</v>
      </c>
      <c r="D91" s="3" t="s">
        <v>203</v>
      </c>
      <c r="E91" s="4">
        <v>9.5</v>
      </c>
      <c r="F91" s="4">
        <v>3</v>
      </c>
      <c r="G91" s="4">
        <v>28.5</v>
      </c>
      <c r="H91" s="3" t="s">
        <v>48</v>
      </c>
      <c r="I91" s="3" t="s">
        <v>38</v>
      </c>
      <c r="J91" s="5">
        <v>45524</v>
      </c>
      <c r="K91" s="2" t="b">
        <v>0</v>
      </c>
    </row>
    <row r="92" spans="1:11" x14ac:dyDescent="0.3">
      <c r="A92" s="3" t="s">
        <v>204</v>
      </c>
      <c r="B92" s="3" t="s">
        <v>113</v>
      </c>
      <c r="C92" s="3" t="s">
        <v>28</v>
      </c>
      <c r="D92" s="3" t="s">
        <v>205</v>
      </c>
      <c r="E92" s="4">
        <v>24.5</v>
      </c>
      <c r="F92" s="4">
        <v>2</v>
      </c>
      <c r="G92" s="4">
        <v>49</v>
      </c>
      <c r="H92" s="3" t="s">
        <v>25</v>
      </c>
      <c r="I92" s="3" t="s">
        <v>38</v>
      </c>
      <c r="J92" s="5">
        <v>45119</v>
      </c>
      <c r="K92" s="2" t="b">
        <v>1</v>
      </c>
    </row>
    <row r="93" spans="1:11" x14ac:dyDescent="0.3">
      <c r="A93" s="3" t="s">
        <v>206</v>
      </c>
      <c r="B93" s="3" t="s">
        <v>84</v>
      </c>
      <c r="C93" s="3" t="s">
        <v>13</v>
      </c>
      <c r="D93" s="3" t="s">
        <v>207</v>
      </c>
      <c r="E93" s="4">
        <v>9.5</v>
      </c>
      <c r="F93" s="4">
        <v>5</v>
      </c>
      <c r="G93" s="4">
        <v>47.5</v>
      </c>
      <c r="H93" s="3" t="s">
        <v>48</v>
      </c>
      <c r="I93" s="3" t="s">
        <v>16</v>
      </c>
      <c r="J93" s="5">
        <v>45547</v>
      </c>
      <c r="K93" s="2" t="s">
        <v>1233</v>
      </c>
    </row>
    <row r="94" spans="1:11" x14ac:dyDescent="0.3">
      <c r="A94" s="3" t="s">
        <v>208</v>
      </c>
      <c r="B94" s="3" t="s">
        <v>98</v>
      </c>
      <c r="C94" s="3" t="s">
        <v>13</v>
      </c>
      <c r="D94" s="3" t="s">
        <v>166</v>
      </c>
      <c r="E94" s="4">
        <v>21.5</v>
      </c>
      <c r="F94" s="4">
        <v>9</v>
      </c>
      <c r="G94" s="4">
        <v>193.5</v>
      </c>
      <c r="H94" s="3" t="s">
        <v>48</v>
      </c>
      <c r="I94" s="3" t="s">
        <v>38</v>
      </c>
      <c r="J94" s="5">
        <v>45048</v>
      </c>
      <c r="K94" s="2" t="b">
        <v>1</v>
      </c>
    </row>
    <row r="95" spans="1:11" x14ac:dyDescent="0.3">
      <c r="A95" s="3" t="s">
        <v>209</v>
      </c>
      <c r="B95" s="3" t="s">
        <v>113</v>
      </c>
      <c r="C95" s="3" t="s">
        <v>19</v>
      </c>
      <c r="D95" s="3" t="s">
        <v>210</v>
      </c>
      <c r="E95" s="4">
        <v>9.5</v>
      </c>
      <c r="F95" s="4">
        <v>4</v>
      </c>
      <c r="G95" s="4">
        <v>38</v>
      </c>
      <c r="H95" s="3" t="s">
        <v>15</v>
      </c>
      <c r="I95" s="3" t="s">
        <v>16</v>
      </c>
      <c r="J95" s="5">
        <v>45378</v>
      </c>
      <c r="K95" s="2" t="b">
        <v>1</v>
      </c>
    </row>
    <row r="96" spans="1:11" x14ac:dyDescent="0.3">
      <c r="A96" s="3" t="s">
        <v>211</v>
      </c>
      <c r="B96" s="3" t="s">
        <v>84</v>
      </c>
      <c r="C96" s="3" t="s">
        <v>130</v>
      </c>
      <c r="D96" s="3" t="s">
        <v>212</v>
      </c>
      <c r="E96" s="4">
        <v>14</v>
      </c>
      <c r="F96" s="4">
        <v>1</v>
      </c>
      <c r="G96" s="4">
        <v>14</v>
      </c>
      <c r="H96" s="3" t="s">
        <v>15</v>
      </c>
      <c r="I96" s="3" t="s">
        <v>16</v>
      </c>
      <c r="J96" s="5">
        <v>44977</v>
      </c>
      <c r="K96" s="2" t="b">
        <v>1</v>
      </c>
    </row>
    <row r="97" spans="1:11" x14ac:dyDescent="0.3">
      <c r="A97" s="3" t="s">
        <v>213</v>
      </c>
      <c r="B97" s="3" t="s">
        <v>89</v>
      </c>
      <c r="C97" s="3" t="s">
        <v>66</v>
      </c>
      <c r="D97" s="3" t="s">
        <v>75</v>
      </c>
      <c r="E97" s="4">
        <v>9.5</v>
      </c>
      <c r="F97" s="4">
        <v>8</v>
      </c>
      <c r="G97" s="4">
        <v>76</v>
      </c>
      <c r="H97" s="3" t="s">
        <v>48</v>
      </c>
      <c r="I97" s="3" t="s">
        <v>38</v>
      </c>
      <c r="J97" s="5">
        <v>45471</v>
      </c>
      <c r="K97" s="2" t="s">
        <v>1233</v>
      </c>
    </row>
    <row r="98" spans="1:11" x14ac:dyDescent="0.3">
      <c r="A98" s="3" t="s">
        <v>214</v>
      </c>
      <c r="B98" s="3" t="s">
        <v>63</v>
      </c>
      <c r="C98" s="3" t="s">
        <v>66</v>
      </c>
      <c r="D98" s="3" t="s">
        <v>215</v>
      </c>
      <c r="E98" s="4">
        <v>12.5</v>
      </c>
      <c r="F98" s="4">
        <v>1</v>
      </c>
      <c r="G98" s="4">
        <v>12.5</v>
      </c>
      <c r="H98" s="3" t="s">
        <v>25</v>
      </c>
      <c r="I98" s="3" t="s">
        <v>38</v>
      </c>
      <c r="J98" s="5">
        <v>45552</v>
      </c>
      <c r="K98" s="2" t="s">
        <v>1233</v>
      </c>
    </row>
    <row r="99" spans="1:11" x14ac:dyDescent="0.3">
      <c r="A99" s="3" t="s">
        <v>216</v>
      </c>
      <c r="B99" s="3" t="s">
        <v>69</v>
      </c>
      <c r="C99" s="3" t="s">
        <v>23</v>
      </c>
      <c r="D99" s="3" t="s">
        <v>217</v>
      </c>
      <c r="E99" s="4">
        <v>35</v>
      </c>
      <c r="F99" s="4">
        <v>4</v>
      </c>
      <c r="G99" s="4">
        <v>140</v>
      </c>
      <c r="H99" s="3" t="s">
        <v>48</v>
      </c>
      <c r="I99" s="3" t="s">
        <v>38</v>
      </c>
      <c r="J99" s="5">
        <v>45387</v>
      </c>
      <c r="K99" s="2" t="b">
        <v>0</v>
      </c>
    </row>
    <row r="100" spans="1:11" x14ac:dyDescent="0.3">
      <c r="A100" s="3" t="s">
        <v>218</v>
      </c>
      <c r="B100" s="3" t="s">
        <v>40</v>
      </c>
      <c r="C100" s="3" t="s">
        <v>32</v>
      </c>
      <c r="D100" s="3" t="s">
        <v>94</v>
      </c>
      <c r="E100" s="4">
        <v>20</v>
      </c>
      <c r="F100" s="4">
        <v>6</v>
      </c>
      <c r="G100" s="4">
        <v>120</v>
      </c>
      <c r="H100" s="3" t="s">
        <v>48</v>
      </c>
      <c r="I100" s="3" t="s">
        <v>16</v>
      </c>
      <c r="J100" s="5">
        <v>44590</v>
      </c>
      <c r="K100" s="2" t="b">
        <v>1</v>
      </c>
    </row>
    <row r="101" spans="1:11" x14ac:dyDescent="0.3">
      <c r="A101" s="3" t="s">
        <v>219</v>
      </c>
      <c r="B101" s="3" t="s">
        <v>46</v>
      </c>
      <c r="C101" s="3" t="s">
        <v>32</v>
      </c>
      <c r="D101" s="3" t="s">
        <v>170</v>
      </c>
      <c r="E101" s="4">
        <v>30.5</v>
      </c>
      <c r="F101" s="4">
        <v>6</v>
      </c>
      <c r="G101" s="4">
        <v>183</v>
      </c>
      <c r="H101" s="3" t="s">
        <v>25</v>
      </c>
      <c r="I101" s="3" t="s">
        <v>38</v>
      </c>
      <c r="J101" s="5">
        <v>45163</v>
      </c>
      <c r="K101" s="2" t="s">
        <v>1233</v>
      </c>
    </row>
    <row r="102" spans="1:11" x14ac:dyDescent="0.3">
      <c r="A102" s="3" t="s">
        <v>220</v>
      </c>
      <c r="B102" s="3" t="s">
        <v>36</v>
      </c>
      <c r="C102" s="3" t="s">
        <v>32</v>
      </c>
      <c r="D102" s="3" t="s">
        <v>185</v>
      </c>
      <c r="E102" s="4">
        <v>33.5</v>
      </c>
      <c r="F102" s="4">
        <v>10</v>
      </c>
      <c r="G102" s="4">
        <v>335</v>
      </c>
      <c r="H102" s="3" t="s">
        <v>48</v>
      </c>
      <c r="I102" s="3" t="s">
        <v>16</v>
      </c>
      <c r="J102" s="5">
        <v>45481</v>
      </c>
      <c r="K102" s="2" t="b">
        <v>0</v>
      </c>
    </row>
    <row r="103" spans="1:11" x14ac:dyDescent="0.3">
      <c r="A103" s="3" t="s">
        <v>221</v>
      </c>
      <c r="B103" s="3" t="s">
        <v>69</v>
      </c>
      <c r="C103" s="3" t="s">
        <v>13</v>
      </c>
      <c r="D103" s="3" t="s">
        <v>222</v>
      </c>
      <c r="E103" s="4">
        <v>27.5</v>
      </c>
      <c r="F103" s="4">
        <v>6</v>
      </c>
      <c r="G103" s="4">
        <v>165</v>
      </c>
      <c r="H103" s="3" t="s">
        <v>48</v>
      </c>
      <c r="I103" s="3" t="s">
        <v>38</v>
      </c>
      <c r="J103" s="5">
        <v>45237</v>
      </c>
      <c r="K103" s="2" t="b">
        <v>0</v>
      </c>
    </row>
    <row r="104" spans="1:11" x14ac:dyDescent="0.3">
      <c r="A104" s="3" t="s">
        <v>223</v>
      </c>
      <c r="B104" s="3" t="s">
        <v>77</v>
      </c>
      <c r="C104" s="3" t="s">
        <v>32</v>
      </c>
      <c r="D104" s="3" t="s">
        <v>170</v>
      </c>
      <c r="E104" s="4">
        <v>30.5</v>
      </c>
      <c r="F104" s="4">
        <v>10</v>
      </c>
      <c r="G104" s="4">
        <v>305</v>
      </c>
      <c r="H104" s="3" t="s">
        <v>48</v>
      </c>
      <c r="I104" s="3" t="s">
        <v>16</v>
      </c>
      <c r="J104" s="5">
        <v>45247</v>
      </c>
      <c r="K104" s="2" t="s">
        <v>1233</v>
      </c>
    </row>
    <row r="105" spans="1:11" x14ac:dyDescent="0.3">
      <c r="A105" s="3" t="s">
        <v>224</v>
      </c>
      <c r="B105" s="3" t="s">
        <v>27</v>
      </c>
      <c r="C105" s="3" t="s">
        <v>130</v>
      </c>
      <c r="D105" s="3" t="s">
        <v>225</v>
      </c>
      <c r="E105" s="4">
        <v>41</v>
      </c>
      <c r="F105" s="4">
        <v>1</v>
      </c>
      <c r="G105" s="4">
        <v>41</v>
      </c>
      <c r="H105" s="3" t="s">
        <v>48</v>
      </c>
      <c r="I105" s="3" t="s">
        <v>38</v>
      </c>
      <c r="J105" s="5">
        <v>45601</v>
      </c>
      <c r="K105" s="2" t="b">
        <v>0</v>
      </c>
    </row>
    <row r="106" spans="1:11" x14ac:dyDescent="0.3">
      <c r="A106" s="3" t="s">
        <v>226</v>
      </c>
      <c r="B106" s="3" t="s">
        <v>12</v>
      </c>
      <c r="C106" s="3" t="s">
        <v>23</v>
      </c>
      <c r="D106" s="3" t="s">
        <v>227</v>
      </c>
      <c r="E106" s="4">
        <v>15.5</v>
      </c>
      <c r="F106" s="4">
        <v>10</v>
      </c>
      <c r="G106" s="4">
        <v>155</v>
      </c>
      <c r="H106" s="3" t="s">
        <v>15</v>
      </c>
      <c r="I106" s="3" t="s">
        <v>38</v>
      </c>
      <c r="J106" s="5">
        <v>45022</v>
      </c>
      <c r="K106" s="2" t="b">
        <v>0</v>
      </c>
    </row>
    <row r="107" spans="1:11" x14ac:dyDescent="0.3">
      <c r="A107" s="3" t="s">
        <v>228</v>
      </c>
      <c r="B107" s="3" t="s">
        <v>65</v>
      </c>
      <c r="C107" s="3" t="s">
        <v>130</v>
      </c>
      <c r="D107" s="3" t="s">
        <v>229</v>
      </c>
      <c r="E107" s="4">
        <v>18.5</v>
      </c>
      <c r="F107" s="4">
        <v>5</v>
      </c>
      <c r="G107" s="4">
        <v>92.5</v>
      </c>
      <c r="H107" s="3" t="s">
        <v>48</v>
      </c>
      <c r="I107" s="3" t="s">
        <v>16</v>
      </c>
      <c r="J107" s="5">
        <v>44708</v>
      </c>
      <c r="K107" s="2" t="b">
        <v>0</v>
      </c>
    </row>
    <row r="108" spans="1:11" x14ac:dyDescent="0.3">
      <c r="A108" s="3" t="s">
        <v>230</v>
      </c>
      <c r="B108" s="3" t="s">
        <v>55</v>
      </c>
      <c r="C108" s="3" t="s">
        <v>23</v>
      </c>
      <c r="D108" s="3" t="s">
        <v>162</v>
      </c>
      <c r="E108" s="4">
        <v>6.5</v>
      </c>
      <c r="F108" s="4">
        <v>3</v>
      </c>
      <c r="G108" s="4">
        <v>19.5</v>
      </c>
      <c r="H108" s="3" t="s">
        <v>15</v>
      </c>
      <c r="I108" s="3" t="s">
        <v>38</v>
      </c>
      <c r="J108" s="5">
        <v>44797</v>
      </c>
      <c r="K108" s="2" t="b">
        <v>0</v>
      </c>
    </row>
    <row r="109" spans="1:11" x14ac:dyDescent="0.3">
      <c r="A109" s="3" t="s">
        <v>231</v>
      </c>
      <c r="B109" s="3" t="s">
        <v>69</v>
      </c>
      <c r="C109" s="3" t="s">
        <v>41</v>
      </c>
      <c r="D109" s="3" t="s">
        <v>87</v>
      </c>
      <c r="E109" s="4">
        <v>41</v>
      </c>
      <c r="F109" s="4">
        <v>7</v>
      </c>
      <c r="G109" s="4">
        <v>287</v>
      </c>
      <c r="H109" s="3" t="s">
        <v>15</v>
      </c>
      <c r="I109" s="3" t="s">
        <v>38</v>
      </c>
      <c r="J109" s="5">
        <v>44622</v>
      </c>
      <c r="K109" s="2" t="b">
        <v>0</v>
      </c>
    </row>
    <row r="110" spans="1:11" x14ac:dyDescent="0.3">
      <c r="A110" s="3" t="s">
        <v>232</v>
      </c>
      <c r="B110" s="3" t="s">
        <v>46</v>
      </c>
      <c r="C110" s="3" t="s">
        <v>41</v>
      </c>
      <c r="D110" s="3" t="s">
        <v>233</v>
      </c>
      <c r="E110" s="4">
        <v>11</v>
      </c>
      <c r="F110" s="4">
        <v>3</v>
      </c>
      <c r="G110" s="4">
        <v>33</v>
      </c>
      <c r="H110" s="3" t="s">
        <v>25</v>
      </c>
      <c r="I110" s="3" t="s">
        <v>38</v>
      </c>
      <c r="J110" s="5">
        <v>44597</v>
      </c>
      <c r="K110" s="2" t="b">
        <v>0</v>
      </c>
    </row>
    <row r="111" spans="1:11" x14ac:dyDescent="0.3">
      <c r="A111" s="3" t="s">
        <v>234</v>
      </c>
      <c r="B111" s="3" t="s">
        <v>27</v>
      </c>
      <c r="C111" s="3" t="s">
        <v>23</v>
      </c>
      <c r="D111" s="3" t="s">
        <v>227</v>
      </c>
      <c r="E111" s="4">
        <v>15.5</v>
      </c>
      <c r="F111" s="4">
        <v>7</v>
      </c>
      <c r="G111" s="4">
        <v>108.5</v>
      </c>
      <c r="H111" s="3" t="s">
        <v>25</v>
      </c>
      <c r="I111" s="3" t="s">
        <v>38</v>
      </c>
      <c r="J111" s="5">
        <v>45412</v>
      </c>
      <c r="K111" s="2" t="s">
        <v>1233</v>
      </c>
    </row>
    <row r="112" spans="1:11" x14ac:dyDescent="0.3">
      <c r="A112" s="3" t="s">
        <v>235</v>
      </c>
      <c r="B112" s="3" t="s">
        <v>77</v>
      </c>
      <c r="C112" s="3" t="s">
        <v>32</v>
      </c>
      <c r="D112" s="3" t="s">
        <v>160</v>
      </c>
      <c r="E112" s="4">
        <v>36.5</v>
      </c>
      <c r="F112" s="4">
        <v>3</v>
      </c>
      <c r="G112" s="4">
        <v>109.5</v>
      </c>
      <c r="H112" s="3" t="s">
        <v>25</v>
      </c>
      <c r="I112" s="3" t="s">
        <v>16</v>
      </c>
      <c r="J112" s="5">
        <v>45230</v>
      </c>
      <c r="K112" s="2" t="s">
        <v>1233</v>
      </c>
    </row>
    <row r="113" spans="1:11" x14ac:dyDescent="0.3">
      <c r="A113" s="3" t="s">
        <v>236</v>
      </c>
      <c r="B113" s="3" t="s">
        <v>89</v>
      </c>
      <c r="C113" s="3" t="s">
        <v>32</v>
      </c>
      <c r="D113" s="3" t="s">
        <v>237</v>
      </c>
      <c r="E113" s="4">
        <v>17</v>
      </c>
      <c r="F113" s="4">
        <v>7</v>
      </c>
      <c r="G113" s="4">
        <v>119</v>
      </c>
      <c r="H113" s="3" t="s">
        <v>48</v>
      </c>
      <c r="I113" s="3" t="s">
        <v>38</v>
      </c>
      <c r="J113" s="5">
        <v>45599</v>
      </c>
      <c r="K113" s="2" t="b">
        <v>0</v>
      </c>
    </row>
    <row r="114" spans="1:11" x14ac:dyDescent="0.3">
      <c r="A114" s="3" t="s">
        <v>238</v>
      </c>
      <c r="B114" s="3" t="s">
        <v>43</v>
      </c>
      <c r="C114" s="3" t="s">
        <v>130</v>
      </c>
      <c r="D114" s="3" t="s">
        <v>1233</v>
      </c>
      <c r="E114" s="4">
        <v>20</v>
      </c>
      <c r="F114" s="4" t="s">
        <v>1233</v>
      </c>
      <c r="G114" s="4" t="s">
        <v>1233</v>
      </c>
      <c r="H114" s="3" t="s">
        <v>15</v>
      </c>
      <c r="I114" s="3" t="s">
        <v>16</v>
      </c>
      <c r="J114" s="5">
        <v>45307</v>
      </c>
      <c r="K114" s="2" t="b">
        <v>0</v>
      </c>
    </row>
    <row r="115" spans="1:11" x14ac:dyDescent="0.3">
      <c r="A115" s="3" t="s">
        <v>239</v>
      </c>
      <c r="B115" s="3" t="s">
        <v>108</v>
      </c>
      <c r="C115" s="3" t="s">
        <v>130</v>
      </c>
      <c r="D115" s="3" t="s">
        <v>240</v>
      </c>
      <c r="E115" s="4">
        <v>35</v>
      </c>
      <c r="F115" s="4">
        <v>8</v>
      </c>
      <c r="G115" s="4">
        <v>280</v>
      </c>
      <c r="H115" s="3" t="s">
        <v>15</v>
      </c>
      <c r="I115" s="3" t="s">
        <v>16</v>
      </c>
      <c r="J115" s="5">
        <v>44781</v>
      </c>
      <c r="K115" s="2" t="b">
        <v>1</v>
      </c>
    </row>
    <row r="116" spans="1:11" x14ac:dyDescent="0.3">
      <c r="A116" s="3" t="s">
        <v>241</v>
      </c>
      <c r="B116" s="3" t="s">
        <v>168</v>
      </c>
      <c r="C116" s="3" t="s">
        <v>28</v>
      </c>
      <c r="D116" s="3" t="s">
        <v>1233</v>
      </c>
      <c r="E116" s="4">
        <v>39.5</v>
      </c>
      <c r="F116" s="4" t="s">
        <v>1233</v>
      </c>
      <c r="G116" s="4" t="s">
        <v>1233</v>
      </c>
      <c r="H116" s="3" t="s">
        <v>15</v>
      </c>
      <c r="I116" s="3" t="s">
        <v>16</v>
      </c>
      <c r="J116" s="5">
        <v>45294</v>
      </c>
      <c r="K116" s="2" t="b">
        <v>0</v>
      </c>
    </row>
    <row r="117" spans="1:11" x14ac:dyDescent="0.3">
      <c r="A117" s="3" t="s">
        <v>242</v>
      </c>
      <c r="B117" s="3" t="s">
        <v>46</v>
      </c>
      <c r="C117" s="3" t="s">
        <v>130</v>
      </c>
      <c r="D117" s="3" t="s">
        <v>243</v>
      </c>
      <c r="E117" s="4">
        <v>15.5</v>
      </c>
      <c r="F117" s="4">
        <v>10</v>
      </c>
      <c r="G117" s="4">
        <v>155</v>
      </c>
      <c r="H117" s="3" t="s">
        <v>48</v>
      </c>
      <c r="I117" s="3" t="s">
        <v>38</v>
      </c>
      <c r="J117" s="5">
        <v>45129</v>
      </c>
      <c r="K117" s="2" t="b">
        <v>0</v>
      </c>
    </row>
    <row r="118" spans="1:11" x14ac:dyDescent="0.3">
      <c r="A118" s="3" t="s">
        <v>244</v>
      </c>
      <c r="B118" s="3" t="s">
        <v>36</v>
      </c>
      <c r="C118" s="3" t="s">
        <v>130</v>
      </c>
      <c r="D118" s="3" t="s">
        <v>225</v>
      </c>
      <c r="E118" s="4">
        <v>41</v>
      </c>
      <c r="F118" s="4">
        <v>7</v>
      </c>
      <c r="G118" s="4">
        <v>287</v>
      </c>
      <c r="H118" s="3" t="s">
        <v>48</v>
      </c>
      <c r="I118" s="3" t="s">
        <v>16</v>
      </c>
      <c r="J118" s="5">
        <v>44625</v>
      </c>
      <c r="K118" s="2" t="s">
        <v>1233</v>
      </c>
    </row>
    <row r="119" spans="1:11" x14ac:dyDescent="0.3">
      <c r="A119" s="3" t="s">
        <v>245</v>
      </c>
      <c r="B119" s="3" t="s">
        <v>46</v>
      </c>
      <c r="C119" s="3" t="s">
        <v>66</v>
      </c>
      <c r="D119" s="3" t="s">
        <v>246</v>
      </c>
      <c r="E119" s="4">
        <v>15.5</v>
      </c>
      <c r="F119" s="4">
        <v>4</v>
      </c>
      <c r="G119" s="4">
        <v>62</v>
      </c>
      <c r="H119" s="3" t="s">
        <v>15</v>
      </c>
      <c r="I119" s="3" t="s">
        <v>38</v>
      </c>
      <c r="J119" s="5">
        <v>45304</v>
      </c>
      <c r="K119" s="2" t="b">
        <v>0</v>
      </c>
    </row>
    <row r="120" spans="1:11" x14ac:dyDescent="0.3">
      <c r="A120" s="3" t="s">
        <v>247</v>
      </c>
      <c r="B120" s="3" t="s">
        <v>108</v>
      </c>
      <c r="C120" s="3" t="s">
        <v>130</v>
      </c>
      <c r="D120" s="3" t="s">
        <v>1233</v>
      </c>
      <c r="E120" s="4">
        <v>27.5</v>
      </c>
      <c r="F120" s="4" t="s">
        <v>1233</v>
      </c>
      <c r="G120" s="4" t="s">
        <v>1233</v>
      </c>
      <c r="H120" s="3" t="s">
        <v>25</v>
      </c>
      <c r="I120" s="3" t="s">
        <v>16</v>
      </c>
      <c r="J120" s="5">
        <v>44600</v>
      </c>
      <c r="K120" s="2" t="b">
        <v>0</v>
      </c>
    </row>
    <row r="121" spans="1:11" x14ac:dyDescent="0.3">
      <c r="A121" s="3" t="s">
        <v>248</v>
      </c>
      <c r="B121" s="3" t="s">
        <v>12</v>
      </c>
      <c r="C121" s="3" t="s">
        <v>32</v>
      </c>
      <c r="D121" s="3" t="s">
        <v>126</v>
      </c>
      <c r="E121" s="4">
        <v>8</v>
      </c>
      <c r="F121" s="4">
        <v>4</v>
      </c>
      <c r="G121" s="4">
        <v>32</v>
      </c>
      <c r="H121" s="3" t="s">
        <v>25</v>
      </c>
      <c r="I121" s="3" t="s">
        <v>38</v>
      </c>
      <c r="J121" s="5">
        <v>44924</v>
      </c>
      <c r="K121" s="2" t="b">
        <v>0</v>
      </c>
    </row>
    <row r="122" spans="1:11" x14ac:dyDescent="0.3">
      <c r="A122" s="3" t="s">
        <v>249</v>
      </c>
      <c r="B122" s="3" t="s">
        <v>65</v>
      </c>
      <c r="C122" s="3" t="s">
        <v>19</v>
      </c>
      <c r="D122" s="3" t="s">
        <v>250</v>
      </c>
      <c r="E122" s="4">
        <v>38</v>
      </c>
      <c r="F122" s="4">
        <v>10</v>
      </c>
      <c r="G122" s="4">
        <v>380</v>
      </c>
      <c r="H122" s="3" t="s">
        <v>15</v>
      </c>
      <c r="I122" s="3" t="s">
        <v>38</v>
      </c>
      <c r="J122" s="5">
        <v>45367</v>
      </c>
      <c r="K122" s="2" t="s">
        <v>1233</v>
      </c>
    </row>
    <row r="123" spans="1:11" x14ac:dyDescent="0.3">
      <c r="A123" s="3" t="s">
        <v>251</v>
      </c>
      <c r="B123" s="3" t="s">
        <v>46</v>
      </c>
      <c r="C123" s="3" t="s">
        <v>28</v>
      </c>
      <c r="D123" s="3" t="s">
        <v>252</v>
      </c>
      <c r="E123" s="4">
        <v>38</v>
      </c>
      <c r="F123" s="4">
        <v>8</v>
      </c>
      <c r="G123" s="4">
        <v>304</v>
      </c>
      <c r="H123" s="3" t="s">
        <v>48</v>
      </c>
      <c r="I123" s="3" t="s">
        <v>16</v>
      </c>
      <c r="J123" s="5">
        <v>45562</v>
      </c>
      <c r="K123" s="2" t="b">
        <v>1</v>
      </c>
    </row>
    <row r="124" spans="1:11" x14ac:dyDescent="0.3">
      <c r="A124" s="3" t="s">
        <v>253</v>
      </c>
      <c r="B124" s="3" t="s">
        <v>84</v>
      </c>
      <c r="C124" s="3" t="s">
        <v>23</v>
      </c>
      <c r="D124" s="3" t="s">
        <v>227</v>
      </c>
      <c r="E124" s="4">
        <v>15.5</v>
      </c>
      <c r="F124" s="4">
        <v>9</v>
      </c>
      <c r="G124" s="4">
        <v>139.5</v>
      </c>
      <c r="H124" s="3" t="s">
        <v>25</v>
      </c>
      <c r="I124" s="3" t="s">
        <v>38</v>
      </c>
      <c r="J124" s="5">
        <v>45422</v>
      </c>
      <c r="K124" s="2" t="s">
        <v>1233</v>
      </c>
    </row>
    <row r="125" spans="1:11" x14ac:dyDescent="0.3">
      <c r="A125" s="3" t="s">
        <v>254</v>
      </c>
      <c r="B125" s="3" t="s">
        <v>63</v>
      </c>
      <c r="C125" s="3" t="s">
        <v>41</v>
      </c>
      <c r="D125" s="3" t="s">
        <v>144</v>
      </c>
      <c r="E125" s="4">
        <v>38</v>
      </c>
      <c r="F125" s="4">
        <v>3</v>
      </c>
      <c r="G125" s="4">
        <v>114</v>
      </c>
      <c r="H125" s="3" t="s">
        <v>15</v>
      </c>
      <c r="I125" s="3" t="s">
        <v>16</v>
      </c>
      <c r="J125" s="5">
        <v>44780</v>
      </c>
      <c r="K125" s="2" t="s">
        <v>1233</v>
      </c>
    </row>
    <row r="126" spans="1:11" x14ac:dyDescent="0.3">
      <c r="A126" s="3" t="s">
        <v>255</v>
      </c>
      <c r="B126" s="3" t="s">
        <v>46</v>
      </c>
      <c r="C126" s="3" t="s">
        <v>28</v>
      </c>
      <c r="D126" s="3" t="s">
        <v>256</v>
      </c>
      <c r="E126" s="4">
        <v>32</v>
      </c>
      <c r="F126" s="4">
        <v>6</v>
      </c>
      <c r="G126" s="4">
        <v>192</v>
      </c>
      <c r="H126" s="3" t="s">
        <v>25</v>
      </c>
      <c r="I126" s="3" t="s">
        <v>38</v>
      </c>
      <c r="J126" s="5">
        <v>44580</v>
      </c>
      <c r="K126" s="2" t="b">
        <v>1</v>
      </c>
    </row>
    <row r="127" spans="1:11" x14ac:dyDescent="0.3">
      <c r="A127" s="3" t="s">
        <v>257</v>
      </c>
      <c r="B127" s="3" t="s">
        <v>80</v>
      </c>
      <c r="C127" s="3" t="s">
        <v>28</v>
      </c>
      <c r="D127" s="3" t="s">
        <v>258</v>
      </c>
      <c r="E127" s="4">
        <v>33.5</v>
      </c>
      <c r="F127" s="4">
        <v>5</v>
      </c>
      <c r="G127" s="4">
        <v>167.5</v>
      </c>
      <c r="H127" s="3" t="s">
        <v>48</v>
      </c>
      <c r="I127" s="3" t="s">
        <v>16</v>
      </c>
      <c r="J127" s="5">
        <v>45513</v>
      </c>
      <c r="K127" s="2" t="b">
        <v>0</v>
      </c>
    </row>
    <row r="128" spans="1:11" x14ac:dyDescent="0.3">
      <c r="A128" s="3" t="s">
        <v>259</v>
      </c>
      <c r="B128" s="3" t="s">
        <v>80</v>
      </c>
      <c r="C128" s="3" t="s">
        <v>13</v>
      </c>
      <c r="D128" s="3" t="s">
        <v>14</v>
      </c>
      <c r="E128" s="4">
        <v>18.5</v>
      </c>
      <c r="F128" s="4">
        <v>5</v>
      </c>
      <c r="G128" s="4">
        <v>92.5</v>
      </c>
      <c r="H128" s="3" t="s">
        <v>48</v>
      </c>
      <c r="I128" s="3" t="s">
        <v>38</v>
      </c>
      <c r="J128" s="5">
        <v>45428</v>
      </c>
      <c r="K128" s="2" t="b">
        <v>0</v>
      </c>
    </row>
    <row r="129" spans="1:11" x14ac:dyDescent="0.3">
      <c r="A129" s="3" t="s">
        <v>260</v>
      </c>
      <c r="B129" s="3" t="s">
        <v>40</v>
      </c>
      <c r="C129" s="3" t="s">
        <v>23</v>
      </c>
      <c r="D129" s="3" t="s">
        <v>1233</v>
      </c>
      <c r="E129" s="4" t="s">
        <v>1233</v>
      </c>
      <c r="F129" s="4">
        <v>10</v>
      </c>
      <c r="G129" s="4">
        <v>275</v>
      </c>
      <c r="H129" s="3" t="s">
        <v>15</v>
      </c>
      <c r="I129" s="3" t="s">
        <v>16</v>
      </c>
      <c r="J129" s="5">
        <v>44835</v>
      </c>
      <c r="K129" s="2" t="b">
        <v>0</v>
      </c>
    </row>
    <row r="130" spans="1:11" x14ac:dyDescent="0.3">
      <c r="A130" s="3" t="s">
        <v>261</v>
      </c>
      <c r="B130" s="3" t="s">
        <v>65</v>
      </c>
      <c r="C130" s="3" t="s">
        <v>41</v>
      </c>
      <c r="D130" s="3" t="s">
        <v>233</v>
      </c>
      <c r="E130" s="4">
        <v>11</v>
      </c>
      <c r="F130" s="4">
        <v>8</v>
      </c>
      <c r="G130" s="4">
        <v>88</v>
      </c>
      <c r="H130" s="3" t="s">
        <v>15</v>
      </c>
      <c r="I130" s="3" t="s">
        <v>16</v>
      </c>
      <c r="J130" s="5">
        <v>44740</v>
      </c>
      <c r="K130" s="2" t="b">
        <v>0</v>
      </c>
    </row>
    <row r="131" spans="1:11" x14ac:dyDescent="0.3">
      <c r="A131" s="3" t="s">
        <v>262</v>
      </c>
      <c r="B131" s="3" t="s">
        <v>113</v>
      </c>
      <c r="C131" s="3" t="s">
        <v>32</v>
      </c>
      <c r="D131" s="3" t="s">
        <v>263</v>
      </c>
      <c r="E131" s="4">
        <v>39.5</v>
      </c>
      <c r="F131" s="4">
        <v>10</v>
      </c>
      <c r="G131" s="4">
        <v>395</v>
      </c>
      <c r="H131" s="3" t="s">
        <v>48</v>
      </c>
      <c r="I131" s="3" t="s">
        <v>16</v>
      </c>
      <c r="J131" s="5">
        <v>45193</v>
      </c>
      <c r="K131" s="2" t="s">
        <v>1233</v>
      </c>
    </row>
    <row r="132" spans="1:11" x14ac:dyDescent="0.3">
      <c r="A132" s="3" t="s">
        <v>264</v>
      </c>
      <c r="B132" s="3" t="s">
        <v>108</v>
      </c>
      <c r="C132" s="3" t="s">
        <v>19</v>
      </c>
      <c r="D132" s="3" t="s">
        <v>265</v>
      </c>
      <c r="E132" s="4">
        <v>35</v>
      </c>
      <c r="F132" s="4">
        <v>2</v>
      </c>
      <c r="G132" s="4">
        <v>70</v>
      </c>
      <c r="H132" s="3" t="s">
        <v>25</v>
      </c>
      <c r="I132" s="3" t="s">
        <v>38</v>
      </c>
      <c r="J132" s="5">
        <v>44578</v>
      </c>
      <c r="K132" s="2" t="b">
        <v>0</v>
      </c>
    </row>
    <row r="133" spans="1:11" x14ac:dyDescent="0.3">
      <c r="A133" s="3" t="s">
        <v>266</v>
      </c>
      <c r="B133" s="3" t="s">
        <v>100</v>
      </c>
      <c r="C133" s="3" t="s">
        <v>41</v>
      </c>
      <c r="D133" s="3" t="s">
        <v>199</v>
      </c>
      <c r="E133" s="4">
        <v>39.5</v>
      </c>
      <c r="F133" s="4">
        <v>4</v>
      </c>
      <c r="G133" s="4">
        <v>158</v>
      </c>
      <c r="H133" s="3" t="s">
        <v>15</v>
      </c>
      <c r="I133" s="3" t="s">
        <v>38</v>
      </c>
      <c r="J133" s="5">
        <v>44665</v>
      </c>
      <c r="K133" s="2" t="b">
        <v>1</v>
      </c>
    </row>
    <row r="134" spans="1:11" x14ac:dyDescent="0.3">
      <c r="A134" s="3" t="s">
        <v>267</v>
      </c>
      <c r="B134" s="3" t="s">
        <v>84</v>
      </c>
      <c r="C134" s="3" t="s">
        <v>28</v>
      </c>
      <c r="D134" s="3" t="s">
        <v>268</v>
      </c>
      <c r="E134" s="4">
        <v>12.5</v>
      </c>
      <c r="F134" s="4">
        <v>2</v>
      </c>
      <c r="G134" s="4">
        <v>25</v>
      </c>
      <c r="H134" s="3" t="s">
        <v>48</v>
      </c>
      <c r="I134" s="3" t="s">
        <v>38</v>
      </c>
      <c r="J134" s="5">
        <v>44931</v>
      </c>
      <c r="K134" s="2" t="b">
        <v>0</v>
      </c>
    </row>
    <row r="135" spans="1:11" x14ac:dyDescent="0.3">
      <c r="A135" s="3" t="s">
        <v>269</v>
      </c>
      <c r="B135" s="3" t="s">
        <v>46</v>
      </c>
      <c r="C135" s="3" t="s">
        <v>41</v>
      </c>
      <c r="D135" s="3" t="s">
        <v>87</v>
      </c>
      <c r="E135" s="4">
        <v>41</v>
      </c>
      <c r="F135" s="4">
        <v>10</v>
      </c>
      <c r="G135" s="4">
        <v>410</v>
      </c>
      <c r="H135" s="3" t="s">
        <v>25</v>
      </c>
      <c r="I135" s="3" t="s">
        <v>38</v>
      </c>
      <c r="J135" s="5">
        <v>45148</v>
      </c>
      <c r="K135" s="2" t="s">
        <v>1233</v>
      </c>
    </row>
    <row r="136" spans="1:11" x14ac:dyDescent="0.3">
      <c r="A136" s="3" t="s">
        <v>270</v>
      </c>
      <c r="B136" s="3" t="s">
        <v>84</v>
      </c>
      <c r="C136" s="3" t="s">
        <v>19</v>
      </c>
      <c r="D136" s="3" t="s">
        <v>271</v>
      </c>
      <c r="E136" s="4">
        <v>5</v>
      </c>
      <c r="F136" s="4">
        <v>10</v>
      </c>
      <c r="G136" s="4">
        <v>50</v>
      </c>
      <c r="H136" s="3" t="s">
        <v>15</v>
      </c>
      <c r="I136" s="3" t="s">
        <v>16</v>
      </c>
      <c r="J136" s="5">
        <v>44603</v>
      </c>
      <c r="K136" s="2" t="b">
        <v>1</v>
      </c>
    </row>
    <row r="137" spans="1:11" x14ac:dyDescent="0.3">
      <c r="A137" s="3" t="s">
        <v>272</v>
      </c>
      <c r="B137" s="3" t="s">
        <v>31</v>
      </c>
      <c r="C137" s="3" t="s">
        <v>19</v>
      </c>
      <c r="D137" s="3" t="s">
        <v>273</v>
      </c>
      <c r="E137" s="4">
        <v>39.5</v>
      </c>
      <c r="F137" s="4">
        <v>10</v>
      </c>
      <c r="G137" s="4">
        <v>395</v>
      </c>
      <c r="H137" s="3" t="s">
        <v>15</v>
      </c>
      <c r="I137" s="3" t="s">
        <v>16</v>
      </c>
      <c r="J137" s="5">
        <v>45372</v>
      </c>
      <c r="K137" s="2" t="s">
        <v>1233</v>
      </c>
    </row>
    <row r="138" spans="1:11" x14ac:dyDescent="0.3">
      <c r="A138" s="3" t="s">
        <v>274</v>
      </c>
      <c r="B138" s="3" t="s">
        <v>80</v>
      </c>
      <c r="C138" s="3" t="s">
        <v>130</v>
      </c>
      <c r="D138" s="3" t="s">
        <v>275</v>
      </c>
      <c r="E138" s="4">
        <v>6.5</v>
      </c>
      <c r="F138" s="4">
        <v>5</v>
      </c>
      <c r="G138" s="4">
        <v>32.5</v>
      </c>
      <c r="H138" s="3" t="s">
        <v>15</v>
      </c>
      <c r="I138" s="3" t="s">
        <v>16</v>
      </c>
      <c r="J138" s="5">
        <v>45163</v>
      </c>
      <c r="K138" s="2" t="s">
        <v>1233</v>
      </c>
    </row>
    <row r="139" spans="1:11" x14ac:dyDescent="0.3">
      <c r="A139" s="3" t="s">
        <v>276</v>
      </c>
      <c r="B139" s="3" t="s">
        <v>18</v>
      </c>
      <c r="C139" s="3" t="s">
        <v>23</v>
      </c>
      <c r="D139" s="3" t="s">
        <v>277</v>
      </c>
      <c r="E139" s="4">
        <v>30.5</v>
      </c>
      <c r="F139" s="4">
        <v>4</v>
      </c>
      <c r="G139" s="4">
        <v>122</v>
      </c>
      <c r="H139" s="3" t="s">
        <v>15</v>
      </c>
      <c r="I139" s="3" t="s">
        <v>16</v>
      </c>
      <c r="J139" s="5">
        <v>44726</v>
      </c>
      <c r="K139" s="2" t="b">
        <v>1</v>
      </c>
    </row>
    <row r="140" spans="1:11" x14ac:dyDescent="0.3">
      <c r="A140" s="3" t="s">
        <v>278</v>
      </c>
      <c r="B140" s="3" t="s">
        <v>46</v>
      </c>
      <c r="C140" s="3" t="s">
        <v>41</v>
      </c>
      <c r="D140" s="3" t="s">
        <v>1233</v>
      </c>
      <c r="E140" s="4">
        <v>35</v>
      </c>
      <c r="F140" s="4" t="s">
        <v>1233</v>
      </c>
      <c r="G140" s="4" t="s">
        <v>1233</v>
      </c>
      <c r="H140" s="3" t="s">
        <v>25</v>
      </c>
      <c r="I140" s="3" t="s">
        <v>16</v>
      </c>
      <c r="J140" s="5">
        <v>44913</v>
      </c>
      <c r="K140" s="2" t="b">
        <v>0</v>
      </c>
    </row>
    <row r="141" spans="1:11" x14ac:dyDescent="0.3">
      <c r="A141" s="3" t="s">
        <v>279</v>
      </c>
      <c r="B141" s="3" t="s">
        <v>63</v>
      </c>
      <c r="C141" s="3" t="s">
        <v>41</v>
      </c>
      <c r="D141" s="3" t="s">
        <v>1233</v>
      </c>
      <c r="E141" s="4">
        <v>24.5</v>
      </c>
      <c r="F141" s="4" t="s">
        <v>1233</v>
      </c>
      <c r="G141" s="4" t="s">
        <v>1233</v>
      </c>
      <c r="H141" s="3" t="s">
        <v>48</v>
      </c>
      <c r="I141" s="3" t="s">
        <v>38</v>
      </c>
      <c r="J141" s="5">
        <v>45565</v>
      </c>
      <c r="K141" s="2" t="b">
        <v>1</v>
      </c>
    </row>
    <row r="142" spans="1:11" x14ac:dyDescent="0.3">
      <c r="A142" s="3" t="s">
        <v>280</v>
      </c>
      <c r="B142" s="3" t="s">
        <v>116</v>
      </c>
      <c r="C142" s="3" t="s">
        <v>41</v>
      </c>
      <c r="D142" s="3" t="s">
        <v>281</v>
      </c>
      <c r="E142" s="4">
        <v>5</v>
      </c>
      <c r="F142" s="4">
        <v>3</v>
      </c>
      <c r="G142" s="4">
        <v>15</v>
      </c>
      <c r="H142" s="3" t="s">
        <v>15</v>
      </c>
      <c r="I142" s="3" t="s">
        <v>16</v>
      </c>
      <c r="J142" s="5">
        <v>45443</v>
      </c>
      <c r="K142" s="2" t="b">
        <v>0</v>
      </c>
    </row>
    <row r="143" spans="1:11" x14ac:dyDescent="0.3">
      <c r="A143" s="3" t="s">
        <v>282</v>
      </c>
      <c r="B143" s="3" t="s">
        <v>12</v>
      </c>
      <c r="C143" s="3" t="s">
        <v>28</v>
      </c>
      <c r="D143" s="3" t="s">
        <v>258</v>
      </c>
      <c r="E143" s="4">
        <v>33.5</v>
      </c>
      <c r="F143" s="4">
        <v>1</v>
      </c>
      <c r="G143" s="4">
        <v>33.5</v>
      </c>
      <c r="H143" s="3" t="s">
        <v>25</v>
      </c>
      <c r="I143" s="3" t="s">
        <v>16</v>
      </c>
      <c r="J143" s="5">
        <v>44948</v>
      </c>
      <c r="K143" s="2" t="s">
        <v>1233</v>
      </c>
    </row>
    <row r="144" spans="1:11" x14ac:dyDescent="0.3">
      <c r="A144" s="3" t="s">
        <v>283</v>
      </c>
      <c r="B144" s="3" t="s">
        <v>43</v>
      </c>
      <c r="C144" s="3" t="s">
        <v>19</v>
      </c>
      <c r="D144" s="3" t="s">
        <v>284</v>
      </c>
      <c r="E144" s="4">
        <v>8</v>
      </c>
      <c r="F144" s="4">
        <v>3</v>
      </c>
      <c r="G144" s="4">
        <v>24</v>
      </c>
      <c r="H144" s="3" t="s">
        <v>48</v>
      </c>
      <c r="I144" s="3" t="s">
        <v>38</v>
      </c>
      <c r="J144" s="5">
        <v>44936</v>
      </c>
      <c r="K144" s="2" t="s">
        <v>1233</v>
      </c>
    </row>
    <row r="145" spans="1:11" x14ac:dyDescent="0.3">
      <c r="A145" s="3" t="s">
        <v>285</v>
      </c>
      <c r="B145" s="3" t="s">
        <v>168</v>
      </c>
      <c r="C145" s="3" t="s">
        <v>66</v>
      </c>
      <c r="D145" s="3" t="s">
        <v>119</v>
      </c>
      <c r="E145" s="4">
        <v>18.5</v>
      </c>
      <c r="F145" s="4">
        <v>6</v>
      </c>
      <c r="G145" s="4">
        <v>111</v>
      </c>
      <c r="H145" s="3" t="s">
        <v>25</v>
      </c>
      <c r="I145" s="3" t="s">
        <v>16</v>
      </c>
      <c r="J145" s="5">
        <v>45600</v>
      </c>
      <c r="K145" s="2" t="s">
        <v>1233</v>
      </c>
    </row>
    <row r="146" spans="1:11" x14ac:dyDescent="0.3">
      <c r="A146" s="3" t="s">
        <v>286</v>
      </c>
      <c r="B146" s="3" t="s">
        <v>113</v>
      </c>
      <c r="C146" s="3" t="s">
        <v>19</v>
      </c>
      <c r="D146" s="3" t="s">
        <v>287</v>
      </c>
      <c r="E146" s="4">
        <v>20</v>
      </c>
      <c r="F146" s="4">
        <v>6</v>
      </c>
      <c r="G146" s="4">
        <v>120</v>
      </c>
      <c r="H146" s="3" t="s">
        <v>25</v>
      </c>
      <c r="I146" s="3" t="s">
        <v>16</v>
      </c>
      <c r="J146" s="5">
        <v>45491</v>
      </c>
      <c r="K146" s="2" t="b">
        <v>1</v>
      </c>
    </row>
    <row r="147" spans="1:11" x14ac:dyDescent="0.3">
      <c r="A147" s="3" t="s">
        <v>288</v>
      </c>
      <c r="B147" s="3" t="s">
        <v>36</v>
      </c>
      <c r="C147" s="3" t="s">
        <v>23</v>
      </c>
      <c r="D147" s="3" t="s">
        <v>50</v>
      </c>
      <c r="E147" s="4">
        <v>8</v>
      </c>
      <c r="F147" s="4">
        <v>5</v>
      </c>
      <c r="G147" s="4">
        <v>40</v>
      </c>
      <c r="H147" s="3" t="s">
        <v>25</v>
      </c>
      <c r="I147" s="3" t="s">
        <v>38</v>
      </c>
      <c r="J147" s="5">
        <v>44910</v>
      </c>
      <c r="K147" s="2" t="b">
        <v>1</v>
      </c>
    </row>
    <row r="148" spans="1:11" x14ac:dyDescent="0.3">
      <c r="A148" s="3" t="s">
        <v>289</v>
      </c>
      <c r="B148" s="3" t="s">
        <v>40</v>
      </c>
      <c r="C148" s="3" t="s">
        <v>32</v>
      </c>
      <c r="D148" s="3" t="s">
        <v>263</v>
      </c>
      <c r="E148" s="4">
        <v>39.5</v>
      </c>
      <c r="F148" s="4">
        <v>10</v>
      </c>
      <c r="G148" s="4">
        <v>395</v>
      </c>
      <c r="H148" s="3" t="s">
        <v>25</v>
      </c>
      <c r="I148" s="3" t="s">
        <v>16</v>
      </c>
      <c r="J148" s="5">
        <v>44610</v>
      </c>
      <c r="K148" s="2" t="b">
        <v>0</v>
      </c>
    </row>
    <row r="149" spans="1:11" x14ac:dyDescent="0.3">
      <c r="A149" s="3" t="s">
        <v>290</v>
      </c>
      <c r="B149" s="3" t="s">
        <v>55</v>
      </c>
      <c r="C149" s="3" t="s">
        <v>130</v>
      </c>
      <c r="D149" s="3" t="s">
        <v>291</v>
      </c>
      <c r="E149" s="4">
        <v>23</v>
      </c>
      <c r="F149" s="4">
        <v>2</v>
      </c>
      <c r="G149" s="4">
        <v>46</v>
      </c>
      <c r="H149" s="3" t="s">
        <v>15</v>
      </c>
      <c r="I149" s="3" t="s">
        <v>38</v>
      </c>
      <c r="J149" s="5">
        <v>45331</v>
      </c>
      <c r="K149" s="2" t="b">
        <v>0</v>
      </c>
    </row>
    <row r="150" spans="1:11" x14ac:dyDescent="0.3">
      <c r="A150" s="3" t="s">
        <v>292</v>
      </c>
      <c r="B150" s="3" t="s">
        <v>89</v>
      </c>
      <c r="C150" s="3" t="s">
        <v>130</v>
      </c>
      <c r="D150" s="3" t="s">
        <v>293</v>
      </c>
      <c r="E150" s="4">
        <v>12.5</v>
      </c>
      <c r="F150" s="4">
        <v>2</v>
      </c>
      <c r="G150" s="4">
        <v>25</v>
      </c>
      <c r="H150" s="3" t="s">
        <v>15</v>
      </c>
      <c r="I150" s="3" t="s">
        <v>38</v>
      </c>
      <c r="J150" s="5">
        <v>45576</v>
      </c>
      <c r="K150" s="2" t="b">
        <v>0</v>
      </c>
    </row>
    <row r="151" spans="1:11" x14ac:dyDescent="0.3">
      <c r="A151" s="3" t="s">
        <v>294</v>
      </c>
      <c r="B151" s="3" t="s">
        <v>46</v>
      </c>
      <c r="C151" s="3" t="s">
        <v>41</v>
      </c>
      <c r="D151" s="3" t="s">
        <v>295</v>
      </c>
      <c r="E151" s="4">
        <v>6.5</v>
      </c>
      <c r="F151" s="4">
        <v>5</v>
      </c>
      <c r="G151" s="4">
        <v>32.5</v>
      </c>
      <c r="H151" s="3" t="s">
        <v>15</v>
      </c>
      <c r="I151" s="3" t="s">
        <v>38</v>
      </c>
      <c r="J151" s="5">
        <v>45126</v>
      </c>
      <c r="K151" s="2" t="s">
        <v>1233</v>
      </c>
    </row>
    <row r="152" spans="1:11" x14ac:dyDescent="0.3">
      <c r="A152" s="3" t="s">
        <v>296</v>
      </c>
      <c r="B152" s="3" t="s">
        <v>80</v>
      </c>
      <c r="C152" s="3" t="s">
        <v>32</v>
      </c>
      <c r="D152" s="3" t="s">
        <v>170</v>
      </c>
      <c r="E152" s="4">
        <v>30.5</v>
      </c>
      <c r="F152" s="4">
        <v>10</v>
      </c>
      <c r="G152" s="4">
        <v>305</v>
      </c>
      <c r="H152" s="3" t="s">
        <v>48</v>
      </c>
      <c r="I152" s="3" t="s">
        <v>16</v>
      </c>
      <c r="J152" s="5">
        <v>45608</v>
      </c>
      <c r="K152" s="2" t="b">
        <v>0</v>
      </c>
    </row>
    <row r="153" spans="1:11" x14ac:dyDescent="0.3">
      <c r="A153" s="3" t="s">
        <v>297</v>
      </c>
      <c r="B153" s="3" t="s">
        <v>65</v>
      </c>
      <c r="C153" s="3" t="s">
        <v>28</v>
      </c>
      <c r="D153" s="3" t="s">
        <v>117</v>
      </c>
      <c r="E153" s="4">
        <v>36.5</v>
      </c>
      <c r="F153" s="4">
        <v>1</v>
      </c>
      <c r="G153" s="4">
        <v>36.5</v>
      </c>
      <c r="H153" s="3" t="s">
        <v>25</v>
      </c>
      <c r="I153" s="3" t="s">
        <v>16</v>
      </c>
      <c r="J153" s="5">
        <v>45439</v>
      </c>
      <c r="K153" s="2" t="b">
        <v>0</v>
      </c>
    </row>
    <row r="154" spans="1:11" x14ac:dyDescent="0.3">
      <c r="A154" s="3" t="s">
        <v>298</v>
      </c>
      <c r="B154" s="3" t="s">
        <v>89</v>
      </c>
      <c r="C154" s="3" t="s">
        <v>28</v>
      </c>
      <c r="D154" s="3" t="s">
        <v>268</v>
      </c>
      <c r="E154" s="4">
        <v>12.5</v>
      </c>
      <c r="F154" s="4">
        <v>5</v>
      </c>
      <c r="G154" s="4">
        <v>62.5</v>
      </c>
      <c r="H154" s="3" t="s">
        <v>48</v>
      </c>
      <c r="I154" s="3" t="s">
        <v>16</v>
      </c>
      <c r="J154" s="5">
        <v>44965</v>
      </c>
      <c r="K154" s="2" t="b">
        <v>0</v>
      </c>
    </row>
    <row r="155" spans="1:11" x14ac:dyDescent="0.3">
      <c r="A155" s="3" t="s">
        <v>299</v>
      </c>
      <c r="B155" s="3" t="s">
        <v>12</v>
      </c>
      <c r="C155" s="3" t="s">
        <v>13</v>
      </c>
      <c r="D155" s="3" t="s">
        <v>96</v>
      </c>
      <c r="E155" s="4">
        <v>12.5</v>
      </c>
      <c r="F155" s="4">
        <v>2</v>
      </c>
      <c r="G155" s="4">
        <v>25</v>
      </c>
      <c r="H155" s="3" t="s">
        <v>15</v>
      </c>
      <c r="I155" s="3" t="s">
        <v>38</v>
      </c>
      <c r="J155" s="5">
        <v>45381</v>
      </c>
      <c r="K155" s="2" t="s">
        <v>1233</v>
      </c>
    </row>
    <row r="156" spans="1:11" x14ac:dyDescent="0.3">
      <c r="A156" s="3" t="s">
        <v>300</v>
      </c>
      <c r="B156" s="3" t="s">
        <v>12</v>
      </c>
      <c r="C156" s="3" t="s">
        <v>28</v>
      </c>
      <c r="D156" s="3" t="s">
        <v>301</v>
      </c>
      <c r="E156" s="4">
        <v>35</v>
      </c>
      <c r="F156" s="4">
        <v>8</v>
      </c>
      <c r="G156" s="4">
        <v>280</v>
      </c>
      <c r="H156" s="3" t="s">
        <v>25</v>
      </c>
      <c r="I156" s="3" t="s">
        <v>16</v>
      </c>
      <c r="J156" s="5">
        <v>45017</v>
      </c>
      <c r="K156" s="2" t="b">
        <v>1</v>
      </c>
    </row>
    <row r="157" spans="1:11" x14ac:dyDescent="0.3">
      <c r="A157" s="3" t="s">
        <v>302</v>
      </c>
      <c r="B157" s="3" t="s">
        <v>98</v>
      </c>
      <c r="C157" s="3" t="s">
        <v>41</v>
      </c>
      <c r="D157" s="3" t="s">
        <v>303</v>
      </c>
      <c r="E157" s="4">
        <v>15.5</v>
      </c>
      <c r="F157" s="4">
        <v>9</v>
      </c>
      <c r="G157" s="4">
        <v>139.5</v>
      </c>
      <c r="H157" s="3" t="s">
        <v>48</v>
      </c>
      <c r="I157" s="3" t="s">
        <v>16</v>
      </c>
      <c r="J157" s="5">
        <v>45450</v>
      </c>
      <c r="K157" s="2" t="s">
        <v>1233</v>
      </c>
    </row>
    <row r="158" spans="1:11" x14ac:dyDescent="0.3">
      <c r="A158" s="3" t="s">
        <v>304</v>
      </c>
      <c r="B158" s="3" t="s">
        <v>22</v>
      </c>
      <c r="C158" s="3" t="s">
        <v>23</v>
      </c>
      <c r="D158" s="3" t="s">
        <v>47</v>
      </c>
      <c r="E158" s="4">
        <v>36.5</v>
      </c>
      <c r="F158" s="4">
        <v>6</v>
      </c>
      <c r="G158" s="4">
        <v>219</v>
      </c>
      <c r="H158" s="3" t="s">
        <v>15</v>
      </c>
      <c r="I158" s="3" t="s">
        <v>38</v>
      </c>
      <c r="J158" s="5">
        <v>45476</v>
      </c>
      <c r="K158" s="2" t="b">
        <v>0</v>
      </c>
    </row>
    <row r="159" spans="1:11" x14ac:dyDescent="0.3">
      <c r="A159" s="3" t="s">
        <v>305</v>
      </c>
      <c r="B159" s="3" t="s">
        <v>123</v>
      </c>
      <c r="C159" s="3" t="s">
        <v>23</v>
      </c>
      <c r="D159" s="3" t="s">
        <v>306</v>
      </c>
      <c r="E159" s="4">
        <v>23</v>
      </c>
      <c r="F159" s="4">
        <v>7</v>
      </c>
      <c r="G159" s="4">
        <v>161</v>
      </c>
      <c r="H159" s="3" t="s">
        <v>25</v>
      </c>
      <c r="I159" s="3" t="s">
        <v>16</v>
      </c>
      <c r="J159" s="5">
        <v>45161</v>
      </c>
      <c r="K159" s="2" t="b">
        <v>0</v>
      </c>
    </row>
    <row r="160" spans="1:11" x14ac:dyDescent="0.3">
      <c r="A160" s="3" t="s">
        <v>307</v>
      </c>
      <c r="B160" s="3" t="s">
        <v>46</v>
      </c>
      <c r="C160" s="3" t="s">
        <v>28</v>
      </c>
      <c r="D160" s="3" t="s">
        <v>308</v>
      </c>
      <c r="E160" s="4">
        <v>6.5</v>
      </c>
      <c r="F160" s="4">
        <v>4</v>
      </c>
      <c r="G160" s="4">
        <v>26</v>
      </c>
      <c r="H160" s="3" t="s">
        <v>15</v>
      </c>
      <c r="I160" s="3" t="s">
        <v>16</v>
      </c>
      <c r="J160" s="5">
        <v>44831</v>
      </c>
      <c r="K160" s="2" t="b">
        <v>0</v>
      </c>
    </row>
    <row r="161" spans="1:11" x14ac:dyDescent="0.3">
      <c r="A161" s="3" t="s">
        <v>309</v>
      </c>
      <c r="B161" s="3" t="s">
        <v>40</v>
      </c>
      <c r="C161" s="3" t="s">
        <v>23</v>
      </c>
      <c r="D161" s="3" t="s">
        <v>1233</v>
      </c>
      <c r="E161" s="4" t="s">
        <v>1233</v>
      </c>
      <c r="F161" s="4">
        <v>9</v>
      </c>
      <c r="G161" s="4">
        <v>126</v>
      </c>
      <c r="H161" s="3" t="s">
        <v>15</v>
      </c>
      <c r="I161" s="3" t="s">
        <v>38</v>
      </c>
      <c r="J161" s="5">
        <v>45355</v>
      </c>
      <c r="K161" s="2" t="b">
        <v>0</v>
      </c>
    </row>
    <row r="162" spans="1:11" x14ac:dyDescent="0.3">
      <c r="A162" s="3" t="s">
        <v>310</v>
      </c>
      <c r="B162" s="3" t="s">
        <v>80</v>
      </c>
      <c r="C162" s="3" t="s">
        <v>32</v>
      </c>
      <c r="D162" s="3" t="s">
        <v>90</v>
      </c>
      <c r="E162" s="4">
        <v>24.5</v>
      </c>
      <c r="F162" s="4">
        <v>4</v>
      </c>
      <c r="G162" s="4">
        <v>98</v>
      </c>
      <c r="H162" s="3" t="s">
        <v>15</v>
      </c>
      <c r="I162" s="3" t="s">
        <v>38</v>
      </c>
      <c r="J162" s="5">
        <v>44622</v>
      </c>
      <c r="K162" s="2" t="s">
        <v>1233</v>
      </c>
    </row>
    <row r="163" spans="1:11" x14ac:dyDescent="0.3">
      <c r="A163" s="3" t="s">
        <v>311</v>
      </c>
      <c r="B163" s="3" t="s">
        <v>100</v>
      </c>
      <c r="C163" s="3" t="s">
        <v>66</v>
      </c>
      <c r="D163" s="3" t="s">
        <v>312</v>
      </c>
      <c r="E163" s="4">
        <v>14</v>
      </c>
      <c r="F163" s="4">
        <v>9</v>
      </c>
      <c r="G163" s="4">
        <v>126</v>
      </c>
      <c r="H163" s="3" t="s">
        <v>25</v>
      </c>
      <c r="I163" s="3" t="s">
        <v>38</v>
      </c>
      <c r="J163" s="5">
        <v>45551</v>
      </c>
      <c r="K163" s="2" t="b">
        <v>0</v>
      </c>
    </row>
    <row r="164" spans="1:11" x14ac:dyDescent="0.3">
      <c r="A164" s="3" t="s">
        <v>313</v>
      </c>
      <c r="B164" s="3" t="s">
        <v>108</v>
      </c>
      <c r="C164" s="3" t="s">
        <v>23</v>
      </c>
      <c r="D164" s="3" t="s">
        <v>217</v>
      </c>
      <c r="E164" s="4">
        <v>35</v>
      </c>
      <c r="F164" s="4">
        <v>9</v>
      </c>
      <c r="G164" s="4">
        <v>315</v>
      </c>
      <c r="H164" s="3" t="s">
        <v>48</v>
      </c>
      <c r="I164" s="3" t="s">
        <v>38</v>
      </c>
      <c r="J164" s="5">
        <v>45330</v>
      </c>
      <c r="K164" s="2" t="b">
        <v>1</v>
      </c>
    </row>
    <row r="165" spans="1:11" x14ac:dyDescent="0.3">
      <c r="A165" s="3" t="s">
        <v>314</v>
      </c>
      <c r="B165" s="3" t="s">
        <v>18</v>
      </c>
      <c r="C165" s="3" t="s">
        <v>32</v>
      </c>
      <c r="D165" s="3" t="s">
        <v>237</v>
      </c>
      <c r="E165" s="4">
        <v>17</v>
      </c>
      <c r="F165" s="4">
        <v>5</v>
      </c>
      <c r="G165" s="4">
        <v>85</v>
      </c>
      <c r="H165" s="3" t="s">
        <v>15</v>
      </c>
      <c r="I165" s="3" t="s">
        <v>38</v>
      </c>
      <c r="J165" s="5">
        <v>45402</v>
      </c>
      <c r="K165" s="2" t="b">
        <v>0</v>
      </c>
    </row>
    <row r="166" spans="1:11" x14ac:dyDescent="0.3">
      <c r="A166" s="3" t="s">
        <v>315</v>
      </c>
      <c r="B166" s="3" t="s">
        <v>18</v>
      </c>
      <c r="C166" s="3" t="s">
        <v>41</v>
      </c>
      <c r="D166" s="3" t="s">
        <v>87</v>
      </c>
      <c r="E166" s="4">
        <v>41</v>
      </c>
      <c r="F166" s="4">
        <v>1</v>
      </c>
      <c r="G166" s="4">
        <v>41</v>
      </c>
      <c r="H166" s="3" t="s">
        <v>25</v>
      </c>
      <c r="I166" s="3" t="s">
        <v>38</v>
      </c>
      <c r="J166" s="5">
        <v>45367</v>
      </c>
      <c r="K166" s="2" t="b">
        <v>0</v>
      </c>
    </row>
    <row r="167" spans="1:11" x14ac:dyDescent="0.3">
      <c r="A167" s="3" t="s">
        <v>316</v>
      </c>
      <c r="B167" s="3" t="s">
        <v>22</v>
      </c>
      <c r="C167" s="3" t="s">
        <v>28</v>
      </c>
      <c r="D167" s="3" t="s">
        <v>71</v>
      </c>
      <c r="E167" s="4">
        <v>14</v>
      </c>
      <c r="F167" s="4">
        <v>9</v>
      </c>
      <c r="G167" s="4">
        <v>126</v>
      </c>
      <c r="H167" s="3" t="s">
        <v>15</v>
      </c>
      <c r="I167" s="3" t="s">
        <v>16</v>
      </c>
      <c r="J167" s="5">
        <v>44897</v>
      </c>
      <c r="K167" s="2" t="b">
        <v>1</v>
      </c>
    </row>
    <row r="168" spans="1:11" x14ac:dyDescent="0.3">
      <c r="A168" s="3" t="s">
        <v>317</v>
      </c>
      <c r="B168" s="3" t="s">
        <v>113</v>
      </c>
      <c r="C168" s="3" t="s">
        <v>28</v>
      </c>
      <c r="D168" s="3" t="s">
        <v>71</v>
      </c>
      <c r="E168" s="4">
        <v>14</v>
      </c>
      <c r="F168" s="4">
        <v>6</v>
      </c>
      <c r="G168" s="4">
        <v>84</v>
      </c>
      <c r="H168" s="3" t="s">
        <v>15</v>
      </c>
      <c r="I168" s="3" t="s">
        <v>16</v>
      </c>
      <c r="J168" s="5">
        <v>45651</v>
      </c>
      <c r="K168" s="2" t="s">
        <v>1233</v>
      </c>
    </row>
    <row r="169" spans="1:11" x14ac:dyDescent="0.3">
      <c r="A169" s="3" t="s">
        <v>318</v>
      </c>
      <c r="B169" s="3" t="s">
        <v>74</v>
      </c>
      <c r="C169" s="3" t="s">
        <v>13</v>
      </c>
      <c r="D169" s="3" t="s">
        <v>193</v>
      </c>
      <c r="E169" s="4">
        <v>41</v>
      </c>
      <c r="F169" s="4">
        <v>7</v>
      </c>
      <c r="G169" s="4">
        <v>287</v>
      </c>
      <c r="H169" s="3" t="s">
        <v>25</v>
      </c>
      <c r="I169" s="3" t="s">
        <v>38</v>
      </c>
      <c r="J169" s="5">
        <v>45143</v>
      </c>
      <c r="K169" s="2" t="s">
        <v>1233</v>
      </c>
    </row>
    <row r="170" spans="1:11" x14ac:dyDescent="0.3">
      <c r="A170" s="3" t="s">
        <v>319</v>
      </c>
      <c r="B170" s="3" t="s">
        <v>46</v>
      </c>
      <c r="C170" s="3" t="s">
        <v>130</v>
      </c>
      <c r="D170" s="3" t="s">
        <v>320</v>
      </c>
      <c r="E170" s="4">
        <v>24.5</v>
      </c>
      <c r="F170" s="4">
        <v>4</v>
      </c>
      <c r="G170" s="4">
        <v>98</v>
      </c>
      <c r="H170" s="3" t="s">
        <v>48</v>
      </c>
      <c r="I170" s="3" t="s">
        <v>38</v>
      </c>
      <c r="J170" s="5">
        <v>44683</v>
      </c>
      <c r="K170" s="2" t="s">
        <v>1233</v>
      </c>
    </row>
    <row r="171" spans="1:11" x14ac:dyDescent="0.3">
      <c r="A171" s="3" t="s">
        <v>321</v>
      </c>
      <c r="B171" s="3" t="s">
        <v>74</v>
      </c>
      <c r="C171" s="3" t="s">
        <v>66</v>
      </c>
      <c r="D171" s="3" t="s">
        <v>322</v>
      </c>
      <c r="E171" s="4">
        <v>32</v>
      </c>
      <c r="F171" s="4">
        <v>6</v>
      </c>
      <c r="G171" s="4">
        <v>192</v>
      </c>
      <c r="H171" s="3" t="s">
        <v>25</v>
      </c>
      <c r="I171" s="3" t="s">
        <v>38</v>
      </c>
      <c r="J171" s="5">
        <v>44581</v>
      </c>
      <c r="K171" s="2" t="s">
        <v>1233</v>
      </c>
    </row>
    <row r="172" spans="1:11" x14ac:dyDescent="0.3">
      <c r="A172" s="3" t="s">
        <v>323</v>
      </c>
      <c r="B172" s="3" t="s">
        <v>69</v>
      </c>
      <c r="C172" s="3" t="s">
        <v>28</v>
      </c>
      <c r="D172" s="3" t="s">
        <v>111</v>
      </c>
      <c r="E172" s="4">
        <v>20</v>
      </c>
      <c r="F172" s="4">
        <v>4</v>
      </c>
      <c r="G172" s="4">
        <v>80</v>
      </c>
      <c r="H172" s="3" t="s">
        <v>25</v>
      </c>
      <c r="I172" s="3" t="s">
        <v>16</v>
      </c>
      <c r="J172" s="5">
        <v>45119</v>
      </c>
      <c r="K172" s="2" t="s">
        <v>1233</v>
      </c>
    </row>
    <row r="173" spans="1:11" x14ac:dyDescent="0.3">
      <c r="A173" s="3" t="s">
        <v>324</v>
      </c>
      <c r="B173" s="3" t="s">
        <v>116</v>
      </c>
      <c r="C173" s="3" t="s">
        <v>28</v>
      </c>
      <c r="D173" s="3" t="s">
        <v>252</v>
      </c>
      <c r="E173" s="4">
        <v>38</v>
      </c>
      <c r="F173" s="4">
        <v>6</v>
      </c>
      <c r="G173" s="4">
        <v>228</v>
      </c>
      <c r="H173" s="3" t="s">
        <v>48</v>
      </c>
      <c r="I173" s="3" t="s">
        <v>16</v>
      </c>
      <c r="J173" s="5">
        <v>45243</v>
      </c>
      <c r="K173" s="2" t="b">
        <v>0</v>
      </c>
    </row>
    <row r="174" spans="1:11" x14ac:dyDescent="0.3">
      <c r="A174" s="3" t="s">
        <v>325</v>
      </c>
      <c r="B174" s="3" t="s">
        <v>84</v>
      </c>
      <c r="C174" s="3" t="s">
        <v>130</v>
      </c>
      <c r="D174" s="3" t="s">
        <v>326</v>
      </c>
      <c r="E174" s="4">
        <v>30.5</v>
      </c>
      <c r="F174" s="4">
        <v>3</v>
      </c>
      <c r="G174" s="4">
        <v>91.5</v>
      </c>
      <c r="H174" s="3" t="s">
        <v>48</v>
      </c>
      <c r="I174" s="3" t="s">
        <v>16</v>
      </c>
      <c r="J174" s="5">
        <v>45346</v>
      </c>
      <c r="K174" s="2" t="s">
        <v>1233</v>
      </c>
    </row>
    <row r="175" spans="1:11" x14ac:dyDescent="0.3">
      <c r="A175" s="3" t="s">
        <v>327</v>
      </c>
      <c r="B175" s="3" t="s">
        <v>65</v>
      </c>
      <c r="C175" s="3" t="s">
        <v>13</v>
      </c>
      <c r="D175" s="3" t="s">
        <v>133</v>
      </c>
      <c r="E175" s="4">
        <v>20</v>
      </c>
      <c r="F175" s="4">
        <v>7</v>
      </c>
      <c r="G175" s="4">
        <v>140</v>
      </c>
      <c r="H175" s="3" t="s">
        <v>48</v>
      </c>
      <c r="I175" s="3" t="s">
        <v>38</v>
      </c>
      <c r="J175" s="5">
        <v>45103</v>
      </c>
      <c r="K175" s="2" t="b">
        <v>1</v>
      </c>
    </row>
    <row r="176" spans="1:11" x14ac:dyDescent="0.3">
      <c r="A176" s="3" t="s">
        <v>328</v>
      </c>
      <c r="B176" s="3" t="s">
        <v>168</v>
      </c>
      <c r="C176" s="3" t="s">
        <v>19</v>
      </c>
      <c r="D176" s="3" t="s">
        <v>201</v>
      </c>
      <c r="E176" s="4">
        <v>15.5</v>
      </c>
      <c r="F176" s="4">
        <v>6</v>
      </c>
      <c r="G176" s="4">
        <v>93</v>
      </c>
      <c r="H176" s="3" t="s">
        <v>25</v>
      </c>
      <c r="I176" s="3" t="s">
        <v>16</v>
      </c>
      <c r="J176" s="5">
        <v>44727</v>
      </c>
      <c r="K176" s="2" t="b">
        <v>0</v>
      </c>
    </row>
    <row r="177" spans="1:11" x14ac:dyDescent="0.3">
      <c r="A177" s="3" t="s">
        <v>329</v>
      </c>
      <c r="B177" s="3" t="s">
        <v>98</v>
      </c>
      <c r="C177" s="3" t="s">
        <v>13</v>
      </c>
      <c r="D177" s="3" t="s">
        <v>222</v>
      </c>
      <c r="E177" s="4">
        <v>27.5</v>
      </c>
      <c r="F177" s="4">
        <v>2</v>
      </c>
      <c r="G177" s="4">
        <v>55</v>
      </c>
      <c r="H177" s="3" t="s">
        <v>15</v>
      </c>
      <c r="I177" s="3" t="s">
        <v>16</v>
      </c>
      <c r="J177" s="5">
        <v>44711</v>
      </c>
      <c r="K177" s="2" t="b">
        <v>1</v>
      </c>
    </row>
    <row r="178" spans="1:11" x14ac:dyDescent="0.3">
      <c r="A178" s="3" t="s">
        <v>330</v>
      </c>
      <c r="B178" s="3" t="s">
        <v>116</v>
      </c>
      <c r="C178" s="3" t="s">
        <v>32</v>
      </c>
      <c r="D178" s="3" t="s">
        <v>185</v>
      </c>
      <c r="E178" s="4">
        <v>33.5</v>
      </c>
      <c r="F178" s="4">
        <v>10</v>
      </c>
      <c r="G178" s="4">
        <v>335</v>
      </c>
      <c r="H178" s="3" t="s">
        <v>15</v>
      </c>
      <c r="I178" s="3" t="s">
        <v>16</v>
      </c>
      <c r="J178" s="5">
        <v>45441</v>
      </c>
      <c r="K178" s="2" t="b">
        <v>0</v>
      </c>
    </row>
    <row r="179" spans="1:11" x14ac:dyDescent="0.3">
      <c r="A179" s="3" t="s">
        <v>331</v>
      </c>
      <c r="B179" s="3" t="s">
        <v>12</v>
      </c>
      <c r="C179" s="3" t="s">
        <v>19</v>
      </c>
      <c r="D179" s="3" t="s">
        <v>271</v>
      </c>
      <c r="E179" s="4">
        <v>5</v>
      </c>
      <c r="F179" s="4">
        <v>7</v>
      </c>
      <c r="G179" s="4">
        <v>35</v>
      </c>
      <c r="H179" s="3" t="s">
        <v>15</v>
      </c>
      <c r="I179" s="3" t="s">
        <v>16</v>
      </c>
      <c r="J179" s="5">
        <v>45644</v>
      </c>
      <c r="K179" s="2" t="b">
        <v>0</v>
      </c>
    </row>
    <row r="180" spans="1:11" x14ac:dyDescent="0.3">
      <c r="A180" s="3" t="s">
        <v>332</v>
      </c>
      <c r="B180" s="3" t="s">
        <v>18</v>
      </c>
      <c r="C180" s="3" t="s">
        <v>41</v>
      </c>
      <c r="D180" s="3" t="s">
        <v>87</v>
      </c>
      <c r="E180" s="4">
        <v>41</v>
      </c>
      <c r="F180" s="4">
        <v>2</v>
      </c>
      <c r="G180" s="4">
        <v>82</v>
      </c>
      <c r="H180" s="3" t="s">
        <v>25</v>
      </c>
      <c r="I180" s="3" t="s">
        <v>16</v>
      </c>
      <c r="J180" s="5">
        <v>44574</v>
      </c>
      <c r="K180" s="2" t="s">
        <v>1233</v>
      </c>
    </row>
    <row r="181" spans="1:11" x14ac:dyDescent="0.3">
      <c r="A181" s="3" t="s">
        <v>333</v>
      </c>
      <c r="B181" s="3" t="s">
        <v>80</v>
      </c>
      <c r="C181" s="3" t="s">
        <v>23</v>
      </c>
      <c r="D181" s="3" t="s">
        <v>1233</v>
      </c>
      <c r="E181" s="4">
        <v>23</v>
      </c>
      <c r="F181" s="4" t="s">
        <v>1233</v>
      </c>
      <c r="G181" s="4" t="s">
        <v>1233</v>
      </c>
      <c r="H181" s="3" t="s">
        <v>48</v>
      </c>
      <c r="I181" s="3" t="s">
        <v>38</v>
      </c>
      <c r="J181" s="5">
        <v>45065</v>
      </c>
      <c r="K181" s="2" t="b">
        <v>0</v>
      </c>
    </row>
    <row r="182" spans="1:11" x14ac:dyDescent="0.3">
      <c r="A182" s="3" t="s">
        <v>334</v>
      </c>
      <c r="B182" s="3" t="s">
        <v>36</v>
      </c>
      <c r="C182" s="3" t="s">
        <v>130</v>
      </c>
      <c r="D182" s="3" t="s">
        <v>335</v>
      </c>
      <c r="E182" s="4">
        <v>20</v>
      </c>
      <c r="F182" s="4">
        <v>9</v>
      </c>
      <c r="G182" s="4">
        <v>180</v>
      </c>
      <c r="H182" s="3" t="s">
        <v>15</v>
      </c>
      <c r="I182" s="3" t="s">
        <v>38</v>
      </c>
      <c r="J182" s="5">
        <v>44932</v>
      </c>
      <c r="K182" s="2" t="b">
        <v>1</v>
      </c>
    </row>
    <row r="183" spans="1:11" x14ac:dyDescent="0.3">
      <c r="A183" s="3" t="s">
        <v>336</v>
      </c>
      <c r="B183" s="3" t="s">
        <v>63</v>
      </c>
      <c r="C183" s="3" t="s">
        <v>41</v>
      </c>
      <c r="D183" s="3" t="s">
        <v>233</v>
      </c>
      <c r="E183" s="4">
        <v>11</v>
      </c>
      <c r="F183" s="4">
        <v>8</v>
      </c>
      <c r="G183" s="4">
        <v>88</v>
      </c>
      <c r="H183" s="3" t="s">
        <v>15</v>
      </c>
      <c r="I183" s="3" t="s">
        <v>16</v>
      </c>
      <c r="J183" s="5">
        <v>44597</v>
      </c>
      <c r="K183" s="2" t="s">
        <v>1233</v>
      </c>
    </row>
    <row r="184" spans="1:11" x14ac:dyDescent="0.3">
      <c r="A184" s="3" t="s">
        <v>337</v>
      </c>
      <c r="B184" s="3" t="s">
        <v>63</v>
      </c>
      <c r="C184" s="3" t="s">
        <v>28</v>
      </c>
      <c r="D184" s="3" t="s">
        <v>1233</v>
      </c>
      <c r="E184" s="4">
        <v>6.5</v>
      </c>
      <c r="F184" s="4" t="s">
        <v>1233</v>
      </c>
      <c r="G184" s="4" t="s">
        <v>1233</v>
      </c>
      <c r="H184" s="3" t="s">
        <v>48</v>
      </c>
      <c r="I184" s="3" t="s">
        <v>38</v>
      </c>
      <c r="J184" s="5">
        <v>44880</v>
      </c>
      <c r="K184" s="2" t="b">
        <v>0</v>
      </c>
    </row>
    <row r="185" spans="1:11" x14ac:dyDescent="0.3">
      <c r="A185" s="3" t="s">
        <v>338</v>
      </c>
      <c r="B185" s="3" t="s">
        <v>36</v>
      </c>
      <c r="C185" s="3" t="s">
        <v>19</v>
      </c>
      <c r="D185" s="3" t="s">
        <v>58</v>
      </c>
      <c r="E185" s="4">
        <v>27.5</v>
      </c>
      <c r="F185" s="4">
        <v>7</v>
      </c>
      <c r="G185" s="4">
        <v>192.5</v>
      </c>
      <c r="H185" s="3" t="s">
        <v>15</v>
      </c>
      <c r="I185" s="3" t="s">
        <v>38</v>
      </c>
      <c r="J185" s="5">
        <v>44858</v>
      </c>
      <c r="K185" s="2" t="b">
        <v>0</v>
      </c>
    </row>
    <row r="186" spans="1:11" x14ac:dyDescent="0.3">
      <c r="A186" s="3" t="s">
        <v>339</v>
      </c>
      <c r="B186" s="3" t="s">
        <v>36</v>
      </c>
      <c r="C186" s="3" t="s">
        <v>19</v>
      </c>
      <c r="D186" s="3" t="s">
        <v>284</v>
      </c>
      <c r="E186" s="4">
        <v>8</v>
      </c>
      <c r="F186" s="4">
        <v>5</v>
      </c>
      <c r="G186" s="4">
        <v>40</v>
      </c>
      <c r="H186" s="3" t="s">
        <v>48</v>
      </c>
      <c r="I186" s="3" t="s">
        <v>38</v>
      </c>
      <c r="J186" s="5">
        <v>45263</v>
      </c>
      <c r="K186" s="2" t="s">
        <v>1233</v>
      </c>
    </row>
    <row r="187" spans="1:11" x14ac:dyDescent="0.3">
      <c r="A187" s="3" t="s">
        <v>340</v>
      </c>
      <c r="B187" s="3" t="s">
        <v>98</v>
      </c>
      <c r="C187" s="3" t="s">
        <v>23</v>
      </c>
      <c r="D187" s="3" t="s">
        <v>85</v>
      </c>
      <c r="E187" s="4">
        <v>33.5</v>
      </c>
      <c r="F187" s="4">
        <v>5</v>
      </c>
      <c r="G187" s="4">
        <v>167.5</v>
      </c>
      <c r="H187" s="3" t="s">
        <v>15</v>
      </c>
      <c r="I187" s="3" t="s">
        <v>16</v>
      </c>
      <c r="J187" s="5">
        <v>44765</v>
      </c>
      <c r="K187" s="2" t="b">
        <v>0</v>
      </c>
    </row>
    <row r="188" spans="1:11" x14ac:dyDescent="0.3">
      <c r="A188" s="3" t="s">
        <v>341</v>
      </c>
      <c r="B188" s="3" t="s">
        <v>12</v>
      </c>
      <c r="C188" s="3" t="s">
        <v>41</v>
      </c>
      <c r="D188" s="3" t="s">
        <v>342</v>
      </c>
      <c r="E188" s="4">
        <v>29</v>
      </c>
      <c r="F188" s="4">
        <v>9</v>
      </c>
      <c r="G188" s="4">
        <v>261</v>
      </c>
      <c r="H188" s="3" t="s">
        <v>48</v>
      </c>
      <c r="I188" s="3" t="s">
        <v>16</v>
      </c>
      <c r="J188" s="5">
        <v>45145</v>
      </c>
      <c r="K188" s="2" t="b">
        <v>1</v>
      </c>
    </row>
    <row r="189" spans="1:11" x14ac:dyDescent="0.3">
      <c r="A189" s="3" t="s">
        <v>343</v>
      </c>
      <c r="B189" s="3" t="s">
        <v>77</v>
      </c>
      <c r="C189" s="3" t="s">
        <v>19</v>
      </c>
      <c r="D189" s="3" t="s">
        <v>344</v>
      </c>
      <c r="E189" s="4">
        <v>26</v>
      </c>
      <c r="F189" s="4">
        <v>8</v>
      </c>
      <c r="G189" s="4">
        <v>208</v>
      </c>
      <c r="H189" s="3" t="s">
        <v>48</v>
      </c>
      <c r="I189" s="3" t="s">
        <v>38</v>
      </c>
      <c r="J189" s="5">
        <v>44962</v>
      </c>
      <c r="K189" s="2" t="s">
        <v>1233</v>
      </c>
    </row>
    <row r="190" spans="1:11" x14ac:dyDescent="0.3">
      <c r="A190" s="3" t="s">
        <v>345</v>
      </c>
      <c r="B190" s="3" t="s">
        <v>74</v>
      </c>
      <c r="C190" s="3" t="s">
        <v>66</v>
      </c>
      <c r="D190" s="3" t="s">
        <v>346</v>
      </c>
      <c r="E190" s="4">
        <v>33.5</v>
      </c>
      <c r="F190" s="4">
        <v>3</v>
      </c>
      <c r="G190" s="4">
        <v>100.5</v>
      </c>
      <c r="H190" s="3" t="s">
        <v>15</v>
      </c>
      <c r="I190" s="3" t="s">
        <v>16</v>
      </c>
      <c r="J190" s="5">
        <v>44924</v>
      </c>
      <c r="K190" s="2" t="b">
        <v>1</v>
      </c>
    </row>
    <row r="191" spans="1:11" x14ac:dyDescent="0.3">
      <c r="A191" s="3" t="s">
        <v>347</v>
      </c>
      <c r="B191" s="3" t="s">
        <v>123</v>
      </c>
      <c r="C191" s="3" t="s">
        <v>32</v>
      </c>
      <c r="D191" s="3" t="s">
        <v>185</v>
      </c>
      <c r="E191" s="4">
        <v>33.5</v>
      </c>
      <c r="F191" s="4">
        <v>5</v>
      </c>
      <c r="G191" s="4">
        <v>167.5</v>
      </c>
      <c r="H191" s="3" t="s">
        <v>25</v>
      </c>
      <c r="I191" s="3" t="s">
        <v>16</v>
      </c>
      <c r="J191" s="5">
        <v>45034</v>
      </c>
      <c r="K191" s="2" t="s">
        <v>1233</v>
      </c>
    </row>
    <row r="192" spans="1:11" x14ac:dyDescent="0.3">
      <c r="A192" s="3" t="s">
        <v>348</v>
      </c>
      <c r="B192" s="3" t="s">
        <v>108</v>
      </c>
      <c r="C192" s="3" t="s">
        <v>66</v>
      </c>
      <c r="D192" s="3" t="s">
        <v>349</v>
      </c>
      <c r="E192" s="4">
        <v>27.5</v>
      </c>
      <c r="F192" s="4">
        <v>10</v>
      </c>
      <c r="G192" s="4">
        <v>275</v>
      </c>
      <c r="H192" s="3" t="s">
        <v>48</v>
      </c>
      <c r="I192" s="3" t="s">
        <v>16</v>
      </c>
      <c r="J192" s="5">
        <v>44831</v>
      </c>
      <c r="K192" s="2" t="b">
        <v>1</v>
      </c>
    </row>
    <row r="193" spans="1:11" x14ac:dyDescent="0.3">
      <c r="A193" s="3" t="s">
        <v>350</v>
      </c>
      <c r="B193" s="3" t="s">
        <v>80</v>
      </c>
      <c r="C193" s="3" t="s">
        <v>130</v>
      </c>
      <c r="D193" s="3" t="s">
        <v>183</v>
      </c>
      <c r="E193" s="4">
        <v>33.5</v>
      </c>
      <c r="F193" s="4">
        <v>4</v>
      </c>
      <c r="G193" s="4">
        <v>134</v>
      </c>
      <c r="H193" s="3" t="s">
        <v>15</v>
      </c>
      <c r="I193" s="3" t="s">
        <v>16</v>
      </c>
      <c r="J193" s="5">
        <v>45080</v>
      </c>
      <c r="K193" s="2" t="b">
        <v>0</v>
      </c>
    </row>
    <row r="194" spans="1:11" x14ac:dyDescent="0.3">
      <c r="A194" s="3" t="s">
        <v>351</v>
      </c>
      <c r="B194" s="3" t="s">
        <v>116</v>
      </c>
      <c r="C194" s="3" t="s">
        <v>66</v>
      </c>
      <c r="D194" s="3" t="s">
        <v>352</v>
      </c>
      <c r="E194" s="4">
        <v>38</v>
      </c>
      <c r="F194" s="4">
        <v>1</v>
      </c>
      <c r="G194" s="4">
        <v>38</v>
      </c>
      <c r="H194" s="3" t="s">
        <v>48</v>
      </c>
      <c r="I194" s="3" t="s">
        <v>38</v>
      </c>
      <c r="J194" s="5">
        <v>44641</v>
      </c>
      <c r="K194" s="2" t="b">
        <v>1</v>
      </c>
    </row>
    <row r="195" spans="1:11" x14ac:dyDescent="0.3">
      <c r="A195" s="3" t="s">
        <v>353</v>
      </c>
      <c r="B195" s="3" t="s">
        <v>40</v>
      </c>
      <c r="C195" s="3" t="s">
        <v>19</v>
      </c>
      <c r="D195" s="3" t="s">
        <v>210</v>
      </c>
      <c r="E195" s="4">
        <v>9.5</v>
      </c>
      <c r="F195" s="4">
        <v>1</v>
      </c>
      <c r="G195" s="4">
        <v>9.5</v>
      </c>
      <c r="H195" s="3" t="s">
        <v>15</v>
      </c>
      <c r="I195" s="3" t="s">
        <v>16</v>
      </c>
      <c r="J195" s="5">
        <v>45279</v>
      </c>
      <c r="K195" s="2" t="b">
        <v>0</v>
      </c>
    </row>
    <row r="196" spans="1:11" x14ac:dyDescent="0.3">
      <c r="A196" s="3" t="s">
        <v>354</v>
      </c>
      <c r="B196" s="3" t="s">
        <v>69</v>
      </c>
      <c r="C196" s="3" t="s">
        <v>23</v>
      </c>
      <c r="D196" s="3" t="s">
        <v>355</v>
      </c>
      <c r="E196" s="4">
        <v>14</v>
      </c>
      <c r="F196" s="4">
        <v>3</v>
      </c>
      <c r="G196" s="4">
        <v>42</v>
      </c>
      <c r="H196" s="3" t="s">
        <v>48</v>
      </c>
      <c r="I196" s="3" t="s">
        <v>16</v>
      </c>
      <c r="J196" s="5">
        <v>45004</v>
      </c>
      <c r="K196" s="2" t="s">
        <v>1233</v>
      </c>
    </row>
    <row r="197" spans="1:11" x14ac:dyDescent="0.3">
      <c r="A197" s="3" t="s">
        <v>356</v>
      </c>
      <c r="B197" s="3" t="s">
        <v>40</v>
      </c>
      <c r="C197" s="3" t="s">
        <v>130</v>
      </c>
      <c r="D197" s="3" t="s">
        <v>131</v>
      </c>
      <c r="E197" s="4">
        <v>27.5</v>
      </c>
      <c r="F197" s="4">
        <v>9</v>
      </c>
      <c r="G197" s="4">
        <v>247.5</v>
      </c>
      <c r="H197" s="3" t="s">
        <v>15</v>
      </c>
      <c r="I197" s="3" t="s">
        <v>38</v>
      </c>
      <c r="J197" s="5">
        <v>45285</v>
      </c>
      <c r="K197" s="2" t="s">
        <v>1233</v>
      </c>
    </row>
    <row r="198" spans="1:11" x14ac:dyDescent="0.3">
      <c r="A198" s="3" t="s">
        <v>357</v>
      </c>
      <c r="B198" s="3" t="s">
        <v>46</v>
      </c>
      <c r="C198" s="3" t="s">
        <v>66</v>
      </c>
      <c r="D198" s="3" t="s">
        <v>358</v>
      </c>
      <c r="E198" s="4">
        <v>5</v>
      </c>
      <c r="F198" s="4">
        <v>2</v>
      </c>
      <c r="G198" s="4">
        <v>10</v>
      </c>
      <c r="H198" s="3" t="s">
        <v>48</v>
      </c>
      <c r="I198" s="3" t="s">
        <v>16</v>
      </c>
      <c r="J198" s="5">
        <v>45087</v>
      </c>
      <c r="K198" s="2" t="b">
        <v>0</v>
      </c>
    </row>
    <row r="199" spans="1:11" x14ac:dyDescent="0.3">
      <c r="A199" s="3" t="s">
        <v>359</v>
      </c>
      <c r="B199" s="3" t="s">
        <v>80</v>
      </c>
      <c r="C199" s="3" t="s">
        <v>23</v>
      </c>
      <c r="D199" s="3" t="s">
        <v>306</v>
      </c>
      <c r="E199" s="4">
        <v>23</v>
      </c>
      <c r="F199" s="4">
        <v>6</v>
      </c>
      <c r="G199" s="4">
        <v>138</v>
      </c>
      <c r="H199" s="3" t="s">
        <v>48</v>
      </c>
      <c r="I199" s="3" t="s">
        <v>38</v>
      </c>
      <c r="J199" s="5">
        <v>44814</v>
      </c>
      <c r="K199" s="2" t="b">
        <v>1</v>
      </c>
    </row>
    <row r="200" spans="1:11" x14ac:dyDescent="0.3">
      <c r="A200" s="3" t="s">
        <v>360</v>
      </c>
      <c r="B200" s="3" t="s">
        <v>18</v>
      </c>
      <c r="C200" s="3" t="s">
        <v>130</v>
      </c>
      <c r="D200" s="3" t="s">
        <v>361</v>
      </c>
      <c r="E200" s="4">
        <v>32</v>
      </c>
      <c r="F200" s="4">
        <v>9</v>
      </c>
      <c r="G200" s="4">
        <v>288</v>
      </c>
      <c r="H200" s="3" t="s">
        <v>48</v>
      </c>
      <c r="I200" s="3" t="s">
        <v>16</v>
      </c>
      <c r="J200" s="5">
        <v>44718</v>
      </c>
      <c r="K200" s="2" t="b">
        <v>0</v>
      </c>
    </row>
    <row r="201" spans="1:11" x14ac:dyDescent="0.3">
      <c r="A201" s="3" t="s">
        <v>362</v>
      </c>
      <c r="B201" s="3" t="s">
        <v>77</v>
      </c>
      <c r="C201" s="3" t="s">
        <v>23</v>
      </c>
      <c r="D201" s="3" t="s">
        <v>85</v>
      </c>
      <c r="E201" s="4">
        <v>33.5</v>
      </c>
      <c r="F201" s="4">
        <v>5</v>
      </c>
      <c r="G201" s="4">
        <v>167.5</v>
      </c>
      <c r="H201" s="3" t="s">
        <v>15</v>
      </c>
      <c r="I201" s="3" t="s">
        <v>38</v>
      </c>
      <c r="J201" s="5">
        <v>45515</v>
      </c>
      <c r="K201" s="2" t="b">
        <v>0</v>
      </c>
    </row>
    <row r="202" spans="1:11" x14ac:dyDescent="0.3">
      <c r="A202" s="3" t="s">
        <v>363</v>
      </c>
      <c r="B202" s="3" t="s">
        <v>65</v>
      </c>
      <c r="C202" s="3" t="s">
        <v>130</v>
      </c>
      <c r="D202" s="3" t="s">
        <v>335</v>
      </c>
      <c r="E202" s="4">
        <v>20</v>
      </c>
      <c r="F202" s="4">
        <v>3</v>
      </c>
      <c r="G202" s="4">
        <v>60</v>
      </c>
      <c r="H202" s="3" t="s">
        <v>48</v>
      </c>
      <c r="I202" s="3" t="s">
        <v>16</v>
      </c>
      <c r="J202" s="5">
        <v>45124</v>
      </c>
      <c r="K202" s="2" t="b">
        <v>0</v>
      </c>
    </row>
    <row r="203" spans="1:11" x14ac:dyDescent="0.3">
      <c r="A203" s="3" t="s">
        <v>364</v>
      </c>
      <c r="B203" s="3" t="s">
        <v>98</v>
      </c>
      <c r="C203" s="3" t="s">
        <v>32</v>
      </c>
      <c r="D203" s="3" t="s">
        <v>365</v>
      </c>
      <c r="E203" s="4">
        <v>41</v>
      </c>
      <c r="F203" s="4">
        <v>3</v>
      </c>
      <c r="G203" s="4">
        <v>123</v>
      </c>
      <c r="H203" s="3" t="s">
        <v>15</v>
      </c>
      <c r="I203" s="3" t="s">
        <v>38</v>
      </c>
      <c r="J203" s="5">
        <v>45036</v>
      </c>
      <c r="K203" s="2" t="b">
        <v>0</v>
      </c>
    </row>
    <row r="204" spans="1:11" x14ac:dyDescent="0.3">
      <c r="A204" s="3" t="s">
        <v>366</v>
      </c>
      <c r="B204" s="3" t="s">
        <v>100</v>
      </c>
      <c r="C204" s="3" t="s">
        <v>66</v>
      </c>
      <c r="D204" s="3" t="s">
        <v>367</v>
      </c>
      <c r="E204" s="4">
        <v>21.5</v>
      </c>
      <c r="F204" s="4">
        <v>2</v>
      </c>
      <c r="G204" s="4">
        <v>43</v>
      </c>
      <c r="H204" s="3" t="s">
        <v>15</v>
      </c>
      <c r="I204" s="3" t="s">
        <v>38</v>
      </c>
      <c r="J204" s="5">
        <v>45178</v>
      </c>
      <c r="K204" s="2" t="b">
        <v>1</v>
      </c>
    </row>
    <row r="205" spans="1:11" x14ac:dyDescent="0.3">
      <c r="A205" s="3" t="s">
        <v>368</v>
      </c>
      <c r="B205" s="3" t="s">
        <v>168</v>
      </c>
      <c r="C205" s="3" t="s">
        <v>66</v>
      </c>
      <c r="D205" s="3" t="s">
        <v>369</v>
      </c>
      <c r="E205" s="4">
        <v>36.5</v>
      </c>
      <c r="F205" s="4">
        <v>2</v>
      </c>
      <c r="G205" s="4">
        <v>73</v>
      </c>
      <c r="H205" s="3" t="s">
        <v>15</v>
      </c>
      <c r="I205" s="3" t="s">
        <v>38</v>
      </c>
      <c r="J205" s="5">
        <v>45488</v>
      </c>
      <c r="K205" s="2" t="b">
        <v>0</v>
      </c>
    </row>
    <row r="206" spans="1:11" x14ac:dyDescent="0.3">
      <c r="A206" s="3" t="s">
        <v>370</v>
      </c>
      <c r="B206" s="3" t="s">
        <v>123</v>
      </c>
      <c r="C206" s="3" t="s">
        <v>41</v>
      </c>
      <c r="D206" s="3" t="s">
        <v>199</v>
      </c>
      <c r="E206" s="4">
        <v>39.5</v>
      </c>
      <c r="F206" s="4">
        <v>5</v>
      </c>
      <c r="G206" s="4">
        <v>197.5</v>
      </c>
      <c r="H206" s="3" t="s">
        <v>25</v>
      </c>
      <c r="I206" s="3" t="s">
        <v>38</v>
      </c>
      <c r="J206" s="5">
        <v>45623</v>
      </c>
      <c r="K206" s="2" t="s">
        <v>1233</v>
      </c>
    </row>
    <row r="207" spans="1:11" x14ac:dyDescent="0.3">
      <c r="A207" s="3" t="s">
        <v>371</v>
      </c>
      <c r="B207" s="3" t="s">
        <v>63</v>
      </c>
      <c r="C207" s="3" t="s">
        <v>13</v>
      </c>
      <c r="D207" s="3" t="s">
        <v>372</v>
      </c>
      <c r="E207" s="4">
        <v>23</v>
      </c>
      <c r="F207" s="4">
        <v>3</v>
      </c>
      <c r="G207" s="4">
        <v>69</v>
      </c>
      <c r="H207" s="3" t="s">
        <v>15</v>
      </c>
      <c r="I207" s="3" t="s">
        <v>16</v>
      </c>
      <c r="J207" s="5">
        <v>45335</v>
      </c>
      <c r="K207" s="2" t="b">
        <v>1</v>
      </c>
    </row>
    <row r="208" spans="1:11" x14ac:dyDescent="0.3">
      <c r="A208" s="3" t="s">
        <v>373</v>
      </c>
      <c r="B208" s="3" t="s">
        <v>77</v>
      </c>
      <c r="C208" s="3" t="s">
        <v>32</v>
      </c>
      <c r="D208" s="3" t="s">
        <v>170</v>
      </c>
      <c r="E208" s="4">
        <v>30.5</v>
      </c>
      <c r="F208" s="4">
        <v>2</v>
      </c>
      <c r="G208" s="4">
        <v>61</v>
      </c>
      <c r="H208" s="3" t="s">
        <v>48</v>
      </c>
      <c r="I208" s="3" t="s">
        <v>38</v>
      </c>
      <c r="J208" s="5">
        <v>44581</v>
      </c>
      <c r="K208" s="2" t="b">
        <v>0</v>
      </c>
    </row>
    <row r="209" spans="1:11" x14ac:dyDescent="0.3">
      <c r="A209" s="3" t="s">
        <v>374</v>
      </c>
      <c r="B209" s="3" t="s">
        <v>89</v>
      </c>
      <c r="C209" s="3" t="s">
        <v>130</v>
      </c>
      <c r="D209" s="3" t="s">
        <v>240</v>
      </c>
      <c r="E209" s="4">
        <v>35</v>
      </c>
      <c r="F209" s="4">
        <v>4</v>
      </c>
      <c r="G209" s="4">
        <v>140</v>
      </c>
      <c r="H209" s="3" t="s">
        <v>15</v>
      </c>
      <c r="I209" s="3" t="s">
        <v>38</v>
      </c>
      <c r="J209" s="5">
        <v>45582</v>
      </c>
      <c r="K209" s="2" t="b">
        <v>0</v>
      </c>
    </row>
    <row r="210" spans="1:11" x14ac:dyDescent="0.3">
      <c r="A210" s="3" t="s">
        <v>375</v>
      </c>
      <c r="B210" s="3" t="s">
        <v>80</v>
      </c>
      <c r="C210" s="3" t="s">
        <v>130</v>
      </c>
      <c r="D210" s="3" t="s">
        <v>275</v>
      </c>
      <c r="E210" s="4">
        <v>6.5</v>
      </c>
      <c r="F210" s="4">
        <v>8</v>
      </c>
      <c r="G210" s="4">
        <v>52</v>
      </c>
      <c r="H210" s="3" t="s">
        <v>25</v>
      </c>
      <c r="I210" s="3" t="s">
        <v>16</v>
      </c>
      <c r="J210" s="5">
        <v>45269</v>
      </c>
      <c r="K210" s="2" t="b">
        <v>0</v>
      </c>
    </row>
    <row r="211" spans="1:11" x14ac:dyDescent="0.3">
      <c r="A211" s="3" t="s">
        <v>376</v>
      </c>
      <c r="B211" s="3" t="s">
        <v>108</v>
      </c>
      <c r="C211" s="3" t="s">
        <v>66</v>
      </c>
      <c r="D211" s="3" t="s">
        <v>377</v>
      </c>
      <c r="E211" s="4">
        <v>29</v>
      </c>
      <c r="F211" s="4">
        <v>4</v>
      </c>
      <c r="G211" s="4">
        <v>116</v>
      </c>
      <c r="H211" s="3" t="s">
        <v>48</v>
      </c>
      <c r="I211" s="3" t="s">
        <v>16</v>
      </c>
      <c r="J211" s="5">
        <v>44707</v>
      </c>
      <c r="K211" s="2" t="b">
        <v>0</v>
      </c>
    </row>
    <row r="212" spans="1:11" x14ac:dyDescent="0.3">
      <c r="A212" s="3" t="s">
        <v>378</v>
      </c>
      <c r="B212" s="3" t="s">
        <v>116</v>
      </c>
      <c r="C212" s="3" t="s">
        <v>130</v>
      </c>
      <c r="D212" s="3" t="s">
        <v>240</v>
      </c>
      <c r="E212" s="4">
        <v>35</v>
      </c>
      <c r="F212" s="4">
        <v>2</v>
      </c>
      <c r="G212" s="4">
        <v>70</v>
      </c>
      <c r="H212" s="3" t="s">
        <v>25</v>
      </c>
      <c r="I212" s="3" t="s">
        <v>38</v>
      </c>
      <c r="J212" s="5">
        <v>45534</v>
      </c>
      <c r="K212" s="2" t="b">
        <v>0</v>
      </c>
    </row>
    <row r="213" spans="1:11" x14ac:dyDescent="0.3">
      <c r="A213" s="3" t="s">
        <v>379</v>
      </c>
      <c r="B213" s="3" t="s">
        <v>98</v>
      </c>
      <c r="C213" s="3" t="s">
        <v>23</v>
      </c>
      <c r="D213" s="3" t="s">
        <v>227</v>
      </c>
      <c r="E213" s="4">
        <v>15.5</v>
      </c>
      <c r="F213" s="4">
        <v>3</v>
      </c>
      <c r="G213" s="4">
        <v>46.5</v>
      </c>
      <c r="H213" s="3" t="s">
        <v>15</v>
      </c>
      <c r="I213" s="3" t="s">
        <v>38</v>
      </c>
      <c r="J213" s="5">
        <v>44842</v>
      </c>
      <c r="K213" s="2" t="s">
        <v>1233</v>
      </c>
    </row>
    <row r="214" spans="1:11" x14ac:dyDescent="0.3">
      <c r="A214" s="3" t="s">
        <v>380</v>
      </c>
      <c r="B214" s="3" t="s">
        <v>55</v>
      </c>
      <c r="C214" s="3" t="s">
        <v>13</v>
      </c>
      <c r="D214" s="3" t="s">
        <v>172</v>
      </c>
      <c r="E214" s="4">
        <v>5</v>
      </c>
      <c r="F214" s="4">
        <v>7</v>
      </c>
      <c r="G214" s="4">
        <v>35</v>
      </c>
      <c r="H214" s="3" t="s">
        <v>15</v>
      </c>
      <c r="I214" s="3" t="s">
        <v>16</v>
      </c>
      <c r="J214" s="5">
        <v>45637</v>
      </c>
      <c r="K214" s="2" t="b">
        <v>0</v>
      </c>
    </row>
    <row r="215" spans="1:11" x14ac:dyDescent="0.3">
      <c r="A215" s="3" t="s">
        <v>381</v>
      </c>
      <c r="B215" s="3" t="s">
        <v>98</v>
      </c>
      <c r="C215" s="3" t="s">
        <v>32</v>
      </c>
      <c r="D215" s="3" t="s">
        <v>33</v>
      </c>
      <c r="E215" s="4">
        <v>12.5</v>
      </c>
      <c r="F215" s="4">
        <v>4</v>
      </c>
      <c r="G215" s="4">
        <v>50</v>
      </c>
      <c r="H215" s="3" t="s">
        <v>48</v>
      </c>
      <c r="I215" s="3" t="s">
        <v>16</v>
      </c>
      <c r="J215" s="5">
        <v>45488</v>
      </c>
      <c r="K215" s="2" t="b">
        <v>0</v>
      </c>
    </row>
    <row r="216" spans="1:11" x14ac:dyDescent="0.3">
      <c r="A216" s="3" t="s">
        <v>382</v>
      </c>
      <c r="B216" s="3" t="s">
        <v>31</v>
      </c>
      <c r="C216" s="3" t="s">
        <v>23</v>
      </c>
      <c r="D216" s="3" t="s">
        <v>383</v>
      </c>
      <c r="E216" s="4">
        <v>41</v>
      </c>
      <c r="F216" s="4">
        <v>3</v>
      </c>
      <c r="G216" s="4">
        <v>123</v>
      </c>
      <c r="H216" s="3" t="s">
        <v>25</v>
      </c>
      <c r="I216" s="3" t="s">
        <v>16</v>
      </c>
      <c r="J216" s="5">
        <v>45571</v>
      </c>
      <c r="K216" s="2" t="b">
        <v>1</v>
      </c>
    </row>
    <row r="217" spans="1:11" x14ac:dyDescent="0.3">
      <c r="A217" s="3" t="s">
        <v>384</v>
      </c>
      <c r="B217" s="3" t="s">
        <v>46</v>
      </c>
      <c r="C217" s="3" t="s">
        <v>23</v>
      </c>
      <c r="D217" s="3" t="s">
        <v>114</v>
      </c>
      <c r="E217" s="4">
        <v>38</v>
      </c>
      <c r="F217" s="4">
        <v>2</v>
      </c>
      <c r="G217" s="4">
        <v>76</v>
      </c>
      <c r="H217" s="3" t="s">
        <v>15</v>
      </c>
      <c r="I217" s="3" t="s">
        <v>38</v>
      </c>
      <c r="J217" s="5">
        <v>45295</v>
      </c>
      <c r="K217" s="2" t="b">
        <v>0</v>
      </c>
    </row>
    <row r="218" spans="1:11" x14ac:dyDescent="0.3">
      <c r="A218" s="3" t="s">
        <v>385</v>
      </c>
      <c r="B218" s="3" t="s">
        <v>18</v>
      </c>
      <c r="C218" s="3" t="s">
        <v>13</v>
      </c>
      <c r="D218" s="3" t="s">
        <v>1233</v>
      </c>
      <c r="E218" s="4" t="s">
        <v>1233</v>
      </c>
      <c r="F218" s="4">
        <v>8</v>
      </c>
      <c r="G218" s="4">
        <v>40</v>
      </c>
      <c r="H218" s="3" t="s">
        <v>48</v>
      </c>
      <c r="I218" s="3" t="s">
        <v>16</v>
      </c>
      <c r="J218" s="5">
        <v>44967</v>
      </c>
      <c r="K218" s="2" t="s">
        <v>1233</v>
      </c>
    </row>
    <row r="219" spans="1:11" x14ac:dyDescent="0.3">
      <c r="A219" s="3" t="s">
        <v>386</v>
      </c>
      <c r="B219" s="3" t="s">
        <v>18</v>
      </c>
      <c r="C219" s="3" t="s">
        <v>130</v>
      </c>
      <c r="D219" s="3" t="s">
        <v>387</v>
      </c>
      <c r="E219" s="4">
        <v>9.5</v>
      </c>
      <c r="F219" s="4">
        <v>5</v>
      </c>
      <c r="G219" s="4">
        <v>47.5</v>
      </c>
      <c r="H219" s="3" t="s">
        <v>25</v>
      </c>
      <c r="I219" s="3" t="s">
        <v>16</v>
      </c>
      <c r="J219" s="5">
        <v>45581</v>
      </c>
      <c r="K219" s="2" t="s">
        <v>1233</v>
      </c>
    </row>
    <row r="220" spans="1:11" x14ac:dyDescent="0.3">
      <c r="A220" s="3" t="s">
        <v>388</v>
      </c>
      <c r="B220" s="3" t="s">
        <v>98</v>
      </c>
      <c r="C220" s="3" t="s">
        <v>130</v>
      </c>
      <c r="D220" s="3" t="s">
        <v>240</v>
      </c>
      <c r="E220" s="4">
        <v>35</v>
      </c>
      <c r="F220" s="4">
        <v>7</v>
      </c>
      <c r="G220" s="4">
        <v>245</v>
      </c>
      <c r="H220" s="3" t="s">
        <v>48</v>
      </c>
      <c r="I220" s="3" t="s">
        <v>16</v>
      </c>
      <c r="J220" s="5">
        <v>45150</v>
      </c>
      <c r="K220" s="2" t="b">
        <v>0</v>
      </c>
    </row>
    <row r="221" spans="1:11" x14ac:dyDescent="0.3">
      <c r="A221" s="3" t="s">
        <v>389</v>
      </c>
      <c r="B221" s="3" t="s">
        <v>31</v>
      </c>
      <c r="C221" s="3" t="s">
        <v>13</v>
      </c>
      <c r="D221" s="3" t="s">
        <v>14</v>
      </c>
      <c r="E221" s="4">
        <v>18.5</v>
      </c>
      <c r="F221" s="4">
        <v>3</v>
      </c>
      <c r="G221" s="4">
        <v>55.5</v>
      </c>
      <c r="H221" s="3" t="s">
        <v>48</v>
      </c>
      <c r="I221" s="3" t="s">
        <v>38</v>
      </c>
      <c r="J221" s="5">
        <v>45319</v>
      </c>
      <c r="K221" s="2" t="b">
        <v>0</v>
      </c>
    </row>
    <row r="222" spans="1:11" x14ac:dyDescent="0.3">
      <c r="A222" s="3" t="s">
        <v>390</v>
      </c>
      <c r="B222" s="3" t="s">
        <v>74</v>
      </c>
      <c r="C222" s="3" t="s">
        <v>19</v>
      </c>
      <c r="D222" s="3" t="s">
        <v>391</v>
      </c>
      <c r="E222" s="4">
        <v>6.5</v>
      </c>
      <c r="F222" s="4">
        <v>1</v>
      </c>
      <c r="G222" s="4">
        <v>6.5</v>
      </c>
      <c r="H222" s="3" t="s">
        <v>15</v>
      </c>
      <c r="I222" s="3" t="s">
        <v>16</v>
      </c>
      <c r="J222" s="5">
        <v>45446</v>
      </c>
      <c r="K222" s="2" t="b">
        <v>0</v>
      </c>
    </row>
    <row r="223" spans="1:11" x14ac:dyDescent="0.3">
      <c r="A223" s="3" t="s">
        <v>392</v>
      </c>
      <c r="B223" s="3" t="s">
        <v>77</v>
      </c>
      <c r="C223" s="3" t="s">
        <v>28</v>
      </c>
      <c r="D223" s="3" t="s">
        <v>104</v>
      </c>
      <c r="E223" s="4">
        <v>41</v>
      </c>
      <c r="F223" s="4">
        <v>2</v>
      </c>
      <c r="G223" s="4">
        <v>82</v>
      </c>
      <c r="H223" s="3" t="s">
        <v>15</v>
      </c>
      <c r="I223" s="3" t="s">
        <v>16</v>
      </c>
      <c r="J223" s="5">
        <v>45602</v>
      </c>
      <c r="K223" s="2" t="s">
        <v>1233</v>
      </c>
    </row>
    <row r="224" spans="1:11" x14ac:dyDescent="0.3">
      <c r="A224" s="3" t="s">
        <v>393</v>
      </c>
      <c r="B224" s="3" t="s">
        <v>116</v>
      </c>
      <c r="C224" s="3" t="s">
        <v>19</v>
      </c>
      <c r="D224" s="3" t="s">
        <v>201</v>
      </c>
      <c r="E224" s="4">
        <v>15.5</v>
      </c>
      <c r="F224" s="4">
        <v>6</v>
      </c>
      <c r="G224" s="4">
        <v>93</v>
      </c>
      <c r="H224" s="3" t="s">
        <v>15</v>
      </c>
      <c r="I224" s="3" t="s">
        <v>38</v>
      </c>
      <c r="J224" s="5">
        <v>44791</v>
      </c>
      <c r="K224" s="2" t="b">
        <v>0</v>
      </c>
    </row>
    <row r="225" spans="1:11" x14ac:dyDescent="0.3">
      <c r="A225" s="3" t="s">
        <v>394</v>
      </c>
      <c r="B225" s="3" t="s">
        <v>43</v>
      </c>
      <c r="C225" s="3" t="s">
        <v>130</v>
      </c>
      <c r="D225" s="3" t="s">
        <v>326</v>
      </c>
      <c r="E225" s="4">
        <v>30.5</v>
      </c>
      <c r="F225" s="4">
        <v>5</v>
      </c>
      <c r="G225" s="4">
        <v>152.5</v>
      </c>
      <c r="H225" s="3" t="s">
        <v>25</v>
      </c>
      <c r="I225" s="3" t="s">
        <v>16</v>
      </c>
      <c r="J225" s="5">
        <v>44843</v>
      </c>
      <c r="K225" s="2" t="b">
        <v>1</v>
      </c>
    </row>
    <row r="226" spans="1:11" x14ac:dyDescent="0.3">
      <c r="A226" s="3" t="s">
        <v>395</v>
      </c>
      <c r="B226" s="3" t="s">
        <v>116</v>
      </c>
      <c r="C226" s="3" t="s">
        <v>13</v>
      </c>
      <c r="D226" s="3" t="s">
        <v>56</v>
      </c>
      <c r="E226" s="4">
        <v>39.5</v>
      </c>
      <c r="F226" s="4">
        <v>3</v>
      </c>
      <c r="G226" s="4">
        <v>118.5</v>
      </c>
      <c r="H226" s="3" t="s">
        <v>25</v>
      </c>
      <c r="I226" s="3" t="s">
        <v>16</v>
      </c>
      <c r="J226" s="5">
        <v>44818</v>
      </c>
      <c r="K226" s="2" t="s">
        <v>1233</v>
      </c>
    </row>
    <row r="227" spans="1:11" x14ac:dyDescent="0.3">
      <c r="A227" s="3" t="s">
        <v>396</v>
      </c>
      <c r="B227" s="3" t="s">
        <v>113</v>
      </c>
      <c r="C227" s="3" t="s">
        <v>23</v>
      </c>
      <c r="D227" s="3" t="s">
        <v>397</v>
      </c>
      <c r="E227" s="4">
        <v>5</v>
      </c>
      <c r="F227" s="4">
        <v>7</v>
      </c>
      <c r="G227" s="4">
        <v>35</v>
      </c>
      <c r="H227" s="3" t="s">
        <v>15</v>
      </c>
      <c r="I227" s="3" t="s">
        <v>38</v>
      </c>
      <c r="J227" s="5">
        <v>45034</v>
      </c>
      <c r="K227" s="2" t="s">
        <v>1233</v>
      </c>
    </row>
    <row r="228" spans="1:11" x14ac:dyDescent="0.3">
      <c r="A228" s="3" t="s">
        <v>398</v>
      </c>
      <c r="B228" s="3" t="s">
        <v>100</v>
      </c>
      <c r="C228" s="3" t="s">
        <v>32</v>
      </c>
      <c r="D228" s="3" t="s">
        <v>365</v>
      </c>
      <c r="E228" s="4">
        <v>41</v>
      </c>
      <c r="F228" s="4">
        <v>3</v>
      </c>
      <c r="G228" s="4">
        <v>123</v>
      </c>
      <c r="H228" s="3" t="s">
        <v>25</v>
      </c>
      <c r="I228" s="3" t="s">
        <v>38</v>
      </c>
      <c r="J228" s="5">
        <v>44647</v>
      </c>
      <c r="K228" s="2" t="b">
        <v>0</v>
      </c>
    </row>
    <row r="229" spans="1:11" x14ac:dyDescent="0.3">
      <c r="A229" s="3" t="s">
        <v>399</v>
      </c>
      <c r="B229" s="3" t="s">
        <v>89</v>
      </c>
      <c r="C229" s="3" t="s">
        <v>13</v>
      </c>
      <c r="D229" s="3" t="s">
        <v>96</v>
      </c>
      <c r="E229" s="4">
        <v>12.5</v>
      </c>
      <c r="F229" s="4">
        <v>2</v>
      </c>
      <c r="G229" s="4">
        <v>25</v>
      </c>
      <c r="H229" s="3" t="s">
        <v>15</v>
      </c>
      <c r="I229" s="3" t="s">
        <v>38</v>
      </c>
      <c r="J229" s="5">
        <v>45233</v>
      </c>
      <c r="K229" s="2" t="b">
        <v>0</v>
      </c>
    </row>
    <row r="230" spans="1:11" x14ac:dyDescent="0.3">
      <c r="A230" s="3" t="s">
        <v>400</v>
      </c>
      <c r="B230" s="3" t="s">
        <v>18</v>
      </c>
      <c r="C230" s="3" t="s">
        <v>28</v>
      </c>
      <c r="D230" s="3" t="s">
        <v>401</v>
      </c>
      <c r="E230" s="4">
        <v>21.5</v>
      </c>
      <c r="F230" s="4">
        <v>8</v>
      </c>
      <c r="G230" s="4">
        <v>172</v>
      </c>
      <c r="H230" s="3" t="s">
        <v>15</v>
      </c>
      <c r="I230" s="3" t="s">
        <v>38</v>
      </c>
      <c r="J230" s="5">
        <v>45060</v>
      </c>
      <c r="K230" s="2" t="b">
        <v>0</v>
      </c>
    </row>
    <row r="231" spans="1:11" x14ac:dyDescent="0.3">
      <c r="A231" s="3" t="s">
        <v>402</v>
      </c>
      <c r="B231" s="3" t="s">
        <v>100</v>
      </c>
      <c r="C231" s="3" t="s">
        <v>23</v>
      </c>
      <c r="D231" s="3" t="s">
        <v>217</v>
      </c>
      <c r="E231" s="4">
        <v>35</v>
      </c>
      <c r="F231" s="4">
        <v>8</v>
      </c>
      <c r="G231" s="4">
        <v>280</v>
      </c>
      <c r="H231" s="3" t="s">
        <v>25</v>
      </c>
      <c r="I231" s="3" t="s">
        <v>38</v>
      </c>
      <c r="J231" s="5">
        <v>45258</v>
      </c>
      <c r="K231" s="2" t="b">
        <v>1</v>
      </c>
    </row>
    <row r="232" spans="1:11" x14ac:dyDescent="0.3">
      <c r="A232" s="3" t="s">
        <v>403</v>
      </c>
      <c r="B232" s="3" t="s">
        <v>31</v>
      </c>
      <c r="C232" s="3" t="s">
        <v>23</v>
      </c>
      <c r="D232" s="3" t="s">
        <v>114</v>
      </c>
      <c r="E232" s="4">
        <v>38</v>
      </c>
      <c r="F232" s="4">
        <v>5</v>
      </c>
      <c r="G232" s="4">
        <v>190</v>
      </c>
      <c r="H232" s="3" t="s">
        <v>25</v>
      </c>
      <c r="I232" s="3" t="s">
        <v>16</v>
      </c>
      <c r="J232" s="5">
        <v>45533</v>
      </c>
      <c r="K232" s="2" t="s">
        <v>1233</v>
      </c>
    </row>
    <row r="233" spans="1:11" x14ac:dyDescent="0.3">
      <c r="A233" s="3" t="s">
        <v>404</v>
      </c>
      <c r="B233" s="3" t="s">
        <v>40</v>
      </c>
      <c r="C233" s="3" t="s">
        <v>23</v>
      </c>
      <c r="D233" s="3" t="s">
        <v>135</v>
      </c>
      <c r="E233" s="4">
        <v>27.5</v>
      </c>
      <c r="F233" s="4">
        <v>7</v>
      </c>
      <c r="G233" s="4">
        <v>192.5</v>
      </c>
      <c r="H233" s="3" t="s">
        <v>15</v>
      </c>
      <c r="I233" s="3" t="s">
        <v>16</v>
      </c>
      <c r="J233" s="5">
        <v>44604</v>
      </c>
      <c r="K233" s="2" t="b">
        <v>0</v>
      </c>
    </row>
    <row r="234" spans="1:11" x14ac:dyDescent="0.3">
      <c r="A234" s="3" t="s">
        <v>405</v>
      </c>
      <c r="B234" s="3" t="s">
        <v>63</v>
      </c>
      <c r="C234" s="3" t="s">
        <v>32</v>
      </c>
      <c r="D234" s="3" t="s">
        <v>1233</v>
      </c>
      <c r="E234" s="4">
        <v>30.5</v>
      </c>
      <c r="F234" s="4" t="s">
        <v>1233</v>
      </c>
      <c r="G234" s="4" t="s">
        <v>1233</v>
      </c>
      <c r="H234" s="3" t="s">
        <v>48</v>
      </c>
      <c r="I234" s="3" t="s">
        <v>16</v>
      </c>
      <c r="J234" s="5">
        <v>45138</v>
      </c>
      <c r="K234" s="2" t="s">
        <v>1233</v>
      </c>
    </row>
    <row r="235" spans="1:11" x14ac:dyDescent="0.3">
      <c r="A235" s="3" t="s">
        <v>406</v>
      </c>
      <c r="B235" s="3" t="s">
        <v>22</v>
      </c>
      <c r="C235" s="3" t="s">
        <v>66</v>
      </c>
      <c r="D235" s="3" t="s">
        <v>119</v>
      </c>
      <c r="E235" s="4">
        <v>18.5</v>
      </c>
      <c r="F235" s="4">
        <v>4</v>
      </c>
      <c r="G235" s="4">
        <v>74</v>
      </c>
      <c r="H235" s="3" t="s">
        <v>15</v>
      </c>
      <c r="I235" s="3" t="s">
        <v>16</v>
      </c>
      <c r="J235" s="5">
        <v>44738</v>
      </c>
      <c r="K235" s="2" t="s">
        <v>1233</v>
      </c>
    </row>
    <row r="236" spans="1:11" x14ac:dyDescent="0.3">
      <c r="A236" s="3" t="s">
        <v>407</v>
      </c>
      <c r="B236" s="3" t="s">
        <v>55</v>
      </c>
      <c r="C236" s="3" t="s">
        <v>66</v>
      </c>
      <c r="D236" s="3" t="s">
        <v>1233</v>
      </c>
      <c r="E236" s="4">
        <v>38</v>
      </c>
      <c r="F236" s="4" t="s">
        <v>1233</v>
      </c>
      <c r="G236" s="4" t="s">
        <v>1233</v>
      </c>
      <c r="H236" s="3" t="s">
        <v>48</v>
      </c>
      <c r="I236" s="3" t="s">
        <v>16</v>
      </c>
      <c r="J236" s="5">
        <v>45154</v>
      </c>
      <c r="K236" s="2" t="b">
        <v>0</v>
      </c>
    </row>
    <row r="237" spans="1:11" x14ac:dyDescent="0.3">
      <c r="A237" s="3" t="s">
        <v>408</v>
      </c>
      <c r="B237" s="3" t="s">
        <v>27</v>
      </c>
      <c r="C237" s="3" t="s">
        <v>32</v>
      </c>
      <c r="D237" s="3" t="s">
        <v>409</v>
      </c>
      <c r="E237" s="4">
        <v>11</v>
      </c>
      <c r="F237" s="4">
        <v>6</v>
      </c>
      <c r="G237" s="4">
        <v>66</v>
      </c>
      <c r="H237" s="3" t="s">
        <v>25</v>
      </c>
      <c r="I237" s="3" t="s">
        <v>38</v>
      </c>
      <c r="J237" s="5">
        <v>44722</v>
      </c>
      <c r="K237" s="2" t="s">
        <v>1233</v>
      </c>
    </row>
    <row r="238" spans="1:11" x14ac:dyDescent="0.3">
      <c r="A238" s="3" t="s">
        <v>410</v>
      </c>
      <c r="B238" s="3" t="s">
        <v>100</v>
      </c>
      <c r="C238" s="3" t="s">
        <v>66</v>
      </c>
      <c r="D238" s="3" t="s">
        <v>101</v>
      </c>
      <c r="E238" s="4">
        <v>35</v>
      </c>
      <c r="F238" s="4">
        <v>3</v>
      </c>
      <c r="G238" s="4">
        <v>105</v>
      </c>
      <c r="H238" s="3" t="s">
        <v>25</v>
      </c>
      <c r="I238" s="3" t="s">
        <v>16</v>
      </c>
      <c r="J238" s="5">
        <v>44909</v>
      </c>
      <c r="K238" s="2" t="b">
        <v>1</v>
      </c>
    </row>
    <row r="239" spans="1:11" x14ac:dyDescent="0.3">
      <c r="A239" s="3" t="s">
        <v>411</v>
      </c>
      <c r="B239" s="3" t="s">
        <v>77</v>
      </c>
      <c r="C239" s="3" t="s">
        <v>28</v>
      </c>
      <c r="D239" s="3" t="s">
        <v>104</v>
      </c>
      <c r="E239" s="4">
        <v>41</v>
      </c>
      <c r="F239" s="4">
        <v>5</v>
      </c>
      <c r="G239" s="4">
        <v>205</v>
      </c>
      <c r="H239" s="3" t="s">
        <v>48</v>
      </c>
      <c r="I239" s="3" t="s">
        <v>38</v>
      </c>
      <c r="J239" s="5">
        <v>45211</v>
      </c>
      <c r="K239" s="2" t="s">
        <v>1233</v>
      </c>
    </row>
    <row r="240" spans="1:11" x14ac:dyDescent="0.3">
      <c r="A240" s="3" t="s">
        <v>412</v>
      </c>
      <c r="B240" s="3" t="s">
        <v>40</v>
      </c>
      <c r="C240" s="3" t="s">
        <v>32</v>
      </c>
      <c r="D240" s="3" t="s">
        <v>128</v>
      </c>
      <c r="E240" s="4">
        <v>21.5</v>
      </c>
      <c r="F240" s="4">
        <v>7</v>
      </c>
      <c r="G240" s="4">
        <v>150.5</v>
      </c>
      <c r="H240" s="3" t="s">
        <v>15</v>
      </c>
      <c r="I240" s="3" t="s">
        <v>38</v>
      </c>
      <c r="J240" s="5">
        <v>45548</v>
      </c>
      <c r="K240" s="2" t="b">
        <v>0</v>
      </c>
    </row>
    <row r="241" spans="1:11" x14ac:dyDescent="0.3">
      <c r="A241" s="3" t="s">
        <v>413</v>
      </c>
      <c r="B241" s="3" t="s">
        <v>108</v>
      </c>
      <c r="C241" s="3" t="s">
        <v>130</v>
      </c>
      <c r="D241" s="3" t="s">
        <v>139</v>
      </c>
      <c r="E241" s="4">
        <v>11</v>
      </c>
      <c r="F241" s="4">
        <v>10</v>
      </c>
      <c r="G241" s="4">
        <v>110</v>
      </c>
      <c r="H241" s="3" t="s">
        <v>48</v>
      </c>
      <c r="I241" s="3" t="s">
        <v>16</v>
      </c>
      <c r="J241" s="5">
        <v>45320</v>
      </c>
      <c r="K241" s="2" t="s">
        <v>1233</v>
      </c>
    </row>
    <row r="242" spans="1:11" x14ac:dyDescent="0.3">
      <c r="A242" s="3" t="s">
        <v>414</v>
      </c>
      <c r="B242" s="3" t="s">
        <v>89</v>
      </c>
      <c r="C242" s="3" t="s">
        <v>19</v>
      </c>
      <c r="D242" s="3" t="s">
        <v>271</v>
      </c>
      <c r="E242" s="4">
        <v>5</v>
      </c>
      <c r="F242" s="4">
        <v>2</v>
      </c>
      <c r="G242" s="4">
        <v>10</v>
      </c>
      <c r="H242" s="3" t="s">
        <v>15</v>
      </c>
      <c r="I242" s="3" t="s">
        <v>16</v>
      </c>
      <c r="J242" s="5">
        <v>45053</v>
      </c>
      <c r="K242" s="2" t="b">
        <v>1</v>
      </c>
    </row>
    <row r="243" spans="1:11" x14ac:dyDescent="0.3">
      <c r="A243" s="3" t="s">
        <v>415</v>
      </c>
      <c r="B243" s="3" t="s">
        <v>98</v>
      </c>
      <c r="C243" s="3" t="s">
        <v>19</v>
      </c>
      <c r="D243" s="3" t="s">
        <v>210</v>
      </c>
      <c r="E243" s="4">
        <v>9.5</v>
      </c>
      <c r="F243" s="4">
        <v>2</v>
      </c>
      <c r="G243" s="4">
        <v>19</v>
      </c>
      <c r="H243" s="3" t="s">
        <v>25</v>
      </c>
      <c r="I243" s="3" t="s">
        <v>38</v>
      </c>
      <c r="J243" s="5">
        <v>45585</v>
      </c>
      <c r="K243" s="2" t="b">
        <v>0</v>
      </c>
    </row>
    <row r="244" spans="1:11" x14ac:dyDescent="0.3">
      <c r="A244" s="3" t="s">
        <v>416</v>
      </c>
      <c r="B244" s="3" t="s">
        <v>12</v>
      </c>
      <c r="C244" s="3" t="s">
        <v>19</v>
      </c>
      <c r="D244" s="3" t="s">
        <v>391</v>
      </c>
      <c r="E244" s="4">
        <v>6.5</v>
      </c>
      <c r="F244" s="4">
        <v>1</v>
      </c>
      <c r="G244" s="4">
        <v>6.5</v>
      </c>
      <c r="H244" s="3" t="s">
        <v>48</v>
      </c>
      <c r="I244" s="3" t="s">
        <v>16</v>
      </c>
      <c r="J244" s="5">
        <v>44880</v>
      </c>
      <c r="K244" s="2" t="s">
        <v>1233</v>
      </c>
    </row>
    <row r="245" spans="1:11" x14ac:dyDescent="0.3">
      <c r="A245" s="3" t="s">
        <v>417</v>
      </c>
      <c r="B245" s="3" t="s">
        <v>89</v>
      </c>
      <c r="C245" s="3" t="s">
        <v>32</v>
      </c>
      <c r="D245" s="3" t="s">
        <v>126</v>
      </c>
      <c r="E245" s="4">
        <v>8</v>
      </c>
      <c r="F245" s="4">
        <v>6</v>
      </c>
      <c r="G245" s="4">
        <v>48</v>
      </c>
      <c r="H245" s="3" t="s">
        <v>25</v>
      </c>
      <c r="I245" s="3" t="s">
        <v>38</v>
      </c>
      <c r="J245" s="5">
        <v>45301</v>
      </c>
      <c r="K245" s="2" t="b">
        <v>0</v>
      </c>
    </row>
    <row r="246" spans="1:11" x14ac:dyDescent="0.3">
      <c r="A246" s="3" t="s">
        <v>418</v>
      </c>
      <c r="B246" s="3" t="s">
        <v>22</v>
      </c>
      <c r="C246" s="3" t="s">
        <v>66</v>
      </c>
      <c r="D246" s="3" t="s">
        <v>101</v>
      </c>
      <c r="E246" s="4">
        <v>35</v>
      </c>
      <c r="F246" s="4">
        <v>5</v>
      </c>
      <c r="G246" s="4">
        <v>175</v>
      </c>
      <c r="H246" s="3" t="s">
        <v>15</v>
      </c>
      <c r="I246" s="3" t="s">
        <v>16</v>
      </c>
      <c r="J246" s="5">
        <v>44663</v>
      </c>
      <c r="K246" s="2" t="b">
        <v>0</v>
      </c>
    </row>
    <row r="247" spans="1:11" x14ac:dyDescent="0.3">
      <c r="A247" s="3" t="s">
        <v>419</v>
      </c>
      <c r="B247" s="3" t="s">
        <v>84</v>
      </c>
      <c r="C247" s="3" t="s">
        <v>66</v>
      </c>
      <c r="D247" s="3" t="s">
        <v>420</v>
      </c>
      <c r="E247" s="4">
        <v>41</v>
      </c>
      <c r="F247" s="4">
        <v>9</v>
      </c>
      <c r="G247" s="4">
        <v>369</v>
      </c>
      <c r="H247" s="3" t="s">
        <v>15</v>
      </c>
      <c r="I247" s="3" t="s">
        <v>38</v>
      </c>
      <c r="J247" s="5">
        <v>45468</v>
      </c>
      <c r="K247" s="2" t="s">
        <v>1233</v>
      </c>
    </row>
    <row r="248" spans="1:11" x14ac:dyDescent="0.3">
      <c r="A248" s="3" t="s">
        <v>421</v>
      </c>
      <c r="B248" s="3" t="s">
        <v>108</v>
      </c>
      <c r="C248" s="3" t="s">
        <v>13</v>
      </c>
      <c r="D248" s="3" t="s">
        <v>92</v>
      </c>
      <c r="E248" s="4">
        <v>36.5</v>
      </c>
      <c r="F248" s="4">
        <v>7</v>
      </c>
      <c r="G248" s="4">
        <v>255.5</v>
      </c>
      <c r="H248" s="3" t="s">
        <v>15</v>
      </c>
      <c r="I248" s="3" t="s">
        <v>16</v>
      </c>
      <c r="J248" s="5">
        <v>45448</v>
      </c>
      <c r="K248" s="2" t="s">
        <v>1233</v>
      </c>
    </row>
    <row r="249" spans="1:11" x14ac:dyDescent="0.3">
      <c r="A249" s="3" t="s">
        <v>422</v>
      </c>
      <c r="B249" s="3" t="s">
        <v>123</v>
      </c>
      <c r="C249" s="3" t="s">
        <v>66</v>
      </c>
      <c r="D249" s="3" t="s">
        <v>1233</v>
      </c>
      <c r="E249" s="4" t="s">
        <v>1233</v>
      </c>
      <c r="F249" s="4">
        <v>7</v>
      </c>
      <c r="G249" s="4">
        <v>150.5</v>
      </c>
      <c r="H249" s="3" t="s">
        <v>48</v>
      </c>
      <c r="I249" s="3" t="s">
        <v>16</v>
      </c>
      <c r="J249" s="5">
        <v>45015</v>
      </c>
      <c r="K249" s="2" t="s">
        <v>1233</v>
      </c>
    </row>
    <row r="250" spans="1:11" x14ac:dyDescent="0.3">
      <c r="A250" s="3" t="s">
        <v>423</v>
      </c>
      <c r="B250" s="3" t="s">
        <v>65</v>
      </c>
      <c r="C250" s="3" t="s">
        <v>28</v>
      </c>
      <c r="D250" s="3" t="s">
        <v>268</v>
      </c>
      <c r="E250" s="4">
        <v>12.5</v>
      </c>
      <c r="F250" s="4">
        <v>3</v>
      </c>
      <c r="G250" s="4">
        <v>37.5</v>
      </c>
      <c r="H250" s="3" t="s">
        <v>25</v>
      </c>
      <c r="I250" s="3" t="s">
        <v>38</v>
      </c>
      <c r="J250" s="5">
        <v>45523</v>
      </c>
      <c r="K250" s="2" t="b">
        <v>0</v>
      </c>
    </row>
    <row r="251" spans="1:11" x14ac:dyDescent="0.3">
      <c r="A251" s="3" t="s">
        <v>424</v>
      </c>
      <c r="B251" s="3" t="s">
        <v>46</v>
      </c>
      <c r="C251" s="3" t="s">
        <v>23</v>
      </c>
      <c r="D251" s="3" t="s">
        <v>24</v>
      </c>
      <c r="E251" s="4">
        <v>21.5</v>
      </c>
      <c r="F251" s="4">
        <v>7</v>
      </c>
      <c r="G251" s="4">
        <v>150.5</v>
      </c>
      <c r="H251" s="3" t="s">
        <v>25</v>
      </c>
      <c r="I251" s="3" t="s">
        <v>38</v>
      </c>
      <c r="J251" s="5">
        <v>44652</v>
      </c>
      <c r="K251" s="2" t="s">
        <v>1233</v>
      </c>
    </row>
    <row r="252" spans="1:11" x14ac:dyDescent="0.3">
      <c r="A252" s="3" t="s">
        <v>425</v>
      </c>
      <c r="B252" s="3" t="s">
        <v>31</v>
      </c>
      <c r="C252" s="3" t="s">
        <v>19</v>
      </c>
      <c r="D252" s="3" t="s">
        <v>391</v>
      </c>
      <c r="E252" s="4">
        <v>6.5</v>
      </c>
      <c r="F252" s="4">
        <v>10</v>
      </c>
      <c r="G252" s="4">
        <v>65</v>
      </c>
      <c r="H252" s="3" t="s">
        <v>25</v>
      </c>
      <c r="I252" s="3" t="s">
        <v>38</v>
      </c>
      <c r="J252" s="5">
        <v>44770</v>
      </c>
      <c r="K252" s="2" t="s">
        <v>1233</v>
      </c>
    </row>
    <row r="253" spans="1:11" x14ac:dyDescent="0.3">
      <c r="A253" s="3" t="s">
        <v>426</v>
      </c>
      <c r="B253" s="3" t="s">
        <v>36</v>
      </c>
      <c r="C253" s="3" t="s">
        <v>130</v>
      </c>
      <c r="D253" s="3" t="s">
        <v>427</v>
      </c>
      <c r="E253" s="4">
        <v>17</v>
      </c>
      <c r="F253" s="4">
        <v>10</v>
      </c>
      <c r="G253" s="4">
        <v>170</v>
      </c>
      <c r="H253" s="3" t="s">
        <v>15</v>
      </c>
      <c r="I253" s="3" t="s">
        <v>38</v>
      </c>
      <c r="J253" s="5">
        <v>45216</v>
      </c>
      <c r="K253" s="2" t="s">
        <v>1233</v>
      </c>
    </row>
    <row r="254" spans="1:11" x14ac:dyDescent="0.3">
      <c r="A254" s="3" t="s">
        <v>428</v>
      </c>
      <c r="B254" s="3" t="s">
        <v>98</v>
      </c>
      <c r="C254" s="3" t="s">
        <v>28</v>
      </c>
      <c r="D254" s="3" t="s">
        <v>124</v>
      </c>
      <c r="E254" s="4">
        <v>15.5</v>
      </c>
      <c r="F254" s="4">
        <v>5</v>
      </c>
      <c r="G254" s="4">
        <v>77.5</v>
      </c>
      <c r="H254" s="3" t="s">
        <v>15</v>
      </c>
      <c r="I254" s="3" t="s">
        <v>16</v>
      </c>
      <c r="J254" s="5">
        <v>44976</v>
      </c>
      <c r="K254" s="2" t="b">
        <v>1</v>
      </c>
    </row>
    <row r="255" spans="1:11" x14ac:dyDescent="0.3">
      <c r="A255" s="3" t="s">
        <v>429</v>
      </c>
      <c r="B255" s="3" t="s">
        <v>123</v>
      </c>
      <c r="C255" s="3" t="s">
        <v>41</v>
      </c>
      <c r="D255" s="3" t="s">
        <v>1233</v>
      </c>
      <c r="E255" s="4">
        <v>12.5</v>
      </c>
      <c r="F255" s="4" t="s">
        <v>1233</v>
      </c>
      <c r="G255" s="4" t="s">
        <v>1233</v>
      </c>
      <c r="H255" s="3" t="s">
        <v>15</v>
      </c>
      <c r="I255" s="3" t="s">
        <v>16</v>
      </c>
      <c r="J255" s="5">
        <v>45305</v>
      </c>
      <c r="K255" s="2" t="b">
        <v>0</v>
      </c>
    </row>
    <row r="256" spans="1:11" x14ac:dyDescent="0.3">
      <c r="A256" s="3" t="s">
        <v>430</v>
      </c>
      <c r="B256" s="3" t="s">
        <v>55</v>
      </c>
      <c r="C256" s="3" t="s">
        <v>32</v>
      </c>
      <c r="D256" s="3" t="s">
        <v>78</v>
      </c>
      <c r="E256" s="4">
        <v>18.5</v>
      </c>
      <c r="F256" s="4">
        <v>7</v>
      </c>
      <c r="G256" s="4">
        <v>129.5</v>
      </c>
      <c r="H256" s="3" t="s">
        <v>48</v>
      </c>
      <c r="I256" s="3" t="s">
        <v>38</v>
      </c>
      <c r="J256" s="5">
        <v>45089</v>
      </c>
      <c r="K256" s="2" t="b">
        <v>0</v>
      </c>
    </row>
    <row r="257" spans="1:11" x14ac:dyDescent="0.3">
      <c r="A257" s="3" t="s">
        <v>431</v>
      </c>
      <c r="B257" s="3" t="s">
        <v>63</v>
      </c>
      <c r="C257" s="3" t="s">
        <v>41</v>
      </c>
      <c r="D257" s="3" t="s">
        <v>303</v>
      </c>
      <c r="E257" s="4">
        <v>15.5</v>
      </c>
      <c r="F257" s="4">
        <v>1</v>
      </c>
      <c r="G257" s="4">
        <v>15.5</v>
      </c>
      <c r="H257" s="3" t="s">
        <v>25</v>
      </c>
      <c r="I257" s="3" t="s">
        <v>38</v>
      </c>
      <c r="J257" s="5">
        <v>44843</v>
      </c>
      <c r="K257" s="2" t="s">
        <v>1233</v>
      </c>
    </row>
    <row r="258" spans="1:11" x14ac:dyDescent="0.3">
      <c r="A258" s="3" t="s">
        <v>432</v>
      </c>
      <c r="B258" s="3" t="s">
        <v>116</v>
      </c>
      <c r="C258" s="3" t="s">
        <v>41</v>
      </c>
      <c r="D258" s="3" t="s">
        <v>81</v>
      </c>
      <c r="E258" s="4">
        <v>24.5</v>
      </c>
      <c r="F258" s="4">
        <v>1</v>
      </c>
      <c r="G258" s="4">
        <v>24.5</v>
      </c>
      <c r="H258" s="3" t="s">
        <v>15</v>
      </c>
      <c r="I258" s="3" t="s">
        <v>38</v>
      </c>
      <c r="J258" s="5">
        <v>44732</v>
      </c>
      <c r="K258" s="2" t="s">
        <v>1233</v>
      </c>
    </row>
    <row r="259" spans="1:11" x14ac:dyDescent="0.3">
      <c r="A259" s="3" t="s">
        <v>433</v>
      </c>
      <c r="B259" s="3" t="s">
        <v>69</v>
      </c>
      <c r="C259" s="3" t="s">
        <v>19</v>
      </c>
      <c r="D259" s="3" t="s">
        <v>273</v>
      </c>
      <c r="E259" s="4">
        <v>39.5</v>
      </c>
      <c r="F259" s="4">
        <v>3</v>
      </c>
      <c r="G259" s="4">
        <v>118.5</v>
      </c>
      <c r="H259" s="3" t="s">
        <v>48</v>
      </c>
      <c r="I259" s="3" t="s">
        <v>16</v>
      </c>
      <c r="J259" s="5">
        <v>44993</v>
      </c>
      <c r="K259" s="2" t="s">
        <v>1233</v>
      </c>
    </row>
    <row r="260" spans="1:11" x14ac:dyDescent="0.3">
      <c r="A260" s="3" t="s">
        <v>434</v>
      </c>
      <c r="B260" s="3" t="s">
        <v>80</v>
      </c>
      <c r="C260" s="3" t="s">
        <v>32</v>
      </c>
      <c r="D260" s="3" t="s">
        <v>90</v>
      </c>
      <c r="E260" s="4">
        <v>24.5</v>
      </c>
      <c r="F260" s="4">
        <v>6</v>
      </c>
      <c r="G260" s="4">
        <v>147</v>
      </c>
      <c r="H260" s="3" t="s">
        <v>25</v>
      </c>
      <c r="I260" s="3" t="s">
        <v>16</v>
      </c>
      <c r="J260" s="5">
        <v>44986</v>
      </c>
      <c r="K260" s="2" t="b">
        <v>1</v>
      </c>
    </row>
    <row r="261" spans="1:11" x14ac:dyDescent="0.3">
      <c r="A261" s="3" t="s">
        <v>435</v>
      </c>
      <c r="B261" s="3" t="s">
        <v>168</v>
      </c>
      <c r="C261" s="3" t="s">
        <v>32</v>
      </c>
      <c r="D261" s="3" t="s">
        <v>1233</v>
      </c>
      <c r="E261" s="4">
        <v>20</v>
      </c>
      <c r="F261" s="4" t="s">
        <v>1233</v>
      </c>
      <c r="G261" s="4" t="s">
        <v>1233</v>
      </c>
      <c r="H261" s="3" t="s">
        <v>15</v>
      </c>
      <c r="I261" s="3" t="s">
        <v>38</v>
      </c>
      <c r="J261" s="5">
        <v>44698</v>
      </c>
      <c r="K261" s="2" t="s">
        <v>1233</v>
      </c>
    </row>
    <row r="262" spans="1:11" x14ac:dyDescent="0.3">
      <c r="A262" s="3" t="s">
        <v>436</v>
      </c>
      <c r="B262" s="3" t="s">
        <v>84</v>
      </c>
      <c r="C262" s="3" t="s">
        <v>13</v>
      </c>
      <c r="D262" s="3" t="s">
        <v>96</v>
      </c>
      <c r="E262" s="4">
        <v>12.5</v>
      </c>
      <c r="F262" s="4">
        <v>3</v>
      </c>
      <c r="G262" s="4">
        <v>37.5</v>
      </c>
      <c r="H262" s="3" t="s">
        <v>48</v>
      </c>
      <c r="I262" s="3" t="s">
        <v>38</v>
      </c>
      <c r="J262" s="5">
        <v>45378</v>
      </c>
      <c r="K262" s="2" t="b">
        <v>0</v>
      </c>
    </row>
    <row r="263" spans="1:11" x14ac:dyDescent="0.3">
      <c r="A263" s="3" t="s">
        <v>437</v>
      </c>
      <c r="B263" s="3" t="s">
        <v>108</v>
      </c>
      <c r="C263" s="3" t="s">
        <v>23</v>
      </c>
      <c r="D263" s="3" t="s">
        <v>24</v>
      </c>
      <c r="E263" s="4">
        <v>21.5</v>
      </c>
      <c r="F263" s="4">
        <v>1</v>
      </c>
      <c r="G263" s="4">
        <v>21.5</v>
      </c>
      <c r="H263" s="3" t="s">
        <v>25</v>
      </c>
      <c r="I263" s="3" t="s">
        <v>16</v>
      </c>
      <c r="J263" s="5">
        <v>45160</v>
      </c>
      <c r="K263" s="2" t="b">
        <v>0</v>
      </c>
    </row>
    <row r="264" spans="1:11" x14ac:dyDescent="0.3">
      <c r="A264" s="3" t="s">
        <v>438</v>
      </c>
      <c r="B264" s="3" t="s">
        <v>168</v>
      </c>
      <c r="C264" s="3" t="s">
        <v>23</v>
      </c>
      <c r="D264" s="3" t="s">
        <v>227</v>
      </c>
      <c r="E264" s="4">
        <v>15.5</v>
      </c>
      <c r="F264" s="4">
        <v>3</v>
      </c>
      <c r="G264" s="4">
        <v>46.5</v>
      </c>
      <c r="H264" s="3" t="s">
        <v>25</v>
      </c>
      <c r="I264" s="3" t="s">
        <v>38</v>
      </c>
      <c r="J264" s="5">
        <v>45524</v>
      </c>
      <c r="K264" s="2" t="b">
        <v>1</v>
      </c>
    </row>
    <row r="265" spans="1:11" x14ac:dyDescent="0.3">
      <c r="A265" s="3" t="s">
        <v>439</v>
      </c>
      <c r="B265" s="3" t="s">
        <v>116</v>
      </c>
      <c r="C265" s="3" t="s">
        <v>41</v>
      </c>
      <c r="D265" s="3" t="s">
        <v>303</v>
      </c>
      <c r="E265" s="4">
        <v>15.5</v>
      </c>
      <c r="F265" s="4">
        <v>5</v>
      </c>
      <c r="G265" s="4">
        <v>77.5</v>
      </c>
      <c r="H265" s="3" t="s">
        <v>25</v>
      </c>
      <c r="I265" s="3" t="s">
        <v>38</v>
      </c>
      <c r="J265" s="5">
        <v>45435</v>
      </c>
      <c r="K265" s="2" t="b">
        <v>1</v>
      </c>
    </row>
    <row r="266" spans="1:11" x14ac:dyDescent="0.3">
      <c r="A266" s="3" t="s">
        <v>440</v>
      </c>
      <c r="B266" s="3" t="s">
        <v>108</v>
      </c>
      <c r="C266" s="3" t="s">
        <v>19</v>
      </c>
      <c r="D266" s="3" t="s">
        <v>284</v>
      </c>
      <c r="E266" s="4">
        <v>8</v>
      </c>
      <c r="F266" s="4">
        <v>9</v>
      </c>
      <c r="G266" s="4">
        <v>72</v>
      </c>
      <c r="H266" s="3" t="s">
        <v>48</v>
      </c>
      <c r="I266" s="3" t="s">
        <v>38</v>
      </c>
      <c r="J266" s="5">
        <v>44564</v>
      </c>
      <c r="K266" s="2" t="b">
        <v>0</v>
      </c>
    </row>
    <row r="267" spans="1:11" x14ac:dyDescent="0.3">
      <c r="A267" s="3" t="s">
        <v>441</v>
      </c>
      <c r="B267" s="3" t="s">
        <v>74</v>
      </c>
      <c r="C267" s="3" t="s">
        <v>130</v>
      </c>
      <c r="D267" s="3" t="s">
        <v>139</v>
      </c>
      <c r="E267" s="4">
        <v>11</v>
      </c>
      <c r="F267" s="4">
        <v>5</v>
      </c>
      <c r="G267" s="4">
        <v>55</v>
      </c>
      <c r="H267" s="3" t="s">
        <v>48</v>
      </c>
      <c r="I267" s="3" t="s">
        <v>38</v>
      </c>
      <c r="J267" s="5">
        <v>44614</v>
      </c>
      <c r="K267" s="2" t="s">
        <v>1233</v>
      </c>
    </row>
    <row r="268" spans="1:11" x14ac:dyDescent="0.3">
      <c r="A268" s="3" t="s">
        <v>442</v>
      </c>
      <c r="B268" s="3" t="s">
        <v>80</v>
      </c>
      <c r="C268" s="3" t="s">
        <v>130</v>
      </c>
      <c r="D268" s="3" t="s">
        <v>443</v>
      </c>
      <c r="E268" s="4">
        <v>5</v>
      </c>
      <c r="F268" s="4">
        <v>7</v>
      </c>
      <c r="G268" s="4">
        <v>35</v>
      </c>
      <c r="H268" s="3" t="s">
        <v>25</v>
      </c>
      <c r="I268" s="3" t="s">
        <v>16</v>
      </c>
      <c r="J268" s="5">
        <v>44600</v>
      </c>
      <c r="K268" s="2" t="b">
        <v>1</v>
      </c>
    </row>
    <row r="269" spans="1:11" x14ac:dyDescent="0.3">
      <c r="A269" s="3" t="s">
        <v>444</v>
      </c>
      <c r="B269" s="3" t="s">
        <v>22</v>
      </c>
      <c r="C269" s="3" t="s">
        <v>13</v>
      </c>
      <c r="D269" s="3" t="s">
        <v>178</v>
      </c>
      <c r="E269" s="4">
        <v>14</v>
      </c>
      <c r="F269" s="4">
        <v>7</v>
      </c>
      <c r="G269" s="4">
        <v>98</v>
      </c>
      <c r="H269" s="3" t="s">
        <v>48</v>
      </c>
      <c r="I269" s="3" t="s">
        <v>16</v>
      </c>
      <c r="J269" s="5">
        <v>45600</v>
      </c>
      <c r="K269" s="2" t="s">
        <v>1233</v>
      </c>
    </row>
    <row r="270" spans="1:11" x14ac:dyDescent="0.3">
      <c r="A270" s="3" t="s">
        <v>445</v>
      </c>
      <c r="B270" s="3" t="s">
        <v>46</v>
      </c>
      <c r="C270" s="3" t="s">
        <v>19</v>
      </c>
      <c r="D270" s="3" t="s">
        <v>201</v>
      </c>
      <c r="E270" s="4">
        <v>15.5</v>
      </c>
      <c r="F270" s="4">
        <v>2</v>
      </c>
      <c r="G270" s="4">
        <v>31</v>
      </c>
      <c r="H270" s="3" t="s">
        <v>15</v>
      </c>
      <c r="I270" s="3" t="s">
        <v>38</v>
      </c>
      <c r="J270" s="5">
        <v>45474</v>
      </c>
      <c r="K270" s="2" t="s">
        <v>1233</v>
      </c>
    </row>
    <row r="271" spans="1:11" x14ac:dyDescent="0.3">
      <c r="A271" s="3" t="s">
        <v>446</v>
      </c>
      <c r="B271" s="3" t="s">
        <v>98</v>
      </c>
      <c r="C271" s="3" t="s">
        <v>23</v>
      </c>
      <c r="D271" s="3" t="s">
        <v>114</v>
      </c>
      <c r="E271" s="4">
        <v>38</v>
      </c>
      <c r="F271" s="4">
        <v>1</v>
      </c>
      <c r="G271" s="4">
        <v>38</v>
      </c>
      <c r="H271" s="3" t="s">
        <v>48</v>
      </c>
      <c r="I271" s="3" t="s">
        <v>38</v>
      </c>
      <c r="J271" s="5">
        <v>45549</v>
      </c>
      <c r="K271" s="2" t="s">
        <v>1233</v>
      </c>
    </row>
    <row r="272" spans="1:11" x14ac:dyDescent="0.3">
      <c r="A272" s="3" t="s">
        <v>447</v>
      </c>
      <c r="B272" s="3" t="s">
        <v>63</v>
      </c>
      <c r="C272" s="3" t="s">
        <v>130</v>
      </c>
      <c r="D272" s="3" t="s">
        <v>293</v>
      </c>
      <c r="E272" s="4">
        <v>12.5</v>
      </c>
      <c r="F272" s="4">
        <v>1</v>
      </c>
      <c r="G272" s="4">
        <v>12.5</v>
      </c>
      <c r="H272" s="3" t="s">
        <v>15</v>
      </c>
      <c r="I272" s="3" t="s">
        <v>38</v>
      </c>
      <c r="J272" s="5">
        <v>45327</v>
      </c>
      <c r="K272" s="2" t="b">
        <v>0</v>
      </c>
    </row>
    <row r="273" spans="1:11" x14ac:dyDescent="0.3">
      <c r="A273" s="3" t="s">
        <v>448</v>
      </c>
      <c r="B273" s="3" t="s">
        <v>65</v>
      </c>
      <c r="C273" s="3" t="s">
        <v>19</v>
      </c>
      <c r="D273" s="3" t="s">
        <v>1233</v>
      </c>
      <c r="E273" s="4" t="s">
        <v>1233</v>
      </c>
      <c r="F273" s="4">
        <v>9</v>
      </c>
      <c r="G273" s="4">
        <v>99</v>
      </c>
      <c r="H273" s="3" t="s">
        <v>15</v>
      </c>
      <c r="I273" s="3" t="s">
        <v>38</v>
      </c>
      <c r="J273" s="5">
        <v>44883</v>
      </c>
      <c r="K273" s="2" t="s">
        <v>1233</v>
      </c>
    </row>
    <row r="274" spans="1:11" x14ac:dyDescent="0.3">
      <c r="A274" s="3" t="s">
        <v>449</v>
      </c>
      <c r="B274" s="3" t="s">
        <v>80</v>
      </c>
      <c r="C274" s="3" t="s">
        <v>130</v>
      </c>
      <c r="D274" s="3" t="s">
        <v>427</v>
      </c>
      <c r="E274" s="4">
        <v>17</v>
      </c>
      <c r="F274" s="4">
        <v>10</v>
      </c>
      <c r="G274" s="4">
        <v>170</v>
      </c>
      <c r="H274" s="3" t="s">
        <v>25</v>
      </c>
      <c r="I274" s="3" t="s">
        <v>38</v>
      </c>
      <c r="J274" s="5">
        <v>45598</v>
      </c>
      <c r="K274" s="2" t="s">
        <v>1233</v>
      </c>
    </row>
    <row r="275" spans="1:11" x14ac:dyDescent="0.3">
      <c r="A275" s="3" t="s">
        <v>450</v>
      </c>
      <c r="B275" s="3" t="s">
        <v>43</v>
      </c>
      <c r="C275" s="3" t="s">
        <v>41</v>
      </c>
      <c r="D275" s="3" t="s">
        <v>87</v>
      </c>
      <c r="E275" s="4">
        <v>41</v>
      </c>
      <c r="F275" s="4">
        <v>3</v>
      </c>
      <c r="G275" s="4">
        <v>123</v>
      </c>
      <c r="H275" s="3" t="s">
        <v>48</v>
      </c>
      <c r="I275" s="3" t="s">
        <v>38</v>
      </c>
      <c r="J275" s="5">
        <v>45553</v>
      </c>
      <c r="K275" s="2" t="s">
        <v>1233</v>
      </c>
    </row>
    <row r="276" spans="1:11" x14ac:dyDescent="0.3">
      <c r="A276" s="3" t="s">
        <v>451</v>
      </c>
      <c r="B276" s="3" t="s">
        <v>31</v>
      </c>
      <c r="C276" s="3" t="s">
        <v>130</v>
      </c>
      <c r="D276" s="3" t="s">
        <v>361</v>
      </c>
      <c r="E276" s="4">
        <v>32</v>
      </c>
      <c r="F276" s="4">
        <v>4</v>
      </c>
      <c r="G276" s="4">
        <v>128</v>
      </c>
      <c r="H276" s="3" t="s">
        <v>48</v>
      </c>
      <c r="I276" s="3" t="s">
        <v>38</v>
      </c>
      <c r="J276" s="5">
        <v>45634</v>
      </c>
      <c r="K276" s="2" t="b">
        <v>0</v>
      </c>
    </row>
    <row r="277" spans="1:11" x14ac:dyDescent="0.3">
      <c r="A277" s="3" t="s">
        <v>452</v>
      </c>
      <c r="B277" s="3" t="s">
        <v>168</v>
      </c>
      <c r="C277" s="3" t="s">
        <v>41</v>
      </c>
      <c r="D277" s="3" t="s">
        <v>453</v>
      </c>
      <c r="E277" s="4">
        <v>26</v>
      </c>
      <c r="F277" s="4">
        <v>9</v>
      </c>
      <c r="G277" s="4">
        <v>234</v>
      </c>
      <c r="H277" s="3" t="s">
        <v>48</v>
      </c>
      <c r="I277" s="3" t="s">
        <v>38</v>
      </c>
      <c r="J277" s="5">
        <v>44575</v>
      </c>
      <c r="K277" s="2" t="b">
        <v>0</v>
      </c>
    </row>
    <row r="278" spans="1:11" x14ac:dyDescent="0.3">
      <c r="A278" s="3" t="s">
        <v>454</v>
      </c>
      <c r="B278" s="3" t="s">
        <v>69</v>
      </c>
      <c r="C278" s="3" t="s">
        <v>13</v>
      </c>
      <c r="D278" s="3" t="s">
        <v>455</v>
      </c>
      <c r="E278" s="4">
        <v>26</v>
      </c>
      <c r="F278" s="4">
        <v>9</v>
      </c>
      <c r="G278" s="4">
        <v>234</v>
      </c>
      <c r="H278" s="3" t="s">
        <v>15</v>
      </c>
      <c r="I278" s="3" t="s">
        <v>38</v>
      </c>
      <c r="J278" s="5">
        <v>45613</v>
      </c>
      <c r="K278" s="2" t="b">
        <v>0</v>
      </c>
    </row>
    <row r="279" spans="1:11" x14ac:dyDescent="0.3">
      <c r="A279" s="3" t="s">
        <v>456</v>
      </c>
      <c r="B279" s="3" t="s">
        <v>65</v>
      </c>
      <c r="C279" s="3" t="s">
        <v>130</v>
      </c>
      <c r="D279" s="3" t="s">
        <v>1233</v>
      </c>
      <c r="E279" s="4">
        <v>32</v>
      </c>
      <c r="F279" s="4" t="s">
        <v>1233</v>
      </c>
      <c r="G279" s="4" t="s">
        <v>1233</v>
      </c>
      <c r="H279" s="3" t="s">
        <v>15</v>
      </c>
      <c r="I279" s="3" t="s">
        <v>38</v>
      </c>
      <c r="J279" s="5">
        <v>45468</v>
      </c>
      <c r="K279" s="2" t="s">
        <v>1233</v>
      </c>
    </row>
    <row r="280" spans="1:11" x14ac:dyDescent="0.3">
      <c r="A280" s="3" t="s">
        <v>457</v>
      </c>
      <c r="B280" s="3" t="s">
        <v>168</v>
      </c>
      <c r="C280" s="3" t="s">
        <v>28</v>
      </c>
      <c r="D280" s="3" t="s">
        <v>308</v>
      </c>
      <c r="E280" s="4">
        <v>6.5</v>
      </c>
      <c r="F280" s="4">
        <v>9</v>
      </c>
      <c r="G280" s="4">
        <v>58.5</v>
      </c>
      <c r="H280" s="3" t="s">
        <v>15</v>
      </c>
      <c r="I280" s="3" t="s">
        <v>16</v>
      </c>
      <c r="J280" s="5">
        <v>45289</v>
      </c>
      <c r="K280" s="2" t="s">
        <v>1233</v>
      </c>
    </row>
    <row r="281" spans="1:11" x14ac:dyDescent="0.3">
      <c r="A281" s="3" t="s">
        <v>458</v>
      </c>
      <c r="B281" s="3" t="s">
        <v>113</v>
      </c>
      <c r="C281" s="3" t="s">
        <v>28</v>
      </c>
      <c r="D281" s="3" t="s">
        <v>308</v>
      </c>
      <c r="E281" s="4">
        <v>6.5</v>
      </c>
      <c r="F281" s="4">
        <v>1</v>
      </c>
      <c r="G281" s="4">
        <v>6.5</v>
      </c>
      <c r="H281" s="3" t="s">
        <v>48</v>
      </c>
      <c r="I281" s="3" t="s">
        <v>38</v>
      </c>
      <c r="J281" s="5">
        <v>45433</v>
      </c>
      <c r="K281" s="2" t="s">
        <v>1233</v>
      </c>
    </row>
    <row r="282" spans="1:11" x14ac:dyDescent="0.3">
      <c r="A282" s="3" t="s">
        <v>459</v>
      </c>
      <c r="B282" s="3" t="s">
        <v>89</v>
      </c>
      <c r="C282" s="3" t="s">
        <v>28</v>
      </c>
      <c r="D282" s="3" t="s">
        <v>1233</v>
      </c>
      <c r="E282" s="4" t="s">
        <v>1233</v>
      </c>
      <c r="F282" s="4">
        <v>6</v>
      </c>
      <c r="G282" s="4">
        <v>48</v>
      </c>
      <c r="H282" s="3" t="s">
        <v>48</v>
      </c>
      <c r="I282" s="3" t="s">
        <v>16</v>
      </c>
      <c r="J282" s="5">
        <v>45348</v>
      </c>
      <c r="K282" s="2" t="b">
        <v>0</v>
      </c>
    </row>
    <row r="283" spans="1:11" x14ac:dyDescent="0.3">
      <c r="A283" s="3" t="s">
        <v>460</v>
      </c>
      <c r="B283" s="3" t="s">
        <v>43</v>
      </c>
      <c r="C283" s="3" t="s">
        <v>130</v>
      </c>
      <c r="D283" s="3" t="s">
        <v>229</v>
      </c>
      <c r="E283" s="4">
        <v>18.5</v>
      </c>
      <c r="F283" s="4">
        <v>7</v>
      </c>
      <c r="G283" s="4">
        <v>129.5</v>
      </c>
      <c r="H283" s="3" t="s">
        <v>15</v>
      </c>
      <c r="I283" s="3" t="s">
        <v>16</v>
      </c>
      <c r="J283" s="5">
        <v>45556</v>
      </c>
      <c r="K283" s="2" t="b">
        <v>1</v>
      </c>
    </row>
    <row r="284" spans="1:11" x14ac:dyDescent="0.3">
      <c r="A284" s="3" t="s">
        <v>461</v>
      </c>
      <c r="B284" s="3" t="s">
        <v>113</v>
      </c>
      <c r="C284" s="3" t="s">
        <v>13</v>
      </c>
      <c r="D284" s="3" t="s">
        <v>56</v>
      </c>
      <c r="E284" s="4">
        <v>39.5</v>
      </c>
      <c r="F284" s="4">
        <v>6</v>
      </c>
      <c r="G284" s="4">
        <v>237</v>
      </c>
      <c r="H284" s="3" t="s">
        <v>15</v>
      </c>
      <c r="I284" s="3" t="s">
        <v>16</v>
      </c>
      <c r="J284" s="5">
        <v>45393</v>
      </c>
      <c r="K284" s="2" t="s">
        <v>1233</v>
      </c>
    </row>
    <row r="285" spans="1:11" x14ac:dyDescent="0.3">
      <c r="A285" s="3" t="s">
        <v>462</v>
      </c>
      <c r="B285" s="3" t="s">
        <v>98</v>
      </c>
      <c r="C285" s="3" t="s">
        <v>130</v>
      </c>
      <c r="D285" s="3" t="s">
        <v>139</v>
      </c>
      <c r="E285" s="4">
        <v>11</v>
      </c>
      <c r="F285" s="4">
        <v>5</v>
      </c>
      <c r="G285" s="4">
        <v>55</v>
      </c>
      <c r="H285" s="3" t="s">
        <v>48</v>
      </c>
      <c r="I285" s="3" t="s">
        <v>38</v>
      </c>
      <c r="J285" s="5">
        <v>44901</v>
      </c>
      <c r="K285" s="2" t="b">
        <v>0</v>
      </c>
    </row>
    <row r="286" spans="1:11" x14ac:dyDescent="0.3">
      <c r="A286" s="3" t="s">
        <v>463</v>
      </c>
      <c r="B286" s="3" t="s">
        <v>69</v>
      </c>
      <c r="C286" s="3" t="s">
        <v>66</v>
      </c>
      <c r="D286" s="3" t="s">
        <v>464</v>
      </c>
      <c r="E286" s="4">
        <v>11</v>
      </c>
      <c r="F286" s="4">
        <v>6</v>
      </c>
      <c r="G286" s="4">
        <v>66</v>
      </c>
      <c r="H286" s="3" t="s">
        <v>15</v>
      </c>
      <c r="I286" s="3" t="s">
        <v>38</v>
      </c>
      <c r="J286" s="5">
        <v>44825</v>
      </c>
      <c r="K286" s="2" t="b">
        <v>1</v>
      </c>
    </row>
    <row r="287" spans="1:11" x14ac:dyDescent="0.3">
      <c r="A287" s="3" t="s">
        <v>465</v>
      </c>
      <c r="B287" s="3" t="s">
        <v>31</v>
      </c>
      <c r="C287" s="3" t="s">
        <v>28</v>
      </c>
      <c r="D287" s="3" t="s">
        <v>466</v>
      </c>
      <c r="E287" s="4">
        <v>5</v>
      </c>
      <c r="F287" s="4">
        <v>10</v>
      </c>
      <c r="G287" s="4">
        <v>50</v>
      </c>
      <c r="H287" s="3" t="s">
        <v>15</v>
      </c>
      <c r="I287" s="3" t="s">
        <v>16</v>
      </c>
      <c r="J287" s="5">
        <v>45008</v>
      </c>
      <c r="K287" s="2" t="s">
        <v>1233</v>
      </c>
    </row>
    <row r="288" spans="1:11" x14ac:dyDescent="0.3">
      <c r="A288" s="3" t="s">
        <v>467</v>
      </c>
      <c r="B288" s="3" t="s">
        <v>89</v>
      </c>
      <c r="C288" s="3" t="s">
        <v>28</v>
      </c>
      <c r="D288" s="3" t="s">
        <v>252</v>
      </c>
      <c r="E288" s="4">
        <v>38</v>
      </c>
      <c r="F288" s="4">
        <v>7</v>
      </c>
      <c r="G288" s="4">
        <v>266</v>
      </c>
      <c r="H288" s="3" t="s">
        <v>15</v>
      </c>
      <c r="I288" s="3" t="s">
        <v>38</v>
      </c>
      <c r="J288" s="5">
        <v>44875</v>
      </c>
      <c r="K288" s="2" t="b">
        <v>0</v>
      </c>
    </row>
    <row r="289" spans="1:11" x14ac:dyDescent="0.3">
      <c r="A289" s="3" t="s">
        <v>468</v>
      </c>
      <c r="B289" s="3" t="s">
        <v>36</v>
      </c>
      <c r="C289" s="3" t="s">
        <v>23</v>
      </c>
      <c r="D289" s="3" t="s">
        <v>306</v>
      </c>
      <c r="E289" s="4">
        <v>23</v>
      </c>
      <c r="F289" s="4">
        <v>6</v>
      </c>
      <c r="G289" s="4">
        <v>138</v>
      </c>
      <c r="H289" s="3" t="s">
        <v>48</v>
      </c>
      <c r="I289" s="3" t="s">
        <v>38</v>
      </c>
      <c r="J289" s="5">
        <v>45114</v>
      </c>
      <c r="K289" s="2" t="b">
        <v>1</v>
      </c>
    </row>
    <row r="290" spans="1:11" x14ac:dyDescent="0.3">
      <c r="A290" s="3" t="s">
        <v>469</v>
      </c>
      <c r="B290" s="3" t="s">
        <v>80</v>
      </c>
      <c r="C290" s="3" t="s">
        <v>23</v>
      </c>
      <c r="D290" s="3" t="s">
        <v>470</v>
      </c>
      <c r="E290" s="4">
        <v>29</v>
      </c>
      <c r="F290" s="4">
        <v>1</v>
      </c>
      <c r="G290" s="4">
        <v>29</v>
      </c>
      <c r="H290" s="3" t="s">
        <v>15</v>
      </c>
      <c r="I290" s="3" t="s">
        <v>38</v>
      </c>
      <c r="J290" s="5">
        <v>44874</v>
      </c>
      <c r="K290" s="2" t="b">
        <v>0</v>
      </c>
    </row>
    <row r="291" spans="1:11" x14ac:dyDescent="0.3">
      <c r="A291" s="3" t="s">
        <v>471</v>
      </c>
      <c r="B291" s="3" t="s">
        <v>18</v>
      </c>
      <c r="C291" s="3" t="s">
        <v>23</v>
      </c>
      <c r="D291" s="3" t="s">
        <v>85</v>
      </c>
      <c r="E291" s="4">
        <v>33.5</v>
      </c>
      <c r="F291" s="4">
        <v>5</v>
      </c>
      <c r="G291" s="4">
        <v>167.5</v>
      </c>
      <c r="H291" s="3" t="s">
        <v>25</v>
      </c>
      <c r="I291" s="3" t="s">
        <v>16</v>
      </c>
      <c r="J291" s="5">
        <v>45409</v>
      </c>
      <c r="K291" s="2" t="b">
        <v>1</v>
      </c>
    </row>
    <row r="292" spans="1:11" x14ac:dyDescent="0.3">
      <c r="A292" s="3" t="s">
        <v>472</v>
      </c>
      <c r="B292" s="3" t="s">
        <v>31</v>
      </c>
      <c r="C292" s="3" t="s">
        <v>19</v>
      </c>
      <c r="D292" s="3" t="s">
        <v>142</v>
      </c>
      <c r="E292" s="4">
        <v>32</v>
      </c>
      <c r="F292" s="4">
        <v>9</v>
      </c>
      <c r="G292" s="4">
        <v>288</v>
      </c>
      <c r="H292" s="3" t="s">
        <v>15</v>
      </c>
      <c r="I292" s="3" t="s">
        <v>16</v>
      </c>
      <c r="J292" s="5">
        <v>44793</v>
      </c>
      <c r="K292" s="2" t="s">
        <v>1233</v>
      </c>
    </row>
    <row r="293" spans="1:11" x14ac:dyDescent="0.3">
      <c r="A293" s="3" t="s">
        <v>473</v>
      </c>
      <c r="B293" s="3" t="s">
        <v>168</v>
      </c>
      <c r="C293" s="3" t="s">
        <v>19</v>
      </c>
      <c r="D293" s="3" t="s">
        <v>273</v>
      </c>
      <c r="E293" s="4">
        <v>39.5</v>
      </c>
      <c r="F293" s="4">
        <v>4</v>
      </c>
      <c r="G293" s="4">
        <v>158</v>
      </c>
      <c r="H293" s="3" t="s">
        <v>25</v>
      </c>
      <c r="I293" s="3" t="s">
        <v>16</v>
      </c>
      <c r="J293" s="5">
        <v>45128</v>
      </c>
      <c r="K293" s="2" t="b">
        <v>0</v>
      </c>
    </row>
    <row r="294" spans="1:11" x14ac:dyDescent="0.3">
      <c r="A294" s="3" t="s">
        <v>474</v>
      </c>
      <c r="B294" s="3" t="s">
        <v>69</v>
      </c>
      <c r="C294" s="3" t="s">
        <v>130</v>
      </c>
      <c r="D294" s="3" t="s">
        <v>1233</v>
      </c>
      <c r="E294" s="4">
        <v>15.5</v>
      </c>
      <c r="F294" s="4" t="s">
        <v>1233</v>
      </c>
      <c r="G294" s="4" t="s">
        <v>1233</v>
      </c>
      <c r="H294" s="3" t="s">
        <v>48</v>
      </c>
      <c r="I294" s="3" t="s">
        <v>38</v>
      </c>
      <c r="J294" s="5">
        <v>45604</v>
      </c>
      <c r="K294" s="2" t="s">
        <v>1233</v>
      </c>
    </row>
    <row r="295" spans="1:11" x14ac:dyDescent="0.3">
      <c r="A295" s="3" t="s">
        <v>475</v>
      </c>
      <c r="B295" s="3" t="s">
        <v>40</v>
      </c>
      <c r="C295" s="3" t="s">
        <v>19</v>
      </c>
      <c r="D295" s="3" t="s">
        <v>1233</v>
      </c>
      <c r="E295" s="4" t="s">
        <v>1233</v>
      </c>
      <c r="F295" s="4">
        <v>8</v>
      </c>
      <c r="G295" s="4">
        <v>268</v>
      </c>
      <c r="H295" s="3" t="s">
        <v>15</v>
      </c>
      <c r="I295" s="3" t="s">
        <v>16</v>
      </c>
      <c r="J295" s="5">
        <v>44844</v>
      </c>
      <c r="K295" s="2" t="b">
        <v>1</v>
      </c>
    </row>
    <row r="296" spans="1:11" x14ac:dyDescent="0.3">
      <c r="A296" s="3" t="s">
        <v>476</v>
      </c>
      <c r="B296" s="3" t="s">
        <v>12</v>
      </c>
      <c r="C296" s="3" t="s">
        <v>66</v>
      </c>
      <c r="D296" s="3" t="s">
        <v>215</v>
      </c>
      <c r="E296" s="4">
        <v>12.5</v>
      </c>
      <c r="F296" s="4">
        <v>4</v>
      </c>
      <c r="G296" s="4">
        <v>50</v>
      </c>
      <c r="H296" s="3" t="s">
        <v>15</v>
      </c>
      <c r="I296" s="3" t="s">
        <v>38</v>
      </c>
      <c r="J296" s="5">
        <v>44933</v>
      </c>
      <c r="K296" s="2" t="b">
        <v>1</v>
      </c>
    </row>
    <row r="297" spans="1:11" x14ac:dyDescent="0.3">
      <c r="A297" s="3" t="s">
        <v>477</v>
      </c>
      <c r="B297" s="3" t="s">
        <v>40</v>
      </c>
      <c r="C297" s="3" t="s">
        <v>28</v>
      </c>
      <c r="D297" s="3" t="s">
        <v>478</v>
      </c>
      <c r="E297" s="4">
        <v>8</v>
      </c>
      <c r="F297" s="4">
        <v>8</v>
      </c>
      <c r="G297" s="4">
        <v>64</v>
      </c>
      <c r="H297" s="3" t="s">
        <v>15</v>
      </c>
      <c r="I297" s="3" t="s">
        <v>16</v>
      </c>
      <c r="J297" s="5">
        <v>45369</v>
      </c>
      <c r="K297" s="2" t="b">
        <v>1</v>
      </c>
    </row>
    <row r="298" spans="1:11" x14ac:dyDescent="0.3">
      <c r="A298" s="3" t="s">
        <v>479</v>
      </c>
      <c r="B298" s="3" t="s">
        <v>69</v>
      </c>
      <c r="C298" s="3" t="s">
        <v>23</v>
      </c>
      <c r="D298" s="3" t="s">
        <v>227</v>
      </c>
      <c r="E298" s="4">
        <v>15.5</v>
      </c>
      <c r="F298" s="4">
        <v>1</v>
      </c>
      <c r="G298" s="4">
        <v>15.5</v>
      </c>
      <c r="H298" s="3" t="s">
        <v>15</v>
      </c>
      <c r="I298" s="3" t="s">
        <v>16</v>
      </c>
      <c r="J298" s="5">
        <v>45389</v>
      </c>
      <c r="K298" s="2" t="b">
        <v>1</v>
      </c>
    </row>
    <row r="299" spans="1:11" x14ac:dyDescent="0.3">
      <c r="A299" s="3" t="s">
        <v>480</v>
      </c>
      <c r="B299" s="3" t="s">
        <v>69</v>
      </c>
      <c r="C299" s="3" t="s">
        <v>19</v>
      </c>
      <c r="D299" s="3" t="s">
        <v>142</v>
      </c>
      <c r="E299" s="4">
        <v>32</v>
      </c>
      <c r="F299" s="4">
        <v>4</v>
      </c>
      <c r="G299" s="4">
        <v>128</v>
      </c>
      <c r="H299" s="3" t="s">
        <v>25</v>
      </c>
      <c r="I299" s="3" t="s">
        <v>38</v>
      </c>
      <c r="J299" s="5">
        <v>44844</v>
      </c>
      <c r="K299" s="2" t="b">
        <v>0</v>
      </c>
    </row>
    <row r="300" spans="1:11" x14ac:dyDescent="0.3">
      <c r="A300" s="3" t="s">
        <v>481</v>
      </c>
      <c r="B300" s="3" t="s">
        <v>108</v>
      </c>
      <c r="C300" s="3" t="s">
        <v>32</v>
      </c>
      <c r="D300" s="3" t="s">
        <v>482</v>
      </c>
      <c r="E300" s="4">
        <v>23</v>
      </c>
      <c r="F300" s="4">
        <v>5</v>
      </c>
      <c r="G300" s="4">
        <v>115</v>
      </c>
      <c r="H300" s="3" t="s">
        <v>48</v>
      </c>
      <c r="I300" s="3" t="s">
        <v>38</v>
      </c>
      <c r="J300" s="5">
        <v>45365</v>
      </c>
      <c r="K300" s="2" t="b">
        <v>0</v>
      </c>
    </row>
    <row r="301" spans="1:11" x14ac:dyDescent="0.3">
      <c r="A301" s="3" t="s">
        <v>483</v>
      </c>
      <c r="B301" s="3" t="s">
        <v>84</v>
      </c>
      <c r="C301" s="3" t="s">
        <v>28</v>
      </c>
      <c r="D301" s="3" t="s">
        <v>256</v>
      </c>
      <c r="E301" s="4">
        <v>32</v>
      </c>
      <c r="F301" s="4">
        <v>1</v>
      </c>
      <c r="G301" s="4">
        <v>32</v>
      </c>
      <c r="H301" s="3" t="s">
        <v>15</v>
      </c>
      <c r="I301" s="3" t="s">
        <v>38</v>
      </c>
      <c r="J301" s="5">
        <v>45053</v>
      </c>
      <c r="K301" s="2" t="b">
        <v>1</v>
      </c>
    </row>
    <row r="302" spans="1:11" x14ac:dyDescent="0.3">
      <c r="A302" s="3" t="s">
        <v>484</v>
      </c>
      <c r="B302" s="3" t="s">
        <v>100</v>
      </c>
      <c r="C302" s="3" t="s">
        <v>41</v>
      </c>
      <c r="D302" s="3" t="s">
        <v>295</v>
      </c>
      <c r="E302" s="4">
        <v>6.5</v>
      </c>
      <c r="F302" s="4">
        <v>6</v>
      </c>
      <c r="G302" s="4">
        <v>39</v>
      </c>
      <c r="H302" s="3" t="s">
        <v>15</v>
      </c>
      <c r="I302" s="3" t="s">
        <v>16</v>
      </c>
      <c r="J302" s="5">
        <v>45461</v>
      </c>
      <c r="K302" s="2" t="b">
        <v>1</v>
      </c>
    </row>
    <row r="303" spans="1:11" x14ac:dyDescent="0.3">
      <c r="A303" s="3" t="s">
        <v>485</v>
      </c>
      <c r="B303" s="3" t="s">
        <v>108</v>
      </c>
      <c r="C303" s="3" t="s">
        <v>66</v>
      </c>
      <c r="D303" s="3" t="s">
        <v>486</v>
      </c>
      <c r="E303" s="4">
        <v>20</v>
      </c>
      <c r="F303" s="4">
        <v>4</v>
      </c>
      <c r="G303" s="4">
        <v>80</v>
      </c>
      <c r="H303" s="3" t="s">
        <v>48</v>
      </c>
      <c r="I303" s="3" t="s">
        <v>38</v>
      </c>
      <c r="J303" s="5">
        <v>45633</v>
      </c>
      <c r="K303" s="2" t="b">
        <v>1</v>
      </c>
    </row>
    <row r="304" spans="1:11" x14ac:dyDescent="0.3">
      <c r="A304" s="3" t="s">
        <v>487</v>
      </c>
      <c r="B304" s="3" t="s">
        <v>89</v>
      </c>
      <c r="C304" s="3" t="s">
        <v>19</v>
      </c>
      <c r="D304" s="3" t="s">
        <v>488</v>
      </c>
      <c r="E304" s="4">
        <v>17</v>
      </c>
      <c r="F304" s="4">
        <v>7</v>
      </c>
      <c r="G304" s="4">
        <v>119</v>
      </c>
      <c r="H304" s="3" t="s">
        <v>25</v>
      </c>
      <c r="I304" s="3" t="s">
        <v>16</v>
      </c>
      <c r="J304" s="5">
        <v>44845</v>
      </c>
      <c r="K304" s="2" t="s">
        <v>1233</v>
      </c>
    </row>
    <row r="305" spans="1:11" x14ac:dyDescent="0.3">
      <c r="A305" s="3" t="s">
        <v>489</v>
      </c>
      <c r="B305" s="3" t="s">
        <v>84</v>
      </c>
      <c r="C305" s="3" t="s">
        <v>23</v>
      </c>
      <c r="D305" s="3" t="s">
        <v>121</v>
      </c>
      <c r="E305" s="4">
        <v>39.5</v>
      </c>
      <c r="F305" s="4">
        <v>7</v>
      </c>
      <c r="G305" s="4">
        <v>276.5</v>
      </c>
      <c r="H305" s="3" t="s">
        <v>48</v>
      </c>
      <c r="I305" s="3" t="s">
        <v>16</v>
      </c>
      <c r="J305" s="5">
        <v>45296</v>
      </c>
      <c r="K305" s="2" t="b">
        <v>1</v>
      </c>
    </row>
    <row r="306" spans="1:11" x14ac:dyDescent="0.3">
      <c r="A306" s="3" t="s">
        <v>490</v>
      </c>
      <c r="B306" s="3" t="s">
        <v>80</v>
      </c>
      <c r="C306" s="3" t="s">
        <v>13</v>
      </c>
      <c r="D306" s="3" t="s">
        <v>133</v>
      </c>
      <c r="E306" s="4">
        <v>20</v>
      </c>
      <c r="F306" s="4">
        <v>4</v>
      </c>
      <c r="G306" s="4">
        <v>80</v>
      </c>
      <c r="H306" s="3" t="s">
        <v>48</v>
      </c>
      <c r="I306" s="3" t="s">
        <v>38</v>
      </c>
      <c r="J306" s="5">
        <v>45469</v>
      </c>
      <c r="K306" s="2" t="b">
        <v>0</v>
      </c>
    </row>
    <row r="307" spans="1:11" x14ac:dyDescent="0.3">
      <c r="A307" s="3" t="s">
        <v>491</v>
      </c>
      <c r="B307" s="3" t="s">
        <v>43</v>
      </c>
      <c r="C307" s="3" t="s">
        <v>32</v>
      </c>
      <c r="D307" s="3" t="s">
        <v>482</v>
      </c>
      <c r="E307" s="4">
        <v>23</v>
      </c>
      <c r="F307" s="4">
        <v>3</v>
      </c>
      <c r="G307" s="4">
        <v>69</v>
      </c>
      <c r="H307" s="3" t="s">
        <v>15</v>
      </c>
      <c r="I307" s="3" t="s">
        <v>38</v>
      </c>
      <c r="J307" s="5">
        <v>45121</v>
      </c>
      <c r="K307" s="2" t="b">
        <v>0</v>
      </c>
    </row>
    <row r="308" spans="1:11" x14ac:dyDescent="0.3">
      <c r="A308" s="3" t="s">
        <v>492</v>
      </c>
      <c r="B308" s="3" t="s">
        <v>63</v>
      </c>
      <c r="C308" s="3" t="s">
        <v>41</v>
      </c>
      <c r="D308" s="3" t="s">
        <v>199</v>
      </c>
      <c r="E308" s="4">
        <v>39.5</v>
      </c>
      <c r="F308" s="4">
        <v>9</v>
      </c>
      <c r="G308" s="4">
        <v>355.5</v>
      </c>
      <c r="H308" s="3" t="s">
        <v>15</v>
      </c>
      <c r="I308" s="3" t="s">
        <v>38</v>
      </c>
      <c r="J308" s="5">
        <v>45651</v>
      </c>
      <c r="K308" s="2" t="b">
        <v>0</v>
      </c>
    </row>
    <row r="309" spans="1:11" x14ac:dyDescent="0.3">
      <c r="A309" s="3" t="s">
        <v>493</v>
      </c>
      <c r="B309" s="3" t="s">
        <v>123</v>
      </c>
      <c r="C309" s="3" t="s">
        <v>19</v>
      </c>
      <c r="D309" s="3" t="s">
        <v>201</v>
      </c>
      <c r="E309" s="4">
        <v>15.5</v>
      </c>
      <c r="F309" s="4">
        <v>6</v>
      </c>
      <c r="G309" s="4">
        <v>93</v>
      </c>
      <c r="H309" s="3" t="s">
        <v>25</v>
      </c>
      <c r="I309" s="3" t="s">
        <v>38</v>
      </c>
      <c r="J309" s="5">
        <v>45566</v>
      </c>
      <c r="K309" s="2" t="s">
        <v>1233</v>
      </c>
    </row>
    <row r="310" spans="1:11" x14ac:dyDescent="0.3">
      <c r="A310" s="3" t="s">
        <v>494</v>
      </c>
      <c r="B310" s="3" t="s">
        <v>63</v>
      </c>
      <c r="C310" s="3" t="s">
        <v>13</v>
      </c>
      <c r="D310" s="3" t="s">
        <v>166</v>
      </c>
      <c r="E310" s="4">
        <v>21.5</v>
      </c>
      <c r="F310" s="4">
        <v>3</v>
      </c>
      <c r="G310" s="4">
        <v>64.5</v>
      </c>
      <c r="H310" s="3" t="s">
        <v>48</v>
      </c>
      <c r="I310" s="3" t="s">
        <v>38</v>
      </c>
      <c r="J310" s="5">
        <v>45652</v>
      </c>
      <c r="K310" s="2" t="s">
        <v>1233</v>
      </c>
    </row>
    <row r="311" spans="1:11" x14ac:dyDescent="0.3">
      <c r="A311" s="3" t="s">
        <v>495</v>
      </c>
      <c r="B311" s="3" t="s">
        <v>18</v>
      </c>
      <c r="C311" s="3" t="s">
        <v>41</v>
      </c>
      <c r="D311" s="3" t="s">
        <v>453</v>
      </c>
      <c r="E311" s="4">
        <v>26</v>
      </c>
      <c r="F311" s="4">
        <v>10</v>
      </c>
      <c r="G311" s="4">
        <v>260</v>
      </c>
      <c r="H311" s="3" t="s">
        <v>15</v>
      </c>
      <c r="I311" s="3" t="s">
        <v>38</v>
      </c>
      <c r="J311" s="5">
        <v>45332</v>
      </c>
      <c r="K311" s="2" t="s">
        <v>1233</v>
      </c>
    </row>
    <row r="312" spans="1:11" x14ac:dyDescent="0.3">
      <c r="A312" s="3" t="s">
        <v>496</v>
      </c>
      <c r="B312" s="3" t="s">
        <v>31</v>
      </c>
      <c r="C312" s="3" t="s">
        <v>41</v>
      </c>
      <c r="D312" s="3" t="s">
        <v>233</v>
      </c>
      <c r="E312" s="4">
        <v>11</v>
      </c>
      <c r="F312" s="4">
        <v>5</v>
      </c>
      <c r="G312" s="4">
        <v>55</v>
      </c>
      <c r="H312" s="3" t="s">
        <v>15</v>
      </c>
      <c r="I312" s="3" t="s">
        <v>16</v>
      </c>
      <c r="J312" s="5">
        <v>44627</v>
      </c>
      <c r="K312" s="2" t="s">
        <v>1233</v>
      </c>
    </row>
    <row r="313" spans="1:11" x14ac:dyDescent="0.3">
      <c r="A313" s="3" t="s">
        <v>497</v>
      </c>
      <c r="B313" s="3" t="s">
        <v>74</v>
      </c>
      <c r="C313" s="3" t="s">
        <v>32</v>
      </c>
      <c r="D313" s="3" t="s">
        <v>498</v>
      </c>
      <c r="E313" s="4">
        <v>29</v>
      </c>
      <c r="F313" s="4">
        <v>8</v>
      </c>
      <c r="G313" s="4">
        <v>232</v>
      </c>
      <c r="H313" s="3" t="s">
        <v>48</v>
      </c>
      <c r="I313" s="3" t="s">
        <v>16</v>
      </c>
      <c r="J313" s="5">
        <v>45625</v>
      </c>
      <c r="K313" s="2" t="b">
        <v>1</v>
      </c>
    </row>
    <row r="314" spans="1:11" x14ac:dyDescent="0.3">
      <c r="A314" s="3" t="s">
        <v>499</v>
      </c>
      <c r="B314" s="3" t="s">
        <v>116</v>
      </c>
      <c r="C314" s="3" t="s">
        <v>66</v>
      </c>
      <c r="D314" s="3" t="s">
        <v>420</v>
      </c>
      <c r="E314" s="4">
        <v>41</v>
      </c>
      <c r="F314" s="4">
        <v>1</v>
      </c>
      <c r="G314" s="4">
        <v>41</v>
      </c>
      <c r="H314" s="3" t="s">
        <v>48</v>
      </c>
      <c r="I314" s="3" t="s">
        <v>38</v>
      </c>
      <c r="J314" s="5">
        <v>45590</v>
      </c>
      <c r="K314" s="2" t="s">
        <v>1233</v>
      </c>
    </row>
    <row r="315" spans="1:11" x14ac:dyDescent="0.3">
      <c r="A315" s="3" t="s">
        <v>500</v>
      </c>
      <c r="B315" s="3" t="s">
        <v>43</v>
      </c>
      <c r="C315" s="3" t="s">
        <v>32</v>
      </c>
      <c r="D315" s="3" t="s">
        <v>482</v>
      </c>
      <c r="E315" s="4">
        <v>23</v>
      </c>
      <c r="F315" s="4">
        <v>9</v>
      </c>
      <c r="G315" s="4">
        <v>207</v>
      </c>
      <c r="H315" s="3" t="s">
        <v>15</v>
      </c>
      <c r="I315" s="3" t="s">
        <v>16</v>
      </c>
      <c r="J315" s="5">
        <v>44702</v>
      </c>
      <c r="K315" s="2" t="s">
        <v>1233</v>
      </c>
    </row>
    <row r="316" spans="1:11" x14ac:dyDescent="0.3">
      <c r="A316" s="3" t="s">
        <v>501</v>
      </c>
      <c r="B316" s="3" t="s">
        <v>98</v>
      </c>
      <c r="C316" s="3" t="s">
        <v>130</v>
      </c>
      <c r="D316" s="3" t="s">
        <v>361</v>
      </c>
      <c r="E316" s="4">
        <v>32</v>
      </c>
      <c r="F316" s="4">
        <v>7</v>
      </c>
      <c r="G316" s="4">
        <v>224</v>
      </c>
      <c r="H316" s="3" t="s">
        <v>25</v>
      </c>
      <c r="I316" s="3" t="s">
        <v>16</v>
      </c>
      <c r="J316" s="5">
        <v>44906</v>
      </c>
      <c r="K316" s="2" t="b">
        <v>1</v>
      </c>
    </row>
    <row r="317" spans="1:11" x14ac:dyDescent="0.3">
      <c r="A317" s="3" t="s">
        <v>502</v>
      </c>
      <c r="B317" s="3" t="s">
        <v>168</v>
      </c>
      <c r="C317" s="3" t="s">
        <v>13</v>
      </c>
      <c r="D317" s="3" t="s">
        <v>503</v>
      </c>
      <c r="E317" s="4">
        <v>33.5</v>
      </c>
      <c r="F317" s="4">
        <v>10</v>
      </c>
      <c r="G317" s="4">
        <v>335</v>
      </c>
      <c r="H317" s="3" t="s">
        <v>48</v>
      </c>
      <c r="I317" s="3" t="s">
        <v>38</v>
      </c>
      <c r="J317" s="5">
        <v>45433</v>
      </c>
      <c r="K317" s="2" t="b">
        <v>0</v>
      </c>
    </row>
    <row r="318" spans="1:11" x14ac:dyDescent="0.3">
      <c r="A318" s="3" t="s">
        <v>504</v>
      </c>
      <c r="B318" s="3" t="s">
        <v>116</v>
      </c>
      <c r="C318" s="3" t="s">
        <v>28</v>
      </c>
      <c r="D318" s="3" t="s">
        <v>308</v>
      </c>
      <c r="E318" s="4">
        <v>6.5</v>
      </c>
      <c r="F318" s="4">
        <v>8</v>
      </c>
      <c r="G318" s="4">
        <v>52</v>
      </c>
      <c r="H318" s="3" t="s">
        <v>25</v>
      </c>
      <c r="I318" s="3" t="s">
        <v>16</v>
      </c>
      <c r="J318" s="5">
        <v>45396</v>
      </c>
      <c r="K318" s="2" t="b">
        <v>1</v>
      </c>
    </row>
    <row r="319" spans="1:11" x14ac:dyDescent="0.3">
      <c r="A319" s="3" t="s">
        <v>505</v>
      </c>
      <c r="B319" s="3" t="s">
        <v>43</v>
      </c>
      <c r="C319" s="3" t="s">
        <v>28</v>
      </c>
      <c r="D319" s="3" t="s">
        <v>256</v>
      </c>
      <c r="E319" s="4">
        <v>32</v>
      </c>
      <c r="F319" s="4">
        <v>2</v>
      </c>
      <c r="G319" s="4">
        <v>64</v>
      </c>
      <c r="H319" s="3" t="s">
        <v>25</v>
      </c>
      <c r="I319" s="3" t="s">
        <v>38</v>
      </c>
      <c r="J319" s="5">
        <v>45181</v>
      </c>
      <c r="K319" s="2" t="s">
        <v>1233</v>
      </c>
    </row>
    <row r="320" spans="1:11" x14ac:dyDescent="0.3">
      <c r="A320" s="3" t="s">
        <v>506</v>
      </c>
      <c r="B320" s="3" t="s">
        <v>31</v>
      </c>
      <c r="C320" s="3" t="s">
        <v>23</v>
      </c>
      <c r="D320" s="3" t="s">
        <v>47</v>
      </c>
      <c r="E320" s="4">
        <v>36.5</v>
      </c>
      <c r="F320" s="4">
        <v>2</v>
      </c>
      <c r="G320" s="4">
        <v>73</v>
      </c>
      <c r="H320" s="3" t="s">
        <v>25</v>
      </c>
      <c r="I320" s="3" t="s">
        <v>16</v>
      </c>
      <c r="J320" s="5">
        <v>45341</v>
      </c>
      <c r="K320" s="2" t="b">
        <v>0</v>
      </c>
    </row>
    <row r="321" spans="1:11" x14ac:dyDescent="0.3">
      <c r="A321" s="3" t="s">
        <v>507</v>
      </c>
      <c r="B321" s="3" t="s">
        <v>40</v>
      </c>
      <c r="C321" s="3" t="s">
        <v>23</v>
      </c>
      <c r="D321" s="3" t="s">
        <v>217</v>
      </c>
      <c r="E321" s="4">
        <v>35</v>
      </c>
      <c r="F321" s="4">
        <v>1</v>
      </c>
      <c r="G321" s="4">
        <v>35</v>
      </c>
      <c r="H321" s="3" t="s">
        <v>15</v>
      </c>
      <c r="I321" s="3" t="s">
        <v>16</v>
      </c>
      <c r="J321" s="5">
        <v>44810</v>
      </c>
      <c r="K321" s="2" t="b">
        <v>0</v>
      </c>
    </row>
    <row r="322" spans="1:11" x14ac:dyDescent="0.3">
      <c r="A322" s="3" t="s">
        <v>508</v>
      </c>
      <c r="B322" s="3" t="s">
        <v>113</v>
      </c>
      <c r="C322" s="3" t="s">
        <v>13</v>
      </c>
      <c r="D322" s="3" t="s">
        <v>509</v>
      </c>
      <c r="E322" s="4">
        <v>17</v>
      </c>
      <c r="F322" s="4">
        <v>10</v>
      </c>
      <c r="G322" s="4">
        <v>170</v>
      </c>
      <c r="H322" s="3" t="s">
        <v>25</v>
      </c>
      <c r="I322" s="3" t="s">
        <v>38</v>
      </c>
      <c r="J322" s="5">
        <v>44637</v>
      </c>
      <c r="K322" s="2" t="b">
        <v>1</v>
      </c>
    </row>
    <row r="323" spans="1:11" x14ac:dyDescent="0.3">
      <c r="A323" s="3" t="s">
        <v>510</v>
      </c>
      <c r="B323" s="3" t="s">
        <v>65</v>
      </c>
      <c r="C323" s="3" t="s">
        <v>130</v>
      </c>
      <c r="D323" s="3" t="s">
        <v>335</v>
      </c>
      <c r="E323" s="4">
        <v>20</v>
      </c>
      <c r="F323" s="4">
        <v>6</v>
      </c>
      <c r="G323" s="4">
        <v>120</v>
      </c>
      <c r="H323" s="3" t="s">
        <v>25</v>
      </c>
      <c r="I323" s="3" t="s">
        <v>38</v>
      </c>
      <c r="J323" s="5">
        <v>45093</v>
      </c>
      <c r="K323" s="2" t="b">
        <v>1</v>
      </c>
    </row>
    <row r="324" spans="1:11" x14ac:dyDescent="0.3">
      <c r="A324" s="3" t="s">
        <v>511</v>
      </c>
      <c r="B324" s="3" t="s">
        <v>168</v>
      </c>
      <c r="C324" s="3" t="s">
        <v>66</v>
      </c>
      <c r="D324" s="3" t="s">
        <v>67</v>
      </c>
      <c r="E324" s="4">
        <v>23</v>
      </c>
      <c r="F324" s="4">
        <v>9</v>
      </c>
      <c r="G324" s="4">
        <v>207</v>
      </c>
      <c r="H324" s="3" t="s">
        <v>15</v>
      </c>
      <c r="I324" s="3" t="s">
        <v>16</v>
      </c>
      <c r="J324" s="5">
        <v>45651</v>
      </c>
      <c r="K324" s="2" t="b">
        <v>0</v>
      </c>
    </row>
    <row r="325" spans="1:11" x14ac:dyDescent="0.3">
      <c r="A325" s="3" t="s">
        <v>512</v>
      </c>
      <c r="B325" s="3" t="s">
        <v>22</v>
      </c>
      <c r="C325" s="3" t="s">
        <v>28</v>
      </c>
      <c r="D325" s="3" t="s">
        <v>513</v>
      </c>
      <c r="E325" s="4">
        <v>18.5</v>
      </c>
      <c r="F325" s="4">
        <v>10</v>
      </c>
      <c r="G325" s="4">
        <v>185</v>
      </c>
      <c r="H325" s="3" t="s">
        <v>15</v>
      </c>
      <c r="I325" s="3" t="s">
        <v>38</v>
      </c>
      <c r="J325" s="5">
        <v>44990</v>
      </c>
      <c r="K325" s="2" t="b">
        <v>0</v>
      </c>
    </row>
    <row r="326" spans="1:11" x14ac:dyDescent="0.3">
      <c r="A326" s="3" t="s">
        <v>514</v>
      </c>
      <c r="B326" s="3" t="s">
        <v>77</v>
      </c>
      <c r="C326" s="3" t="s">
        <v>23</v>
      </c>
      <c r="D326" s="3" t="s">
        <v>50</v>
      </c>
      <c r="E326" s="4">
        <v>8</v>
      </c>
      <c r="F326" s="4">
        <v>10</v>
      </c>
      <c r="G326" s="4">
        <v>80</v>
      </c>
      <c r="H326" s="3" t="s">
        <v>48</v>
      </c>
      <c r="I326" s="3" t="s">
        <v>16</v>
      </c>
      <c r="J326" s="5">
        <v>44615</v>
      </c>
      <c r="K326" s="2" t="b">
        <v>0</v>
      </c>
    </row>
    <row r="327" spans="1:11" x14ac:dyDescent="0.3">
      <c r="A327" s="3" t="s">
        <v>515</v>
      </c>
      <c r="B327" s="3" t="s">
        <v>22</v>
      </c>
      <c r="C327" s="3" t="s">
        <v>130</v>
      </c>
      <c r="D327" s="3" t="s">
        <v>516</v>
      </c>
      <c r="E327" s="4">
        <v>29</v>
      </c>
      <c r="F327" s="4">
        <v>8</v>
      </c>
      <c r="G327" s="4">
        <v>232</v>
      </c>
      <c r="H327" s="3" t="s">
        <v>15</v>
      </c>
      <c r="I327" s="3" t="s">
        <v>16</v>
      </c>
      <c r="J327" s="5">
        <v>45257</v>
      </c>
      <c r="K327" s="2" t="s">
        <v>1233</v>
      </c>
    </row>
    <row r="328" spans="1:11" x14ac:dyDescent="0.3">
      <c r="A328" s="3" t="s">
        <v>517</v>
      </c>
      <c r="B328" s="3" t="s">
        <v>43</v>
      </c>
      <c r="C328" s="3" t="s">
        <v>13</v>
      </c>
      <c r="D328" s="3" t="s">
        <v>193</v>
      </c>
      <c r="E328" s="4">
        <v>41</v>
      </c>
      <c r="F328" s="4">
        <v>8</v>
      </c>
      <c r="G328" s="4">
        <v>328</v>
      </c>
      <c r="H328" s="3" t="s">
        <v>48</v>
      </c>
      <c r="I328" s="3" t="s">
        <v>38</v>
      </c>
      <c r="J328" s="5">
        <v>45580</v>
      </c>
      <c r="K328" s="2" t="b">
        <v>1</v>
      </c>
    </row>
    <row r="329" spans="1:11" x14ac:dyDescent="0.3">
      <c r="A329" s="3" t="s">
        <v>518</v>
      </c>
      <c r="B329" s="3" t="s">
        <v>31</v>
      </c>
      <c r="C329" s="3" t="s">
        <v>66</v>
      </c>
      <c r="D329" s="3" t="s">
        <v>67</v>
      </c>
      <c r="E329" s="4">
        <v>23</v>
      </c>
      <c r="F329" s="4">
        <v>4</v>
      </c>
      <c r="G329" s="4">
        <v>92</v>
      </c>
      <c r="H329" s="3" t="s">
        <v>25</v>
      </c>
      <c r="I329" s="3" t="s">
        <v>38</v>
      </c>
      <c r="J329" s="5">
        <v>45144</v>
      </c>
      <c r="K329" s="2" t="b">
        <v>0</v>
      </c>
    </row>
    <row r="330" spans="1:11" x14ac:dyDescent="0.3">
      <c r="A330" s="3" t="s">
        <v>519</v>
      </c>
      <c r="B330" s="3" t="s">
        <v>40</v>
      </c>
      <c r="C330" s="3" t="s">
        <v>13</v>
      </c>
      <c r="D330" s="3" t="s">
        <v>520</v>
      </c>
      <c r="E330" s="4">
        <v>15.5</v>
      </c>
      <c r="F330" s="4">
        <v>6</v>
      </c>
      <c r="G330" s="4">
        <v>93</v>
      </c>
      <c r="H330" s="3" t="s">
        <v>48</v>
      </c>
      <c r="I330" s="3" t="s">
        <v>16</v>
      </c>
      <c r="J330" s="5">
        <v>45467</v>
      </c>
      <c r="K330" s="2" t="s">
        <v>1233</v>
      </c>
    </row>
    <row r="331" spans="1:11" x14ac:dyDescent="0.3">
      <c r="A331" s="3" t="s">
        <v>521</v>
      </c>
      <c r="B331" s="3" t="s">
        <v>108</v>
      </c>
      <c r="C331" s="3" t="s">
        <v>28</v>
      </c>
      <c r="D331" s="3" t="s">
        <v>111</v>
      </c>
      <c r="E331" s="4">
        <v>20</v>
      </c>
      <c r="F331" s="4">
        <v>6</v>
      </c>
      <c r="G331" s="4">
        <v>120</v>
      </c>
      <c r="H331" s="3" t="s">
        <v>48</v>
      </c>
      <c r="I331" s="3" t="s">
        <v>16</v>
      </c>
      <c r="J331" s="5">
        <v>45213</v>
      </c>
      <c r="K331" s="2" t="s">
        <v>1233</v>
      </c>
    </row>
    <row r="332" spans="1:11" x14ac:dyDescent="0.3">
      <c r="A332" s="3" t="s">
        <v>522</v>
      </c>
      <c r="B332" s="3" t="s">
        <v>46</v>
      </c>
      <c r="C332" s="3" t="s">
        <v>13</v>
      </c>
      <c r="D332" s="3" t="s">
        <v>133</v>
      </c>
      <c r="E332" s="4">
        <v>20</v>
      </c>
      <c r="F332" s="4">
        <v>3</v>
      </c>
      <c r="G332" s="4">
        <v>60</v>
      </c>
      <c r="H332" s="3" t="s">
        <v>15</v>
      </c>
      <c r="I332" s="3" t="s">
        <v>16</v>
      </c>
      <c r="J332" s="5">
        <v>44957</v>
      </c>
      <c r="K332" s="2" t="b">
        <v>0</v>
      </c>
    </row>
    <row r="333" spans="1:11" x14ac:dyDescent="0.3">
      <c r="A333" s="3" t="s">
        <v>523</v>
      </c>
      <c r="B333" s="3" t="s">
        <v>113</v>
      </c>
      <c r="C333" s="3" t="s">
        <v>32</v>
      </c>
      <c r="D333" s="3" t="s">
        <v>170</v>
      </c>
      <c r="E333" s="4">
        <v>30.5</v>
      </c>
      <c r="F333" s="4">
        <v>8</v>
      </c>
      <c r="G333" s="4">
        <v>244</v>
      </c>
      <c r="H333" s="3" t="s">
        <v>25</v>
      </c>
      <c r="I333" s="3" t="s">
        <v>38</v>
      </c>
      <c r="J333" s="5">
        <v>44989</v>
      </c>
      <c r="K333" s="2" t="b">
        <v>1</v>
      </c>
    </row>
    <row r="334" spans="1:11" x14ac:dyDescent="0.3">
      <c r="A334" s="3" t="s">
        <v>524</v>
      </c>
      <c r="B334" s="3" t="s">
        <v>18</v>
      </c>
      <c r="C334" s="3" t="s">
        <v>41</v>
      </c>
      <c r="D334" s="3" t="s">
        <v>233</v>
      </c>
      <c r="E334" s="4">
        <v>11</v>
      </c>
      <c r="F334" s="4">
        <v>3</v>
      </c>
      <c r="G334" s="4">
        <v>33</v>
      </c>
      <c r="H334" s="3" t="s">
        <v>25</v>
      </c>
      <c r="I334" s="3" t="s">
        <v>38</v>
      </c>
      <c r="J334" s="5">
        <v>45413</v>
      </c>
      <c r="K334" s="2" t="b">
        <v>0</v>
      </c>
    </row>
    <row r="335" spans="1:11" x14ac:dyDescent="0.3">
      <c r="A335" s="3" t="s">
        <v>525</v>
      </c>
      <c r="B335" s="3" t="s">
        <v>40</v>
      </c>
      <c r="C335" s="3" t="s">
        <v>32</v>
      </c>
      <c r="D335" s="3" t="s">
        <v>1233</v>
      </c>
      <c r="E335" s="4">
        <v>17</v>
      </c>
      <c r="F335" s="4" t="s">
        <v>1233</v>
      </c>
      <c r="G335" s="4" t="s">
        <v>1233</v>
      </c>
      <c r="H335" s="3" t="s">
        <v>48</v>
      </c>
      <c r="I335" s="3" t="s">
        <v>38</v>
      </c>
      <c r="J335" s="5">
        <v>45633</v>
      </c>
      <c r="K335" s="2" t="b">
        <v>0</v>
      </c>
    </row>
    <row r="336" spans="1:11" x14ac:dyDescent="0.3">
      <c r="A336" s="3" t="s">
        <v>526</v>
      </c>
      <c r="B336" s="3" t="s">
        <v>55</v>
      </c>
      <c r="C336" s="3" t="s">
        <v>41</v>
      </c>
      <c r="D336" s="3" t="s">
        <v>199</v>
      </c>
      <c r="E336" s="4">
        <v>39.5</v>
      </c>
      <c r="F336" s="4">
        <v>1</v>
      </c>
      <c r="G336" s="4">
        <v>39.5</v>
      </c>
      <c r="H336" s="3" t="s">
        <v>15</v>
      </c>
      <c r="I336" s="3" t="s">
        <v>38</v>
      </c>
      <c r="J336" s="5">
        <v>45308</v>
      </c>
      <c r="K336" s="2" t="b">
        <v>0</v>
      </c>
    </row>
    <row r="337" spans="1:11" x14ac:dyDescent="0.3">
      <c r="A337" s="3" t="s">
        <v>527</v>
      </c>
      <c r="B337" s="3" t="s">
        <v>55</v>
      </c>
      <c r="C337" s="3" t="s">
        <v>19</v>
      </c>
      <c r="D337" s="3" t="s">
        <v>152</v>
      </c>
      <c r="E337" s="4">
        <v>12.5</v>
      </c>
      <c r="F337" s="4">
        <v>3</v>
      </c>
      <c r="G337" s="4">
        <v>37.5</v>
      </c>
      <c r="H337" s="3" t="s">
        <v>25</v>
      </c>
      <c r="I337" s="3" t="s">
        <v>38</v>
      </c>
      <c r="J337" s="5">
        <v>44701</v>
      </c>
      <c r="K337" s="2" t="b">
        <v>0</v>
      </c>
    </row>
    <row r="338" spans="1:11" x14ac:dyDescent="0.3">
      <c r="A338" s="3" t="s">
        <v>528</v>
      </c>
      <c r="B338" s="3" t="s">
        <v>27</v>
      </c>
      <c r="C338" s="3" t="s">
        <v>41</v>
      </c>
      <c r="D338" s="3" t="s">
        <v>199</v>
      </c>
      <c r="E338" s="4">
        <v>39.5</v>
      </c>
      <c r="F338" s="4">
        <v>6</v>
      </c>
      <c r="G338" s="4">
        <v>237</v>
      </c>
      <c r="H338" s="3" t="s">
        <v>25</v>
      </c>
      <c r="I338" s="3" t="s">
        <v>38</v>
      </c>
      <c r="J338" s="5">
        <v>44583</v>
      </c>
      <c r="K338" s="2" t="b">
        <v>1</v>
      </c>
    </row>
    <row r="339" spans="1:11" x14ac:dyDescent="0.3">
      <c r="A339" s="3" t="s">
        <v>529</v>
      </c>
      <c r="B339" s="3" t="s">
        <v>74</v>
      </c>
      <c r="C339" s="3" t="s">
        <v>66</v>
      </c>
      <c r="D339" s="3" t="s">
        <v>358</v>
      </c>
      <c r="E339" s="4">
        <v>5</v>
      </c>
      <c r="F339" s="4">
        <v>3</v>
      </c>
      <c r="G339" s="4">
        <v>15</v>
      </c>
      <c r="H339" s="3" t="s">
        <v>48</v>
      </c>
      <c r="I339" s="3" t="s">
        <v>38</v>
      </c>
      <c r="J339" s="5">
        <v>45110</v>
      </c>
      <c r="K339" s="2" t="b">
        <v>0</v>
      </c>
    </row>
    <row r="340" spans="1:11" x14ac:dyDescent="0.3">
      <c r="A340" s="3" t="s">
        <v>530</v>
      </c>
      <c r="B340" s="3" t="s">
        <v>108</v>
      </c>
      <c r="C340" s="3" t="s">
        <v>32</v>
      </c>
      <c r="D340" s="3" t="s">
        <v>185</v>
      </c>
      <c r="E340" s="4">
        <v>33.5</v>
      </c>
      <c r="F340" s="4">
        <v>2</v>
      </c>
      <c r="G340" s="4">
        <v>67</v>
      </c>
      <c r="H340" s="3" t="s">
        <v>48</v>
      </c>
      <c r="I340" s="3" t="s">
        <v>38</v>
      </c>
      <c r="J340" s="5">
        <v>45221</v>
      </c>
      <c r="K340" s="2" t="b">
        <v>0</v>
      </c>
    </row>
    <row r="341" spans="1:11" x14ac:dyDescent="0.3">
      <c r="A341" s="3" t="s">
        <v>531</v>
      </c>
      <c r="B341" s="3" t="s">
        <v>100</v>
      </c>
      <c r="C341" s="3" t="s">
        <v>32</v>
      </c>
      <c r="D341" s="3" t="s">
        <v>365</v>
      </c>
      <c r="E341" s="4">
        <v>41</v>
      </c>
      <c r="F341" s="4">
        <v>10</v>
      </c>
      <c r="G341" s="4">
        <v>410</v>
      </c>
      <c r="H341" s="3" t="s">
        <v>15</v>
      </c>
      <c r="I341" s="3" t="s">
        <v>16</v>
      </c>
      <c r="J341" s="5">
        <v>45582</v>
      </c>
      <c r="K341" s="2" t="s">
        <v>1233</v>
      </c>
    </row>
    <row r="342" spans="1:11" x14ac:dyDescent="0.3">
      <c r="A342" s="3" t="s">
        <v>532</v>
      </c>
      <c r="B342" s="3" t="s">
        <v>18</v>
      </c>
      <c r="C342" s="3" t="s">
        <v>32</v>
      </c>
      <c r="D342" s="3" t="s">
        <v>1233</v>
      </c>
      <c r="E342" s="4">
        <v>11</v>
      </c>
      <c r="F342" s="4" t="s">
        <v>1233</v>
      </c>
      <c r="G342" s="4" t="s">
        <v>1233</v>
      </c>
      <c r="H342" s="3" t="s">
        <v>48</v>
      </c>
      <c r="I342" s="3" t="s">
        <v>16</v>
      </c>
      <c r="J342" s="5">
        <v>45203</v>
      </c>
      <c r="K342" s="2" t="s">
        <v>1233</v>
      </c>
    </row>
    <row r="343" spans="1:11" x14ac:dyDescent="0.3">
      <c r="A343" s="3" t="s">
        <v>533</v>
      </c>
      <c r="B343" s="3" t="s">
        <v>18</v>
      </c>
      <c r="C343" s="3" t="s">
        <v>66</v>
      </c>
      <c r="D343" s="3" t="s">
        <v>420</v>
      </c>
      <c r="E343" s="4">
        <v>41</v>
      </c>
      <c r="F343" s="4">
        <v>8</v>
      </c>
      <c r="G343" s="4">
        <v>328</v>
      </c>
      <c r="H343" s="3" t="s">
        <v>48</v>
      </c>
      <c r="I343" s="3" t="s">
        <v>16</v>
      </c>
      <c r="J343" s="5">
        <v>44734</v>
      </c>
      <c r="K343" s="2" t="s">
        <v>1233</v>
      </c>
    </row>
    <row r="344" spans="1:11" x14ac:dyDescent="0.3">
      <c r="A344" s="3" t="s">
        <v>534</v>
      </c>
      <c r="B344" s="3" t="s">
        <v>63</v>
      </c>
      <c r="C344" s="3" t="s">
        <v>28</v>
      </c>
      <c r="D344" s="3" t="s">
        <v>268</v>
      </c>
      <c r="E344" s="4">
        <v>12.5</v>
      </c>
      <c r="F344" s="4">
        <v>8</v>
      </c>
      <c r="G344" s="4">
        <v>100</v>
      </c>
      <c r="H344" s="3" t="s">
        <v>25</v>
      </c>
      <c r="I344" s="3" t="s">
        <v>38</v>
      </c>
      <c r="J344" s="5">
        <v>45595</v>
      </c>
      <c r="K344" s="2" t="s">
        <v>1233</v>
      </c>
    </row>
    <row r="345" spans="1:11" x14ac:dyDescent="0.3">
      <c r="A345" s="3" t="s">
        <v>535</v>
      </c>
      <c r="B345" s="3" t="s">
        <v>84</v>
      </c>
      <c r="C345" s="3" t="s">
        <v>28</v>
      </c>
      <c r="D345" s="3" t="s">
        <v>1233</v>
      </c>
      <c r="E345" s="4">
        <v>24.5</v>
      </c>
      <c r="F345" s="4" t="s">
        <v>1233</v>
      </c>
      <c r="G345" s="4" t="s">
        <v>1233</v>
      </c>
      <c r="H345" s="3" t="s">
        <v>48</v>
      </c>
      <c r="I345" s="3" t="s">
        <v>38</v>
      </c>
      <c r="J345" s="5">
        <v>44873</v>
      </c>
      <c r="K345" s="2" t="b">
        <v>1</v>
      </c>
    </row>
    <row r="346" spans="1:11" x14ac:dyDescent="0.3">
      <c r="A346" s="3" t="s">
        <v>536</v>
      </c>
      <c r="B346" s="3" t="s">
        <v>69</v>
      </c>
      <c r="C346" s="3" t="s">
        <v>23</v>
      </c>
      <c r="D346" s="3" t="s">
        <v>306</v>
      </c>
      <c r="E346" s="4">
        <v>23</v>
      </c>
      <c r="F346" s="4">
        <v>3</v>
      </c>
      <c r="G346" s="4">
        <v>69</v>
      </c>
      <c r="H346" s="3" t="s">
        <v>25</v>
      </c>
      <c r="I346" s="3" t="s">
        <v>16</v>
      </c>
      <c r="J346" s="5">
        <v>45100</v>
      </c>
      <c r="K346" s="2" t="b">
        <v>1</v>
      </c>
    </row>
    <row r="347" spans="1:11" x14ac:dyDescent="0.3">
      <c r="A347" s="3" t="s">
        <v>537</v>
      </c>
      <c r="B347" s="3" t="s">
        <v>98</v>
      </c>
      <c r="C347" s="3" t="s">
        <v>130</v>
      </c>
      <c r="D347" s="3" t="s">
        <v>1233</v>
      </c>
      <c r="E347" s="4">
        <v>15.5</v>
      </c>
      <c r="F347" s="4" t="s">
        <v>1233</v>
      </c>
      <c r="G347" s="4" t="s">
        <v>1233</v>
      </c>
      <c r="H347" s="3" t="s">
        <v>25</v>
      </c>
      <c r="I347" s="3" t="s">
        <v>38</v>
      </c>
      <c r="J347" s="5">
        <v>45099</v>
      </c>
      <c r="K347" s="2" t="b">
        <v>1</v>
      </c>
    </row>
    <row r="348" spans="1:11" x14ac:dyDescent="0.3">
      <c r="A348" s="3" t="s">
        <v>538</v>
      </c>
      <c r="B348" s="3" t="s">
        <v>65</v>
      </c>
      <c r="C348" s="3" t="s">
        <v>66</v>
      </c>
      <c r="D348" s="3" t="s">
        <v>367</v>
      </c>
      <c r="E348" s="4">
        <v>21.5</v>
      </c>
      <c r="F348" s="4">
        <v>2</v>
      </c>
      <c r="G348" s="4">
        <v>43</v>
      </c>
      <c r="H348" s="3" t="s">
        <v>48</v>
      </c>
      <c r="I348" s="3" t="s">
        <v>16</v>
      </c>
      <c r="J348" s="5">
        <v>45187</v>
      </c>
      <c r="K348" s="2" t="s">
        <v>1233</v>
      </c>
    </row>
    <row r="349" spans="1:11" x14ac:dyDescent="0.3">
      <c r="A349" s="3" t="s">
        <v>539</v>
      </c>
      <c r="B349" s="3" t="s">
        <v>65</v>
      </c>
      <c r="C349" s="3" t="s">
        <v>19</v>
      </c>
      <c r="D349" s="3" t="s">
        <v>540</v>
      </c>
      <c r="E349" s="4">
        <v>23</v>
      </c>
      <c r="F349" s="4">
        <v>1</v>
      </c>
      <c r="G349" s="4">
        <v>23</v>
      </c>
      <c r="H349" s="3" t="s">
        <v>25</v>
      </c>
      <c r="I349" s="3" t="s">
        <v>38</v>
      </c>
      <c r="J349" s="5">
        <v>45075</v>
      </c>
      <c r="K349" s="2" t="b">
        <v>0</v>
      </c>
    </row>
    <row r="350" spans="1:11" x14ac:dyDescent="0.3">
      <c r="A350" s="3" t="s">
        <v>541</v>
      </c>
      <c r="B350" s="3" t="s">
        <v>46</v>
      </c>
      <c r="C350" s="3" t="s">
        <v>13</v>
      </c>
      <c r="D350" s="3" t="s">
        <v>503</v>
      </c>
      <c r="E350" s="4">
        <v>33.5</v>
      </c>
      <c r="F350" s="4">
        <v>8</v>
      </c>
      <c r="G350" s="4">
        <v>268</v>
      </c>
      <c r="H350" s="3" t="s">
        <v>48</v>
      </c>
      <c r="I350" s="3" t="s">
        <v>16</v>
      </c>
      <c r="J350" s="5">
        <v>44867</v>
      </c>
      <c r="K350" s="2" t="b">
        <v>1</v>
      </c>
    </row>
    <row r="351" spans="1:11" x14ac:dyDescent="0.3">
      <c r="A351" s="3" t="s">
        <v>542</v>
      </c>
      <c r="B351" s="3" t="s">
        <v>40</v>
      </c>
      <c r="C351" s="3" t="s">
        <v>23</v>
      </c>
      <c r="D351" s="3" t="s">
        <v>50</v>
      </c>
      <c r="E351" s="4">
        <v>8</v>
      </c>
      <c r="F351" s="4">
        <v>2</v>
      </c>
      <c r="G351" s="4">
        <v>16</v>
      </c>
      <c r="H351" s="3" t="s">
        <v>48</v>
      </c>
      <c r="I351" s="3" t="s">
        <v>38</v>
      </c>
      <c r="J351" s="5">
        <v>44579</v>
      </c>
      <c r="K351" s="2" t="b">
        <v>1</v>
      </c>
    </row>
    <row r="352" spans="1:11" x14ac:dyDescent="0.3">
      <c r="A352" s="3" t="s">
        <v>543</v>
      </c>
      <c r="B352" s="3" t="s">
        <v>40</v>
      </c>
      <c r="C352" s="3" t="s">
        <v>130</v>
      </c>
      <c r="D352" s="3" t="s">
        <v>158</v>
      </c>
      <c r="E352" s="4">
        <v>36.5</v>
      </c>
      <c r="F352" s="4">
        <v>9</v>
      </c>
      <c r="G352" s="4">
        <v>328.5</v>
      </c>
      <c r="H352" s="3" t="s">
        <v>25</v>
      </c>
      <c r="I352" s="3" t="s">
        <v>16</v>
      </c>
      <c r="J352" s="5">
        <v>45150</v>
      </c>
      <c r="K352" s="2" t="b">
        <v>0</v>
      </c>
    </row>
    <row r="353" spans="1:11" x14ac:dyDescent="0.3">
      <c r="A353" s="3" t="s">
        <v>544</v>
      </c>
      <c r="B353" s="3" t="s">
        <v>43</v>
      </c>
      <c r="C353" s="3" t="s">
        <v>130</v>
      </c>
      <c r="D353" s="3" t="s">
        <v>229</v>
      </c>
      <c r="E353" s="4">
        <v>18.5</v>
      </c>
      <c r="F353" s="4">
        <v>7</v>
      </c>
      <c r="G353" s="4">
        <v>129.5</v>
      </c>
      <c r="H353" s="3" t="s">
        <v>15</v>
      </c>
      <c r="I353" s="3" t="s">
        <v>38</v>
      </c>
      <c r="J353" s="5">
        <v>45091</v>
      </c>
      <c r="K353" s="2" t="b">
        <v>1</v>
      </c>
    </row>
    <row r="354" spans="1:11" x14ac:dyDescent="0.3">
      <c r="A354" s="3" t="s">
        <v>545</v>
      </c>
      <c r="B354" s="3" t="s">
        <v>69</v>
      </c>
      <c r="C354" s="3" t="s">
        <v>32</v>
      </c>
      <c r="D354" s="3" t="s">
        <v>90</v>
      </c>
      <c r="E354" s="4">
        <v>24.5</v>
      </c>
      <c r="F354" s="4">
        <v>6</v>
      </c>
      <c r="G354" s="4">
        <v>147</v>
      </c>
      <c r="H354" s="3" t="s">
        <v>48</v>
      </c>
      <c r="I354" s="3" t="s">
        <v>38</v>
      </c>
      <c r="J354" s="5">
        <v>45057</v>
      </c>
      <c r="K354" s="2" t="b">
        <v>0</v>
      </c>
    </row>
    <row r="355" spans="1:11" x14ac:dyDescent="0.3">
      <c r="A355" s="3" t="s">
        <v>546</v>
      </c>
      <c r="B355" s="3" t="s">
        <v>43</v>
      </c>
      <c r="C355" s="3" t="s">
        <v>41</v>
      </c>
      <c r="D355" s="3" t="s">
        <v>199</v>
      </c>
      <c r="E355" s="4">
        <v>39.5</v>
      </c>
      <c r="F355" s="4">
        <v>3</v>
      </c>
      <c r="G355" s="4">
        <v>118.5</v>
      </c>
      <c r="H355" s="3" t="s">
        <v>25</v>
      </c>
      <c r="I355" s="3" t="s">
        <v>16</v>
      </c>
      <c r="J355" s="5">
        <v>44996</v>
      </c>
      <c r="K355" s="2" t="b">
        <v>1</v>
      </c>
    </row>
    <row r="356" spans="1:11" x14ac:dyDescent="0.3">
      <c r="A356" s="3" t="s">
        <v>547</v>
      </c>
      <c r="B356" s="3" t="s">
        <v>123</v>
      </c>
      <c r="C356" s="3" t="s">
        <v>41</v>
      </c>
      <c r="D356" s="3" t="s">
        <v>1233</v>
      </c>
      <c r="E356" s="4" t="s">
        <v>1233</v>
      </c>
      <c r="F356" s="4">
        <v>7</v>
      </c>
      <c r="G356" s="4">
        <v>182</v>
      </c>
      <c r="H356" s="3" t="s">
        <v>15</v>
      </c>
      <c r="I356" s="3" t="s">
        <v>38</v>
      </c>
      <c r="J356" s="5">
        <v>44599</v>
      </c>
      <c r="K356" s="2" t="s">
        <v>1233</v>
      </c>
    </row>
    <row r="357" spans="1:11" x14ac:dyDescent="0.3">
      <c r="A357" s="3" t="s">
        <v>548</v>
      </c>
      <c r="B357" s="3" t="s">
        <v>89</v>
      </c>
      <c r="C357" s="3" t="s">
        <v>19</v>
      </c>
      <c r="D357" s="3" t="s">
        <v>273</v>
      </c>
      <c r="E357" s="4">
        <v>39.5</v>
      </c>
      <c r="F357" s="4">
        <v>3</v>
      </c>
      <c r="G357" s="4">
        <v>118.5</v>
      </c>
      <c r="H357" s="3" t="s">
        <v>25</v>
      </c>
      <c r="I357" s="3" t="s">
        <v>16</v>
      </c>
      <c r="J357" s="5">
        <v>45216</v>
      </c>
      <c r="K357" s="2" t="b">
        <v>1</v>
      </c>
    </row>
    <row r="358" spans="1:11" x14ac:dyDescent="0.3">
      <c r="A358" s="3" t="s">
        <v>549</v>
      </c>
      <c r="B358" s="3" t="s">
        <v>40</v>
      </c>
      <c r="C358" s="3" t="s">
        <v>130</v>
      </c>
      <c r="D358" s="3" t="s">
        <v>326</v>
      </c>
      <c r="E358" s="4">
        <v>30.5</v>
      </c>
      <c r="F358" s="4">
        <v>2</v>
      </c>
      <c r="G358" s="4">
        <v>61</v>
      </c>
      <c r="H358" s="3" t="s">
        <v>15</v>
      </c>
      <c r="I358" s="3" t="s">
        <v>38</v>
      </c>
      <c r="J358" s="5">
        <v>45619</v>
      </c>
      <c r="K358" s="2" t="b">
        <v>1</v>
      </c>
    </row>
    <row r="359" spans="1:11" x14ac:dyDescent="0.3">
      <c r="A359" s="3" t="s">
        <v>550</v>
      </c>
      <c r="B359" s="3" t="s">
        <v>22</v>
      </c>
      <c r="C359" s="3" t="s">
        <v>23</v>
      </c>
      <c r="D359" s="3" t="s">
        <v>551</v>
      </c>
      <c r="E359" s="4">
        <v>11</v>
      </c>
      <c r="F359" s="4">
        <v>4</v>
      </c>
      <c r="G359" s="4">
        <v>44</v>
      </c>
      <c r="H359" s="3" t="s">
        <v>48</v>
      </c>
      <c r="I359" s="3" t="s">
        <v>38</v>
      </c>
      <c r="J359" s="5">
        <v>45254</v>
      </c>
      <c r="K359" s="2" t="b">
        <v>0</v>
      </c>
    </row>
    <row r="360" spans="1:11" x14ac:dyDescent="0.3">
      <c r="A360" s="3" t="s">
        <v>552</v>
      </c>
      <c r="B360" s="3" t="s">
        <v>89</v>
      </c>
      <c r="C360" s="3" t="s">
        <v>19</v>
      </c>
      <c r="D360" s="3" t="s">
        <v>553</v>
      </c>
      <c r="E360" s="4">
        <v>36.5</v>
      </c>
      <c r="F360" s="4">
        <v>2</v>
      </c>
      <c r="G360" s="4">
        <v>73</v>
      </c>
      <c r="H360" s="3" t="s">
        <v>15</v>
      </c>
      <c r="I360" s="3" t="s">
        <v>38</v>
      </c>
      <c r="J360" s="5">
        <v>44841</v>
      </c>
      <c r="K360" s="2" t="b">
        <v>1</v>
      </c>
    </row>
    <row r="361" spans="1:11" x14ac:dyDescent="0.3">
      <c r="A361" s="3" t="s">
        <v>554</v>
      </c>
      <c r="B361" s="3" t="s">
        <v>123</v>
      </c>
      <c r="C361" s="3" t="s">
        <v>130</v>
      </c>
      <c r="D361" s="3" t="s">
        <v>139</v>
      </c>
      <c r="E361" s="4">
        <v>11</v>
      </c>
      <c r="F361" s="4">
        <v>1</v>
      </c>
      <c r="G361" s="4">
        <v>11</v>
      </c>
      <c r="H361" s="3" t="s">
        <v>48</v>
      </c>
      <c r="I361" s="3" t="s">
        <v>16</v>
      </c>
      <c r="J361" s="5">
        <v>45156</v>
      </c>
      <c r="K361" s="2" t="s">
        <v>1233</v>
      </c>
    </row>
    <row r="362" spans="1:11" x14ac:dyDescent="0.3">
      <c r="A362" s="3" t="s">
        <v>555</v>
      </c>
      <c r="B362" s="3" t="s">
        <v>40</v>
      </c>
      <c r="C362" s="3" t="s">
        <v>41</v>
      </c>
      <c r="D362" s="3" t="s">
        <v>556</v>
      </c>
      <c r="E362" s="4">
        <v>9.5</v>
      </c>
      <c r="F362" s="4">
        <v>8</v>
      </c>
      <c r="G362" s="4">
        <v>76</v>
      </c>
      <c r="H362" s="3" t="s">
        <v>48</v>
      </c>
      <c r="I362" s="3" t="s">
        <v>38</v>
      </c>
      <c r="J362" s="5">
        <v>44934</v>
      </c>
      <c r="K362" s="2" t="b">
        <v>1</v>
      </c>
    </row>
    <row r="363" spans="1:11" x14ac:dyDescent="0.3">
      <c r="A363" s="3" t="s">
        <v>557</v>
      </c>
      <c r="B363" s="3" t="s">
        <v>89</v>
      </c>
      <c r="C363" s="3" t="s">
        <v>13</v>
      </c>
      <c r="D363" s="3" t="s">
        <v>455</v>
      </c>
      <c r="E363" s="4">
        <v>26</v>
      </c>
      <c r="F363" s="4">
        <v>9</v>
      </c>
      <c r="G363" s="4">
        <v>234</v>
      </c>
      <c r="H363" s="3" t="s">
        <v>25</v>
      </c>
      <c r="I363" s="3" t="s">
        <v>16</v>
      </c>
      <c r="J363" s="5">
        <v>44943</v>
      </c>
      <c r="K363" s="2" t="s">
        <v>1233</v>
      </c>
    </row>
    <row r="364" spans="1:11" x14ac:dyDescent="0.3">
      <c r="A364" s="3" t="s">
        <v>558</v>
      </c>
      <c r="B364" s="3" t="s">
        <v>116</v>
      </c>
      <c r="C364" s="3" t="s">
        <v>66</v>
      </c>
      <c r="D364" s="3" t="s">
        <v>1233</v>
      </c>
      <c r="E364" s="4">
        <v>26</v>
      </c>
      <c r="F364" s="4" t="s">
        <v>1233</v>
      </c>
      <c r="G364" s="4" t="s">
        <v>1233</v>
      </c>
      <c r="H364" s="3" t="s">
        <v>15</v>
      </c>
      <c r="I364" s="3" t="s">
        <v>38</v>
      </c>
      <c r="J364" s="5">
        <v>45326</v>
      </c>
      <c r="K364" s="2" t="b">
        <v>1</v>
      </c>
    </row>
    <row r="365" spans="1:11" x14ac:dyDescent="0.3">
      <c r="A365" s="3" t="s">
        <v>559</v>
      </c>
      <c r="B365" s="3" t="s">
        <v>46</v>
      </c>
      <c r="C365" s="3" t="s">
        <v>32</v>
      </c>
      <c r="D365" s="3" t="s">
        <v>128</v>
      </c>
      <c r="E365" s="4">
        <v>21.5</v>
      </c>
      <c r="F365" s="4">
        <v>6</v>
      </c>
      <c r="G365" s="4">
        <v>129</v>
      </c>
      <c r="H365" s="3" t="s">
        <v>25</v>
      </c>
      <c r="I365" s="3" t="s">
        <v>38</v>
      </c>
      <c r="J365" s="5">
        <v>45228</v>
      </c>
      <c r="K365" s="2" t="b">
        <v>1</v>
      </c>
    </row>
    <row r="366" spans="1:11" x14ac:dyDescent="0.3">
      <c r="A366" s="3" t="s">
        <v>560</v>
      </c>
      <c r="B366" s="3" t="s">
        <v>89</v>
      </c>
      <c r="C366" s="3" t="s">
        <v>13</v>
      </c>
      <c r="D366" s="3" t="s">
        <v>372</v>
      </c>
      <c r="E366" s="4">
        <v>23</v>
      </c>
      <c r="F366" s="4">
        <v>4</v>
      </c>
      <c r="G366" s="4">
        <v>92</v>
      </c>
      <c r="H366" s="3" t="s">
        <v>25</v>
      </c>
      <c r="I366" s="3" t="s">
        <v>16</v>
      </c>
      <c r="J366" s="5">
        <v>44628</v>
      </c>
      <c r="K366" s="2" t="b">
        <v>0</v>
      </c>
    </row>
    <row r="367" spans="1:11" x14ac:dyDescent="0.3">
      <c r="A367" s="3" t="s">
        <v>561</v>
      </c>
      <c r="B367" s="3" t="s">
        <v>27</v>
      </c>
      <c r="C367" s="3" t="s">
        <v>28</v>
      </c>
      <c r="D367" s="3" t="s">
        <v>478</v>
      </c>
      <c r="E367" s="4">
        <v>8</v>
      </c>
      <c r="F367" s="4">
        <v>9</v>
      </c>
      <c r="G367" s="4">
        <v>72</v>
      </c>
      <c r="H367" s="3" t="s">
        <v>48</v>
      </c>
      <c r="I367" s="3" t="s">
        <v>16</v>
      </c>
      <c r="J367" s="5">
        <v>45374</v>
      </c>
      <c r="K367" s="2" t="s">
        <v>1233</v>
      </c>
    </row>
    <row r="368" spans="1:11" x14ac:dyDescent="0.3">
      <c r="A368" s="3" t="s">
        <v>562</v>
      </c>
      <c r="B368" s="3" t="s">
        <v>22</v>
      </c>
      <c r="C368" s="3" t="s">
        <v>32</v>
      </c>
      <c r="D368" s="3" t="s">
        <v>185</v>
      </c>
      <c r="E368" s="4">
        <v>33.5</v>
      </c>
      <c r="F368" s="4">
        <v>9</v>
      </c>
      <c r="G368" s="4">
        <v>301.5</v>
      </c>
      <c r="H368" s="3" t="s">
        <v>15</v>
      </c>
      <c r="I368" s="3" t="s">
        <v>38</v>
      </c>
      <c r="J368" s="5">
        <v>45564</v>
      </c>
      <c r="K368" s="2" t="b">
        <v>0</v>
      </c>
    </row>
    <row r="369" spans="1:11" x14ac:dyDescent="0.3">
      <c r="A369" s="3" t="s">
        <v>563</v>
      </c>
      <c r="B369" s="3" t="s">
        <v>80</v>
      </c>
      <c r="C369" s="3" t="s">
        <v>32</v>
      </c>
      <c r="D369" s="3" t="s">
        <v>94</v>
      </c>
      <c r="E369" s="4">
        <v>20</v>
      </c>
      <c r="F369" s="4">
        <v>4</v>
      </c>
      <c r="G369" s="4">
        <v>80</v>
      </c>
      <c r="H369" s="3" t="s">
        <v>25</v>
      </c>
      <c r="I369" s="3" t="s">
        <v>38</v>
      </c>
      <c r="J369" s="5">
        <v>44881</v>
      </c>
      <c r="K369" s="2" t="b">
        <v>1</v>
      </c>
    </row>
    <row r="370" spans="1:11" x14ac:dyDescent="0.3">
      <c r="A370" s="3" t="s">
        <v>564</v>
      </c>
      <c r="B370" s="3" t="s">
        <v>31</v>
      </c>
      <c r="C370" s="3" t="s">
        <v>66</v>
      </c>
      <c r="D370" s="3" t="s">
        <v>369</v>
      </c>
      <c r="E370" s="4">
        <v>36.5</v>
      </c>
      <c r="F370" s="4">
        <v>7</v>
      </c>
      <c r="G370" s="4">
        <v>255.5</v>
      </c>
      <c r="H370" s="3" t="s">
        <v>25</v>
      </c>
      <c r="I370" s="3" t="s">
        <v>16</v>
      </c>
      <c r="J370" s="5">
        <v>44616</v>
      </c>
      <c r="K370" s="2" t="s">
        <v>1233</v>
      </c>
    </row>
    <row r="371" spans="1:11" x14ac:dyDescent="0.3">
      <c r="A371" s="3" t="s">
        <v>565</v>
      </c>
      <c r="B371" s="3" t="s">
        <v>113</v>
      </c>
      <c r="C371" s="3" t="s">
        <v>19</v>
      </c>
      <c r="D371" s="3" t="s">
        <v>344</v>
      </c>
      <c r="E371" s="4">
        <v>26</v>
      </c>
      <c r="F371" s="4">
        <v>7</v>
      </c>
      <c r="G371" s="4">
        <v>182</v>
      </c>
      <c r="H371" s="3" t="s">
        <v>15</v>
      </c>
      <c r="I371" s="3" t="s">
        <v>16</v>
      </c>
      <c r="J371" s="5">
        <v>44779</v>
      </c>
      <c r="K371" s="2" t="s">
        <v>1233</v>
      </c>
    </row>
    <row r="372" spans="1:11" x14ac:dyDescent="0.3">
      <c r="A372" s="3" t="s">
        <v>566</v>
      </c>
      <c r="B372" s="3" t="s">
        <v>46</v>
      </c>
      <c r="C372" s="3" t="s">
        <v>23</v>
      </c>
      <c r="D372" s="3" t="s">
        <v>551</v>
      </c>
      <c r="E372" s="4">
        <v>11</v>
      </c>
      <c r="F372" s="4">
        <v>9</v>
      </c>
      <c r="G372" s="4">
        <v>99</v>
      </c>
      <c r="H372" s="3" t="s">
        <v>25</v>
      </c>
      <c r="I372" s="3" t="s">
        <v>38</v>
      </c>
      <c r="J372" s="5">
        <v>45362</v>
      </c>
      <c r="K372" s="2" t="s">
        <v>1233</v>
      </c>
    </row>
    <row r="373" spans="1:11" x14ac:dyDescent="0.3">
      <c r="A373" s="3" t="s">
        <v>567</v>
      </c>
      <c r="B373" s="3" t="s">
        <v>77</v>
      </c>
      <c r="C373" s="3" t="s">
        <v>13</v>
      </c>
      <c r="D373" s="3" t="s">
        <v>207</v>
      </c>
      <c r="E373" s="4">
        <v>9.5</v>
      </c>
      <c r="F373" s="4">
        <v>6</v>
      </c>
      <c r="G373" s="4">
        <v>57</v>
      </c>
      <c r="H373" s="3" t="s">
        <v>25</v>
      </c>
      <c r="I373" s="3" t="s">
        <v>16</v>
      </c>
      <c r="J373" s="5">
        <v>45084</v>
      </c>
      <c r="K373" s="2" t="s">
        <v>1233</v>
      </c>
    </row>
    <row r="374" spans="1:11" x14ac:dyDescent="0.3">
      <c r="A374" s="3" t="s">
        <v>568</v>
      </c>
      <c r="B374" s="3" t="s">
        <v>84</v>
      </c>
      <c r="C374" s="3" t="s">
        <v>66</v>
      </c>
      <c r="D374" s="3" t="s">
        <v>367</v>
      </c>
      <c r="E374" s="4">
        <v>21.5</v>
      </c>
      <c r="F374" s="4">
        <v>2</v>
      </c>
      <c r="G374" s="4">
        <v>43</v>
      </c>
      <c r="H374" s="3" t="s">
        <v>48</v>
      </c>
      <c r="I374" s="3" t="s">
        <v>16</v>
      </c>
      <c r="J374" s="5">
        <v>44814</v>
      </c>
      <c r="K374" s="2" t="b">
        <v>0</v>
      </c>
    </row>
    <row r="375" spans="1:11" x14ac:dyDescent="0.3">
      <c r="A375" s="3" t="s">
        <v>569</v>
      </c>
      <c r="B375" s="3" t="s">
        <v>123</v>
      </c>
      <c r="C375" s="3" t="s">
        <v>28</v>
      </c>
      <c r="D375" s="3" t="s">
        <v>570</v>
      </c>
      <c r="E375" s="4">
        <v>29</v>
      </c>
      <c r="F375" s="4">
        <v>1</v>
      </c>
      <c r="G375" s="4">
        <v>29</v>
      </c>
      <c r="H375" s="3" t="s">
        <v>48</v>
      </c>
      <c r="I375" s="3" t="s">
        <v>38</v>
      </c>
      <c r="J375" s="5">
        <v>44894</v>
      </c>
      <c r="K375" s="2" t="b">
        <v>1</v>
      </c>
    </row>
    <row r="376" spans="1:11" x14ac:dyDescent="0.3">
      <c r="A376" s="3" t="s">
        <v>571</v>
      </c>
      <c r="B376" s="3" t="s">
        <v>74</v>
      </c>
      <c r="C376" s="3" t="s">
        <v>19</v>
      </c>
      <c r="D376" s="3" t="s">
        <v>1233</v>
      </c>
      <c r="E376" s="4">
        <v>26</v>
      </c>
      <c r="F376" s="4" t="s">
        <v>1233</v>
      </c>
      <c r="G376" s="4" t="s">
        <v>1233</v>
      </c>
      <c r="H376" s="3" t="s">
        <v>15</v>
      </c>
      <c r="I376" s="3" t="s">
        <v>38</v>
      </c>
      <c r="J376" s="5">
        <v>44785</v>
      </c>
      <c r="K376" s="2" t="s">
        <v>1233</v>
      </c>
    </row>
    <row r="377" spans="1:11" x14ac:dyDescent="0.3">
      <c r="A377" s="3" t="s">
        <v>572</v>
      </c>
      <c r="B377" s="3" t="s">
        <v>65</v>
      </c>
      <c r="C377" s="3" t="s">
        <v>23</v>
      </c>
      <c r="D377" s="3" t="s">
        <v>306</v>
      </c>
      <c r="E377" s="4">
        <v>23</v>
      </c>
      <c r="F377" s="4">
        <v>5</v>
      </c>
      <c r="G377" s="4">
        <v>115</v>
      </c>
      <c r="H377" s="3" t="s">
        <v>25</v>
      </c>
      <c r="I377" s="3" t="s">
        <v>16</v>
      </c>
      <c r="J377" s="5">
        <v>44792</v>
      </c>
      <c r="K377" s="2" t="b">
        <v>1</v>
      </c>
    </row>
    <row r="378" spans="1:11" x14ac:dyDescent="0.3">
      <c r="A378" s="3" t="s">
        <v>573</v>
      </c>
      <c r="B378" s="3" t="s">
        <v>84</v>
      </c>
      <c r="C378" s="3" t="s">
        <v>13</v>
      </c>
      <c r="D378" s="3" t="s">
        <v>164</v>
      </c>
      <c r="E378" s="4">
        <v>24.5</v>
      </c>
      <c r="F378" s="4">
        <v>4</v>
      </c>
      <c r="G378" s="4">
        <v>98</v>
      </c>
      <c r="H378" s="3" t="s">
        <v>48</v>
      </c>
      <c r="I378" s="3" t="s">
        <v>16</v>
      </c>
      <c r="J378" s="5">
        <v>44657</v>
      </c>
      <c r="K378" s="2" t="s">
        <v>1233</v>
      </c>
    </row>
    <row r="379" spans="1:11" x14ac:dyDescent="0.3">
      <c r="A379" s="3" t="s">
        <v>574</v>
      </c>
      <c r="B379" s="3" t="s">
        <v>89</v>
      </c>
      <c r="C379" s="3" t="s">
        <v>19</v>
      </c>
      <c r="D379" s="3" t="s">
        <v>271</v>
      </c>
      <c r="E379" s="4">
        <v>5</v>
      </c>
      <c r="F379" s="4">
        <v>1</v>
      </c>
      <c r="G379" s="4">
        <v>5</v>
      </c>
      <c r="H379" s="3" t="s">
        <v>25</v>
      </c>
      <c r="I379" s="3" t="s">
        <v>16</v>
      </c>
      <c r="J379" s="5">
        <v>45281</v>
      </c>
      <c r="K379" s="2" t="b">
        <v>1</v>
      </c>
    </row>
    <row r="380" spans="1:11" x14ac:dyDescent="0.3">
      <c r="A380" s="3" t="s">
        <v>575</v>
      </c>
      <c r="B380" s="3" t="s">
        <v>31</v>
      </c>
      <c r="C380" s="3" t="s">
        <v>41</v>
      </c>
      <c r="D380" s="3" t="s">
        <v>81</v>
      </c>
      <c r="E380" s="4">
        <v>24.5</v>
      </c>
      <c r="F380" s="4">
        <v>4</v>
      </c>
      <c r="G380" s="4">
        <v>98</v>
      </c>
      <c r="H380" s="3" t="s">
        <v>48</v>
      </c>
      <c r="I380" s="3" t="s">
        <v>38</v>
      </c>
      <c r="J380" s="5">
        <v>45089</v>
      </c>
      <c r="K380" s="2" t="s">
        <v>1233</v>
      </c>
    </row>
    <row r="381" spans="1:11" x14ac:dyDescent="0.3">
      <c r="A381" s="3" t="s">
        <v>576</v>
      </c>
      <c r="B381" s="3" t="s">
        <v>98</v>
      </c>
      <c r="C381" s="3" t="s">
        <v>28</v>
      </c>
      <c r="D381" s="3" t="s">
        <v>104</v>
      </c>
      <c r="E381" s="4">
        <v>41</v>
      </c>
      <c r="F381" s="4">
        <v>9</v>
      </c>
      <c r="G381" s="4">
        <v>369</v>
      </c>
      <c r="H381" s="3" t="s">
        <v>25</v>
      </c>
      <c r="I381" s="3" t="s">
        <v>38</v>
      </c>
      <c r="J381" s="5">
        <v>45224</v>
      </c>
      <c r="K381" s="2" t="b">
        <v>0</v>
      </c>
    </row>
    <row r="382" spans="1:11" x14ac:dyDescent="0.3">
      <c r="A382" s="3" t="s">
        <v>577</v>
      </c>
      <c r="B382" s="3" t="s">
        <v>116</v>
      </c>
      <c r="C382" s="3" t="s">
        <v>13</v>
      </c>
      <c r="D382" s="3" t="s">
        <v>520</v>
      </c>
      <c r="E382" s="4">
        <v>15.5</v>
      </c>
      <c r="F382" s="4">
        <v>7</v>
      </c>
      <c r="G382" s="4">
        <v>108.5</v>
      </c>
      <c r="H382" s="3" t="s">
        <v>48</v>
      </c>
      <c r="I382" s="3" t="s">
        <v>38</v>
      </c>
      <c r="J382" s="5">
        <v>45132</v>
      </c>
      <c r="K382" s="2" t="b">
        <v>1</v>
      </c>
    </row>
    <row r="383" spans="1:11" x14ac:dyDescent="0.3">
      <c r="A383" s="3" t="s">
        <v>578</v>
      </c>
      <c r="B383" s="3" t="s">
        <v>43</v>
      </c>
      <c r="C383" s="3" t="s">
        <v>13</v>
      </c>
      <c r="D383" s="3" t="s">
        <v>579</v>
      </c>
      <c r="E383" s="4">
        <v>32</v>
      </c>
      <c r="F383" s="4">
        <v>10</v>
      </c>
      <c r="G383" s="4">
        <v>320</v>
      </c>
      <c r="H383" s="3" t="s">
        <v>15</v>
      </c>
      <c r="I383" s="3" t="s">
        <v>38</v>
      </c>
      <c r="J383" s="5">
        <v>45248</v>
      </c>
      <c r="K383" s="2" t="s">
        <v>1233</v>
      </c>
    </row>
    <row r="384" spans="1:11" x14ac:dyDescent="0.3">
      <c r="A384" s="3" t="s">
        <v>580</v>
      </c>
      <c r="B384" s="3" t="s">
        <v>123</v>
      </c>
      <c r="C384" s="3" t="s">
        <v>13</v>
      </c>
      <c r="D384" s="3" t="s">
        <v>133</v>
      </c>
      <c r="E384" s="4">
        <v>20</v>
      </c>
      <c r="F384" s="4">
        <v>6</v>
      </c>
      <c r="G384" s="4">
        <v>120</v>
      </c>
      <c r="H384" s="3" t="s">
        <v>15</v>
      </c>
      <c r="I384" s="3" t="s">
        <v>16</v>
      </c>
      <c r="J384" s="5">
        <v>44902</v>
      </c>
      <c r="K384" s="2" t="s">
        <v>1233</v>
      </c>
    </row>
    <row r="385" spans="1:11" x14ac:dyDescent="0.3">
      <c r="A385" s="3" t="s">
        <v>581</v>
      </c>
      <c r="B385" s="3" t="s">
        <v>113</v>
      </c>
      <c r="C385" s="3" t="s">
        <v>28</v>
      </c>
      <c r="D385" s="3" t="s">
        <v>71</v>
      </c>
      <c r="E385" s="4">
        <v>14</v>
      </c>
      <c r="F385" s="4">
        <v>5</v>
      </c>
      <c r="G385" s="4">
        <v>70</v>
      </c>
      <c r="H385" s="3" t="s">
        <v>48</v>
      </c>
      <c r="I385" s="3" t="s">
        <v>38</v>
      </c>
      <c r="J385" s="5">
        <v>45655</v>
      </c>
      <c r="K385" s="2" t="s">
        <v>1233</v>
      </c>
    </row>
    <row r="386" spans="1:11" x14ac:dyDescent="0.3">
      <c r="A386" s="3" t="s">
        <v>582</v>
      </c>
      <c r="B386" s="3" t="s">
        <v>46</v>
      </c>
      <c r="C386" s="3" t="s">
        <v>23</v>
      </c>
      <c r="D386" s="3" t="s">
        <v>114</v>
      </c>
      <c r="E386" s="4">
        <v>38</v>
      </c>
      <c r="F386" s="4">
        <v>1</v>
      </c>
      <c r="G386" s="4">
        <v>38</v>
      </c>
      <c r="H386" s="3" t="s">
        <v>48</v>
      </c>
      <c r="I386" s="3" t="s">
        <v>38</v>
      </c>
      <c r="J386" s="5">
        <v>45006</v>
      </c>
      <c r="K386" s="2" t="b">
        <v>0</v>
      </c>
    </row>
    <row r="387" spans="1:11" x14ac:dyDescent="0.3">
      <c r="A387" s="3" t="s">
        <v>583</v>
      </c>
      <c r="B387" s="3" t="s">
        <v>74</v>
      </c>
      <c r="C387" s="3" t="s">
        <v>130</v>
      </c>
      <c r="D387" s="3" t="s">
        <v>1233</v>
      </c>
      <c r="E387" s="4" t="s">
        <v>1233</v>
      </c>
      <c r="F387" s="4">
        <v>3</v>
      </c>
      <c r="G387" s="4">
        <v>96</v>
      </c>
      <c r="H387" s="3" t="s">
        <v>25</v>
      </c>
      <c r="I387" s="3" t="s">
        <v>16</v>
      </c>
      <c r="J387" s="5">
        <v>44641</v>
      </c>
      <c r="K387" s="2" t="b">
        <v>0</v>
      </c>
    </row>
    <row r="388" spans="1:11" x14ac:dyDescent="0.3">
      <c r="A388" s="3" t="s">
        <v>584</v>
      </c>
      <c r="B388" s="3" t="s">
        <v>123</v>
      </c>
      <c r="C388" s="3" t="s">
        <v>13</v>
      </c>
      <c r="D388" s="3" t="s">
        <v>585</v>
      </c>
      <c r="E388" s="4">
        <v>6.5</v>
      </c>
      <c r="F388" s="4">
        <v>8</v>
      </c>
      <c r="G388" s="4">
        <v>52</v>
      </c>
      <c r="H388" s="3" t="s">
        <v>15</v>
      </c>
      <c r="I388" s="3" t="s">
        <v>38</v>
      </c>
      <c r="J388" s="5">
        <v>45009</v>
      </c>
      <c r="K388" s="2" t="s">
        <v>1233</v>
      </c>
    </row>
    <row r="389" spans="1:11" x14ac:dyDescent="0.3">
      <c r="A389" s="3" t="s">
        <v>586</v>
      </c>
      <c r="B389" s="3" t="s">
        <v>74</v>
      </c>
      <c r="C389" s="3" t="s">
        <v>23</v>
      </c>
      <c r="D389" s="3" t="s">
        <v>587</v>
      </c>
      <c r="E389" s="4">
        <v>24.5</v>
      </c>
      <c r="F389" s="4">
        <v>5</v>
      </c>
      <c r="G389" s="4">
        <v>122.5</v>
      </c>
      <c r="H389" s="3" t="s">
        <v>15</v>
      </c>
      <c r="I389" s="3" t="s">
        <v>16</v>
      </c>
      <c r="J389" s="5">
        <v>45346</v>
      </c>
      <c r="K389" s="2" t="b">
        <v>0</v>
      </c>
    </row>
    <row r="390" spans="1:11" x14ac:dyDescent="0.3">
      <c r="A390" s="3" t="s">
        <v>588</v>
      </c>
      <c r="B390" s="3" t="s">
        <v>22</v>
      </c>
      <c r="C390" s="3" t="s">
        <v>41</v>
      </c>
      <c r="D390" s="3" t="s">
        <v>342</v>
      </c>
      <c r="E390" s="4">
        <v>29</v>
      </c>
      <c r="F390" s="4">
        <v>9</v>
      </c>
      <c r="G390" s="4">
        <v>261</v>
      </c>
      <c r="H390" s="3" t="s">
        <v>15</v>
      </c>
      <c r="I390" s="3" t="s">
        <v>16</v>
      </c>
      <c r="J390" s="5">
        <v>45653</v>
      </c>
      <c r="K390" s="2" t="b">
        <v>0</v>
      </c>
    </row>
    <row r="391" spans="1:11" x14ac:dyDescent="0.3">
      <c r="A391" s="3" t="s">
        <v>589</v>
      </c>
      <c r="B391" s="3" t="s">
        <v>168</v>
      </c>
      <c r="C391" s="3" t="s">
        <v>66</v>
      </c>
      <c r="D391" s="3" t="s">
        <v>1233</v>
      </c>
      <c r="E391" s="4" t="s">
        <v>1233</v>
      </c>
      <c r="F391" s="4">
        <v>8</v>
      </c>
      <c r="G391" s="4">
        <v>220</v>
      </c>
      <c r="H391" s="3" t="s">
        <v>25</v>
      </c>
      <c r="I391" s="3" t="s">
        <v>16</v>
      </c>
      <c r="J391" s="5">
        <v>44785</v>
      </c>
      <c r="K391" s="2" t="s">
        <v>1233</v>
      </c>
    </row>
    <row r="392" spans="1:11" x14ac:dyDescent="0.3">
      <c r="A392" s="3" t="s">
        <v>590</v>
      </c>
      <c r="B392" s="3" t="s">
        <v>80</v>
      </c>
      <c r="C392" s="3" t="s">
        <v>19</v>
      </c>
      <c r="D392" s="3" t="s">
        <v>271</v>
      </c>
      <c r="E392" s="4">
        <v>5</v>
      </c>
      <c r="F392" s="4">
        <v>7</v>
      </c>
      <c r="G392" s="4">
        <v>35</v>
      </c>
      <c r="H392" s="3" t="s">
        <v>25</v>
      </c>
      <c r="I392" s="3" t="s">
        <v>38</v>
      </c>
      <c r="J392" s="5">
        <v>44639</v>
      </c>
      <c r="K392" s="2" t="b">
        <v>1</v>
      </c>
    </row>
    <row r="393" spans="1:11" x14ac:dyDescent="0.3">
      <c r="A393" s="3" t="s">
        <v>591</v>
      </c>
      <c r="B393" s="3" t="s">
        <v>63</v>
      </c>
      <c r="C393" s="3" t="s">
        <v>66</v>
      </c>
      <c r="D393" s="3" t="s">
        <v>377</v>
      </c>
      <c r="E393" s="4">
        <v>29</v>
      </c>
      <c r="F393" s="4">
        <v>9</v>
      </c>
      <c r="G393" s="4">
        <v>261</v>
      </c>
      <c r="H393" s="3" t="s">
        <v>15</v>
      </c>
      <c r="I393" s="3" t="s">
        <v>38</v>
      </c>
      <c r="J393" s="5">
        <v>45385</v>
      </c>
      <c r="K393" s="2" t="s">
        <v>1233</v>
      </c>
    </row>
    <row r="394" spans="1:11" x14ac:dyDescent="0.3">
      <c r="A394" s="3" t="s">
        <v>592</v>
      </c>
      <c r="B394" s="3" t="s">
        <v>89</v>
      </c>
      <c r="C394" s="3" t="s">
        <v>66</v>
      </c>
      <c r="D394" s="3" t="s">
        <v>246</v>
      </c>
      <c r="E394" s="4">
        <v>15.5</v>
      </c>
      <c r="F394" s="4">
        <v>1</v>
      </c>
      <c r="G394" s="4">
        <v>15.5</v>
      </c>
      <c r="H394" s="3" t="s">
        <v>25</v>
      </c>
      <c r="I394" s="3" t="s">
        <v>38</v>
      </c>
      <c r="J394" s="5">
        <v>44825</v>
      </c>
      <c r="K394" s="2" t="s">
        <v>1233</v>
      </c>
    </row>
    <row r="395" spans="1:11" x14ac:dyDescent="0.3">
      <c r="A395" s="3" t="s">
        <v>593</v>
      </c>
      <c r="B395" s="3" t="s">
        <v>40</v>
      </c>
      <c r="C395" s="3" t="s">
        <v>41</v>
      </c>
      <c r="D395" s="3" t="s">
        <v>594</v>
      </c>
      <c r="E395" s="4">
        <v>33.5</v>
      </c>
      <c r="F395" s="4">
        <v>2</v>
      </c>
      <c r="G395" s="4">
        <v>67</v>
      </c>
      <c r="H395" s="3" t="s">
        <v>48</v>
      </c>
      <c r="I395" s="3" t="s">
        <v>16</v>
      </c>
      <c r="J395" s="5">
        <v>44817</v>
      </c>
      <c r="K395" s="2" t="b">
        <v>0</v>
      </c>
    </row>
    <row r="396" spans="1:11" x14ac:dyDescent="0.3">
      <c r="A396" s="3" t="s">
        <v>595</v>
      </c>
      <c r="B396" s="3" t="s">
        <v>80</v>
      </c>
      <c r="C396" s="3" t="s">
        <v>13</v>
      </c>
      <c r="D396" s="3" t="s">
        <v>372</v>
      </c>
      <c r="E396" s="4">
        <v>23</v>
      </c>
      <c r="F396" s="4">
        <v>1</v>
      </c>
      <c r="G396" s="4">
        <v>23</v>
      </c>
      <c r="H396" s="3" t="s">
        <v>25</v>
      </c>
      <c r="I396" s="3" t="s">
        <v>38</v>
      </c>
      <c r="J396" s="5">
        <v>45172</v>
      </c>
      <c r="K396" s="2" t="b">
        <v>1</v>
      </c>
    </row>
    <row r="397" spans="1:11" x14ac:dyDescent="0.3">
      <c r="A397" s="3" t="s">
        <v>596</v>
      </c>
      <c r="B397" s="3" t="s">
        <v>80</v>
      </c>
      <c r="C397" s="3" t="s">
        <v>28</v>
      </c>
      <c r="D397" s="3" t="s">
        <v>478</v>
      </c>
      <c r="E397" s="4">
        <v>8</v>
      </c>
      <c r="F397" s="4">
        <v>3</v>
      </c>
      <c r="G397" s="4">
        <v>24</v>
      </c>
      <c r="H397" s="3" t="s">
        <v>25</v>
      </c>
      <c r="I397" s="3" t="s">
        <v>16</v>
      </c>
      <c r="J397" s="5">
        <v>45525</v>
      </c>
      <c r="K397" s="2" t="s">
        <v>1233</v>
      </c>
    </row>
    <row r="398" spans="1:11" x14ac:dyDescent="0.3">
      <c r="A398" s="3" t="s">
        <v>597</v>
      </c>
      <c r="B398" s="3" t="s">
        <v>89</v>
      </c>
      <c r="C398" s="3" t="s">
        <v>23</v>
      </c>
      <c r="D398" s="3" t="s">
        <v>598</v>
      </c>
      <c r="E398" s="4">
        <v>12.5</v>
      </c>
      <c r="F398" s="4">
        <v>9</v>
      </c>
      <c r="G398" s="4">
        <v>112.5</v>
      </c>
      <c r="H398" s="3" t="s">
        <v>48</v>
      </c>
      <c r="I398" s="3" t="s">
        <v>16</v>
      </c>
      <c r="J398" s="5">
        <v>44786</v>
      </c>
      <c r="K398" s="2" t="b">
        <v>0</v>
      </c>
    </row>
    <row r="399" spans="1:11" x14ac:dyDescent="0.3">
      <c r="A399" s="3" t="s">
        <v>599</v>
      </c>
      <c r="B399" s="3" t="s">
        <v>69</v>
      </c>
      <c r="C399" s="3" t="s">
        <v>28</v>
      </c>
      <c r="D399" s="3" t="s">
        <v>29</v>
      </c>
      <c r="E399" s="4">
        <v>27.5</v>
      </c>
      <c r="F399" s="4">
        <v>10</v>
      </c>
      <c r="G399" s="4">
        <v>275</v>
      </c>
      <c r="H399" s="3" t="s">
        <v>25</v>
      </c>
      <c r="I399" s="3" t="s">
        <v>16</v>
      </c>
      <c r="J399" s="5">
        <v>45047</v>
      </c>
      <c r="K399" s="2" t="s">
        <v>1233</v>
      </c>
    </row>
    <row r="400" spans="1:11" x14ac:dyDescent="0.3">
      <c r="A400" s="3" t="s">
        <v>600</v>
      </c>
      <c r="B400" s="3" t="s">
        <v>69</v>
      </c>
      <c r="C400" s="3" t="s">
        <v>23</v>
      </c>
      <c r="D400" s="3" t="s">
        <v>114</v>
      </c>
      <c r="E400" s="4">
        <v>38</v>
      </c>
      <c r="F400" s="4">
        <v>5</v>
      </c>
      <c r="G400" s="4">
        <v>190</v>
      </c>
      <c r="H400" s="3" t="s">
        <v>25</v>
      </c>
      <c r="I400" s="3" t="s">
        <v>16</v>
      </c>
      <c r="J400" s="5">
        <v>45188</v>
      </c>
      <c r="K400" s="2" t="b">
        <v>0</v>
      </c>
    </row>
    <row r="401" spans="1:11" x14ac:dyDescent="0.3">
      <c r="A401" s="3" t="s">
        <v>601</v>
      </c>
      <c r="B401" s="3" t="s">
        <v>84</v>
      </c>
      <c r="C401" s="3" t="s">
        <v>13</v>
      </c>
      <c r="D401" s="3" t="s">
        <v>509</v>
      </c>
      <c r="E401" s="4">
        <v>17</v>
      </c>
      <c r="F401" s="4">
        <v>4</v>
      </c>
      <c r="G401" s="4">
        <v>68</v>
      </c>
      <c r="H401" s="3" t="s">
        <v>25</v>
      </c>
      <c r="I401" s="3" t="s">
        <v>38</v>
      </c>
      <c r="J401" s="5">
        <v>45110</v>
      </c>
      <c r="K401" s="2" t="s">
        <v>1233</v>
      </c>
    </row>
    <row r="402" spans="1:11" x14ac:dyDescent="0.3">
      <c r="A402" s="3" t="s">
        <v>602</v>
      </c>
      <c r="B402" s="3" t="s">
        <v>18</v>
      </c>
      <c r="C402" s="3" t="s">
        <v>19</v>
      </c>
      <c r="D402" s="3" t="s">
        <v>284</v>
      </c>
      <c r="E402" s="4">
        <v>8</v>
      </c>
      <c r="F402" s="4">
        <v>8</v>
      </c>
      <c r="G402" s="4">
        <v>64</v>
      </c>
      <c r="H402" s="3" t="s">
        <v>15</v>
      </c>
      <c r="I402" s="3" t="s">
        <v>16</v>
      </c>
      <c r="J402" s="5">
        <v>45273</v>
      </c>
      <c r="K402" s="2" t="s">
        <v>1233</v>
      </c>
    </row>
    <row r="403" spans="1:11" x14ac:dyDescent="0.3">
      <c r="A403" s="3" t="s">
        <v>603</v>
      </c>
      <c r="B403" s="3" t="s">
        <v>27</v>
      </c>
      <c r="C403" s="3" t="s">
        <v>13</v>
      </c>
      <c r="D403" s="3" t="s">
        <v>92</v>
      </c>
      <c r="E403" s="4">
        <v>36.5</v>
      </c>
      <c r="F403" s="4">
        <v>5</v>
      </c>
      <c r="G403" s="4">
        <v>182.5</v>
      </c>
      <c r="H403" s="3" t="s">
        <v>15</v>
      </c>
      <c r="I403" s="3" t="s">
        <v>38</v>
      </c>
      <c r="J403" s="5">
        <v>44852</v>
      </c>
      <c r="K403" s="2" t="b">
        <v>1</v>
      </c>
    </row>
    <row r="404" spans="1:11" x14ac:dyDescent="0.3">
      <c r="A404" s="3" t="s">
        <v>604</v>
      </c>
      <c r="B404" s="3" t="s">
        <v>100</v>
      </c>
      <c r="C404" s="3" t="s">
        <v>66</v>
      </c>
      <c r="D404" s="3" t="s">
        <v>486</v>
      </c>
      <c r="E404" s="4">
        <v>20</v>
      </c>
      <c r="F404" s="4">
        <v>3</v>
      </c>
      <c r="G404" s="4">
        <v>60</v>
      </c>
      <c r="H404" s="3" t="s">
        <v>25</v>
      </c>
      <c r="I404" s="3" t="s">
        <v>38</v>
      </c>
      <c r="J404" s="5">
        <v>45045</v>
      </c>
      <c r="K404" s="2" t="s">
        <v>1233</v>
      </c>
    </row>
    <row r="405" spans="1:11" x14ac:dyDescent="0.3">
      <c r="A405" s="3" t="s">
        <v>605</v>
      </c>
      <c r="B405" s="3" t="s">
        <v>65</v>
      </c>
      <c r="C405" s="3" t="s">
        <v>32</v>
      </c>
      <c r="D405" s="3" t="s">
        <v>94</v>
      </c>
      <c r="E405" s="4">
        <v>20</v>
      </c>
      <c r="F405" s="4">
        <v>3</v>
      </c>
      <c r="G405" s="4">
        <v>60</v>
      </c>
      <c r="H405" s="3" t="s">
        <v>48</v>
      </c>
      <c r="I405" s="3" t="s">
        <v>16</v>
      </c>
      <c r="J405" s="5">
        <v>45417</v>
      </c>
      <c r="K405" s="2" t="b">
        <v>0</v>
      </c>
    </row>
    <row r="406" spans="1:11" x14ac:dyDescent="0.3">
      <c r="A406" s="3" t="s">
        <v>606</v>
      </c>
      <c r="B406" s="3" t="s">
        <v>98</v>
      </c>
      <c r="C406" s="3" t="s">
        <v>13</v>
      </c>
      <c r="D406" s="3" t="s">
        <v>61</v>
      </c>
      <c r="E406" s="4">
        <v>29</v>
      </c>
      <c r="F406" s="4">
        <v>8</v>
      </c>
      <c r="G406" s="4">
        <v>232</v>
      </c>
      <c r="H406" s="3" t="s">
        <v>48</v>
      </c>
      <c r="I406" s="3" t="s">
        <v>16</v>
      </c>
      <c r="J406" s="5">
        <v>45612</v>
      </c>
      <c r="K406" s="2" t="s">
        <v>1233</v>
      </c>
    </row>
    <row r="407" spans="1:11" x14ac:dyDescent="0.3">
      <c r="A407" s="3" t="s">
        <v>607</v>
      </c>
      <c r="B407" s="3" t="s">
        <v>22</v>
      </c>
      <c r="C407" s="3" t="s">
        <v>130</v>
      </c>
      <c r="D407" s="3" t="s">
        <v>154</v>
      </c>
      <c r="E407" s="4">
        <v>39.5</v>
      </c>
      <c r="F407" s="4">
        <v>8</v>
      </c>
      <c r="G407" s="4">
        <v>316</v>
      </c>
      <c r="H407" s="3" t="s">
        <v>48</v>
      </c>
      <c r="I407" s="3" t="s">
        <v>16</v>
      </c>
      <c r="J407" s="5">
        <v>45649</v>
      </c>
      <c r="K407" s="2" t="b">
        <v>1</v>
      </c>
    </row>
    <row r="408" spans="1:11" x14ac:dyDescent="0.3">
      <c r="A408" s="3" t="s">
        <v>608</v>
      </c>
      <c r="B408" s="3" t="s">
        <v>168</v>
      </c>
      <c r="C408" s="3" t="s">
        <v>130</v>
      </c>
      <c r="D408" s="3" t="s">
        <v>158</v>
      </c>
      <c r="E408" s="4">
        <v>36.5</v>
      </c>
      <c r="F408" s="4">
        <v>2</v>
      </c>
      <c r="G408" s="4">
        <v>73</v>
      </c>
      <c r="H408" s="3" t="s">
        <v>48</v>
      </c>
      <c r="I408" s="3" t="s">
        <v>38</v>
      </c>
      <c r="J408" s="5">
        <v>45045</v>
      </c>
      <c r="K408" s="2" t="b">
        <v>0</v>
      </c>
    </row>
    <row r="409" spans="1:11" x14ac:dyDescent="0.3">
      <c r="A409" s="3" t="s">
        <v>609</v>
      </c>
      <c r="B409" s="3" t="s">
        <v>27</v>
      </c>
      <c r="C409" s="3" t="s">
        <v>41</v>
      </c>
      <c r="D409" s="3" t="s">
        <v>610</v>
      </c>
      <c r="E409" s="4">
        <v>17</v>
      </c>
      <c r="F409" s="4">
        <v>4</v>
      </c>
      <c r="G409" s="4">
        <v>68</v>
      </c>
      <c r="H409" s="3" t="s">
        <v>48</v>
      </c>
      <c r="I409" s="3" t="s">
        <v>38</v>
      </c>
      <c r="J409" s="5">
        <v>44878</v>
      </c>
      <c r="K409" s="2" t="b">
        <v>0</v>
      </c>
    </row>
    <row r="410" spans="1:11" x14ac:dyDescent="0.3">
      <c r="A410" s="3" t="s">
        <v>611</v>
      </c>
      <c r="B410" s="3" t="s">
        <v>55</v>
      </c>
      <c r="C410" s="3" t="s">
        <v>66</v>
      </c>
      <c r="D410" s="3" t="s">
        <v>101</v>
      </c>
      <c r="E410" s="4">
        <v>35</v>
      </c>
      <c r="F410" s="4">
        <v>8</v>
      </c>
      <c r="G410" s="4">
        <v>280</v>
      </c>
      <c r="H410" s="3" t="s">
        <v>25</v>
      </c>
      <c r="I410" s="3" t="s">
        <v>16</v>
      </c>
      <c r="J410" s="5">
        <v>45531</v>
      </c>
      <c r="K410" s="2" t="b">
        <v>0</v>
      </c>
    </row>
    <row r="411" spans="1:11" x14ac:dyDescent="0.3">
      <c r="A411" s="3" t="s">
        <v>612</v>
      </c>
      <c r="B411" s="3" t="s">
        <v>65</v>
      </c>
      <c r="C411" s="3" t="s">
        <v>66</v>
      </c>
      <c r="D411" s="3" t="s">
        <v>1233</v>
      </c>
      <c r="E411" s="4">
        <v>41</v>
      </c>
      <c r="F411" s="4" t="s">
        <v>1233</v>
      </c>
      <c r="G411" s="4" t="s">
        <v>1233</v>
      </c>
      <c r="H411" s="3" t="s">
        <v>15</v>
      </c>
      <c r="I411" s="3" t="s">
        <v>16</v>
      </c>
      <c r="J411" s="5">
        <v>44722</v>
      </c>
      <c r="K411" s="2" t="s">
        <v>1233</v>
      </c>
    </row>
    <row r="412" spans="1:11" x14ac:dyDescent="0.3">
      <c r="A412" s="3" t="s">
        <v>613</v>
      </c>
      <c r="B412" s="3" t="s">
        <v>100</v>
      </c>
      <c r="C412" s="3" t="s">
        <v>130</v>
      </c>
      <c r="D412" s="3" t="s">
        <v>361</v>
      </c>
      <c r="E412" s="4">
        <v>32</v>
      </c>
      <c r="F412" s="4">
        <v>10</v>
      </c>
      <c r="G412" s="4">
        <v>320</v>
      </c>
      <c r="H412" s="3" t="s">
        <v>48</v>
      </c>
      <c r="I412" s="3" t="s">
        <v>16</v>
      </c>
      <c r="J412" s="5">
        <v>44852</v>
      </c>
      <c r="K412" s="2" t="s">
        <v>1233</v>
      </c>
    </row>
    <row r="413" spans="1:11" x14ac:dyDescent="0.3">
      <c r="A413" s="3" t="s">
        <v>614</v>
      </c>
      <c r="B413" s="3" t="s">
        <v>31</v>
      </c>
      <c r="C413" s="3" t="s">
        <v>41</v>
      </c>
      <c r="D413" s="3" t="s">
        <v>594</v>
      </c>
      <c r="E413" s="4">
        <v>33.5</v>
      </c>
      <c r="F413" s="4">
        <v>1</v>
      </c>
      <c r="G413" s="4">
        <v>33.5</v>
      </c>
      <c r="H413" s="3" t="s">
        <v>15</v>
      </c>
      <c r="I413" s="3" t="s">
        <v>38</v>
      </c>
      <c r="J413" s="5">
        <v>44833</v>
      </c>
      <c r="K413" s="2" t="b">
        <v>0</v>
      </c>
    </row>
    <row r="414" spans="1:11" x14ac:dyDescent="0.3">
      <c r="A414" s="3" t="s">
        <v>615</v>
      </c>
      <c r="B414" s="3" t="s">
        <v>123</v>
      </c>
      <c r="C414" s="3" t="s">
        <v>66</v>
      </c>
      <c r="D414" s="3" t="s">
        <v>352</v>
      </c>
      <c r="E414" s="4">
        <v>38</v>
      </c>
      <c r="F414" s="4">
        <v>6</v>
      </c>
      <c r="G414" s="4">
        <v>228</v>
      </c>
      <c r="H414" s="3" t="s">
        <v>25</v>
      </c>
      <c r="I414" s="3" t="s">
        <v>16</v>
      </c>
      <c r="J414" s="5">
        <v>45311</v>
      </c>
      <c r="K414" s="2" t="b">
        <v>1</v>
      </c>
    </row>
    <row r="415" spans="1:11" x14ac:dyDescent="0.3">
      <c r="A415" s="3" t="s">
        <v>616</v>
      </c>
      <c r="B415" s="3" t="s">
        <v>69</v>
      </c>
      <c r="C415" s="3" t="s">
        <v>23</v>
      </c>
      <c r="D415" s="3" t="s">
        <v>24</v>
      </c>
      <c r="E415" s="4">
        <v>21.5</v>
      </c>
      <c r="F415" s="4">
        <v>3</v>
      </c>
      <c r="G415" s="4">
        <v>64.5</v>
      </c>
      <c r="H415" s="3" t="s">
        <v>15</v>
      </c>
      <c r="I415" s="3" t="s">
        <v>16</v>
      </c>
      <c r="J415" s="5">
        <v>44885</v>
      </c>
      <c r="K415" s="2" t="s">
        <v>1233</v>
      </c>
    </row>
    <row r="416" spans="1:11" x14ac:dyDescent="0.3">
      <c r="A416" s="3" t="s">
        <v>617</v>
      </c>
      <c r="B416" s="3" t="s">
        <v>74</v>
      </c>
      <c r="C416" s="3" t="s">
        <v>23</v>
      </c>
      <c r="D416" s="3" t="s">
        <v>24</v>
      </c>
      <c r="E416" s="4">
        <v>21.5</v>
      </c>
      <c r="F416" s="4">
        <v>8</v>
      </c>
      <c r="G416" s="4">
        <v>172</v>
      </c>
      <c r="H416" s="3" t="s">
        <v>25</v>
      </c>
      <c r="I416" s="3" t="s">
        <v>38</v>
      </c>
      <c r="J416" s="5">
        <v>45071</v>
      </c>
      <c r="K416" s="2" t="s">
        <v>1233</v>
      </c>
    </row>
    <row r="417" spans="1:11" x14ac:dyDescent="0.3">
      <c r="A417" s="3" t="s">
        <v>618</v>
      </c>
      <c r="B417" s="3" t="s">
        <v>74</v>
      </c>
      <c r="C417" s="3" t="s">
        <v>130</v>
      </c>
      <c r="D417" s="3" t="s">
        <v>320</v>
      </c>
      <c r="E417" s="4">
        <v>24.5</v>
      </c>
      <c r="F417" s="4">
        <v>6</v>
      </c>
      <c r="G417" s="4">
        <v>147</v>
      </c>
      <c r="H417" s="3" t="s">
        <v>15</v>
      </c>
      <c r="I417" s="3" t="s">
        <v>38</v>
      </c>
      <c r="J417" s="5">
        <v>44680</v>
      </c>
      <c r="K417" s="2" t="b">
        <v>0</v>
      </c>
    </row>
    <row r="418" spans="1:11" x14ac:dyDescent="0.3">
      <c r="A418" s="3" t="s">
        <v>619</v>
      </c>
      <c r="B418" s="3" t="s">
        <v>69</v>
      </c>
      <c r="C418" s="3" t="s">
        <v>19</v>
      </c>
      <c r="D418" s="3" t="s">
        <v>391</v>
      </c>
      <c r="E418" s="4">
        <v>6.5</v>
      </c>
      <c r="F418" s="4">
        <v>1</v>
      </c>
      <c r="G418" s="4">
        <v>6.5</v>
      </c>
      <c r="H418" s="3" t="s">
        <v>25</v>
      </c>
      <c r="I418" s="3" t="s">
        <v>16</v>
      </c>
      <c r="J418" s="5">
        <v>44572</v>
      </c>
      <c r="K418" s="2" t="b">
        <v>0</v>
      </c>
    </row>
    <row r="419" spans="1:11" x14ac:dyDescent="0.3">
      <c r="A419" s="3" t="s">
        <v>620</v>
      </c>
      <c r="B419" s="3" t="s">
        <v>89</v>
      </c>
      <c r="C419" s="3" t="s">
        <v>130</v>
      </c>
      <c r="D419" s="3" t="s">
        <v>621</v>
      </c>
      <c r="E419" s="4">
        <v>21.5</v>
      </c>
      <c r="F419" s="4">
        <v>9</v>
      </c>
      <c r="G419" s="4">
        <v>193.5</v>
      </c>
      <c r="H419" s="3" t="s">
        <v>48</v>
      </c>
      <c r="I419" s="3" t="s">
        <v>16</v>
      </c>
      <c r="J419" s="5">
        <v>45600</v>
      </c>
      <c r="K419" s="2" t="b">
        <v>0</v>
      </c>
    </row>
    <row r="420" spans="1:11" x14ac:dyDescent="0.3">
      <c r="A420" s="3" t="s">
        <v>622</v>
      </c>
      <c r="B420" s="3" t="s">
        <v>98</v>
      </c>
      <c r="C420" s="3" t="s">
        <v>66</v>
      </c>
      <c r="D420" s="3" t="s">
        <v>346</v>
      </c>
      <c r="E420" s="4">
        <v>33.5</v>
      </c>
      <c r="F420" s="4">
        <v>4</v>
      </c>
      <c r="G420" s="4">
        <v>134</v>
      </c>
      <c r="H420" s="3" t="s">
        <v>25</v>
      </c>
      <c r="I420" s="3" t="s">
        <v>16</v>
      </c>
      <c r="J420" s="5">
        <v>45303</v>
      </c>
      <c r="K420" s="2" t="s">
        <v>1233</v>
      </c>
    </row>
    <row r="421" spans="1:11" x14ac:dyDescent="0.3">
      <c r="A421" s="3" t="s">
        <v>623</v>
      </c>
      <c r="B421" s="3" t="s">
        <v>113</v>
      </c>
      <c r="C421" s="3" t="s">
        <v>41</v>
      </c>
      <c r="D421" s="3" t="s">
        <v>1233</v>
      </c>
      <c r="E421" s="4" t="s">
        <v>1233</v>
      </c>
      <c r="F421" s="4">
        <v>1</v>
      </c>
      <c r="G421" s="4">
        <v>27.5</v>
      </c>
      <c r="H421" s="3" t="s">
        <v>25</v>
      </c>
      <c r="I421" s="3" t="s">
        <v>16</v>
      </c>
      <c r="J421" s="5">
        <v>44641</v>
      </c>
      <c r="K421" s="2" t="b">
        <v>0</v>
      </c>
    </row>
    <row r="422" spans="1:11" x14ac:dyDescent="0.3">
      <c r="A422" s="3" t="s">
        <v>624</v>
      </c>
      <c r="B422" s="3" t="s">
        <v>113</v>
      </c>
      <c r="C422" s="3" t="s">
        <v>66</v>
      </c>
      <c r="D422" s="3" t="s">
        <v>464</v>
      </c>
      <c r="E422" s="4">
        <v>11</v>
      </c>
      <c r="F422" s="4">
        <v>3</v>
      </c>
      <c r="G422" s="4">
        <v>33</v>
      </c>
      <c r="H422" s="3" t="s">
        <v>48</v>
      </c>
      <c r="I422" s="3" t="s">
        <v>38</v>
      </c>
      <c r="J422" s="5">
        <v>45322</v>
      </c>
      <c r="K422" s="2" t="b">
        <v>0</v>
      </c>
    </row>
    <row r="423" spans="1:11" x14ac:dyDescent="0.3">
      <c r="A423" s="3" t="s">
        <v>625</v>
      </c>
      <c r="B423" s="3" t="s">
        <v>98</v>
      </c>
      <c r="C423" s="3" t="s">
        <v>23</v>
      </c>
      <c r="D423" s="3" t="s">
        <v>47</v>
      </c>
      <c r="E423" s="4">
        <v>36.5</v>
      </c>
      <c r="F423" s="4">
        <v>8</v>
      </c>
      <c r="G423" s="4">
        <v>292</v>
      </c>
      <c r="H423" s="3" t="s">
        <v>15</v>
      </c>
      <c r="I423" s="3" t="s">
        <v>16</v>
      </c>
      <c r="J423" s="5">
        <v>45107</v>
      </c>
      <c r="K423" s="2" t="s">
        <v>1233</v>
      </c>
    </row>
    <row r="424" spans="1:11" x14ac:dyDescent="0.3">
      <c r="A424" s="3" t="s">
        <v>626</v>
      </c>
      <c r="B424" s="3" t="s">
        <v>43</v>
      </c>
      <c r="C424" s="3" t="s">
        <v>66</v>
      </c>
      <c r="D424" s="3" t="s">
        <v>322</v>
      </c>
      <c r="E424" s="4">
        <v>32</v>
      </c>
      <c r="F424" s="4">
        <v>6</v>
      </c>
      <c r="G424" s="4">
        <v>192</v>
      </c>
      <c r="H424" s="3" t="s">
        <v>25</v>
      </c>
      <c r="I424" s="3" t="s">
        <v>38</v>
      </c>
      <c r="J424" s="5">
        <v>45284</v>
      </c>
      <c r="K424" s="2" t="s">
        <v>1233</v>
      </c>
    </row>
    <row r="425" spans="1:11" x14ac:dyDescent="0.3">
      <c r="A425" s="3" t="s">
        <v>627</v>
      </c>
      <c r="B425" s="3" t="s">
        <v>65</v>
      </c>
      <c r="C425" s="3" t="s">
        <v>23</v>
      </c>
      <c r="D425" s="3" t="s">
        <v>24</v>
      </c>
      <c r="E425" s="4">
        <v>21.5</v>
      </c>
      <c r="F425" s="4">
        <v>10</v>
      </c>
      <c r="G425" s="4">
        <v>215</v>
      </c>
      <c r="H425" s="3" t="s">
        <v>48</v>
      </c>
      <c r="I425" s="3" t="s">
        <v>16</v>
      </c>
      <c r="J425" s="5">
        <v>44755</v>
      </c>
      <c r="K425" s="2" t="b">
        <v>1</v>
      </c>
    </row>
    <row r="426" spans="1:11" x14ac:dyDescent="0.3">
      <c r="A426" s="3" t="s">
        <v>628</v>
      </c>
      <c r="B426" s="3" t="s">
        <v>40</v>
      </c>
      <c r="C426" s="3" t="s">
        <v>130</v>
      </c>
      <c r="D426" s="3" t="s">
        <v>158</v>
      </c>
      <c r="E426" s="4">
        <v>36.5</v>
      </c>
      <c r="F426" s="4">
        <v>9</v>
      </c>
      <c r="G426" s="4">
        <v>328.5</v>
      </c>
      <c r="H426" s="3" t="s">
        <v>48</v>
      </c>
      <c r="I426" s="3" t="s">
        <v>16</v>
      </c>
      <c r="J426" s="5">
        <v>44984</v>
      </c>
      <c r="K426" s="2" t="b">
        <v>0</v>
      </c>
    </row>
    <row r="427" spans="1:11" x14ac:dyDescent="0.3">
      <c r="A427" s="3" t="s">
        <v>629</v>
      </c>
      <c r="B427" s="3" t="s">
        <v>22</v>
      </c>
      <c r="C427" s="3" t="s">
        <v>28</v>
      </c>
      <c r="D427" s="3" t="s">
        <v>117</v>
      </c>
      <c r="E427" s="4">
        <v>36.5</v>
      </c>
      <c r="F427" s="4">
        <v>4</v>
      </c>
      <c r="G427" s="4">
        <v>146</v>
      </c>
      <c r="H427" s="3" t="s">
        <v>15</v>
      </c>
      <c r="I427" s="3" t="s">
        <v>38</v>
      </c>
      <c r="J427" s="5">
        <v>44748</v>
      </c>
      <c r="K427" s="2" t="b">
        <v>0</v>
      </c>
    </row>
    <row r="428" spans="1:11" x14ac:dyDescent="0.3">
      <c r="A428" s="3" t="s">
        <v>630</v>
      </c>
      <c r="B428" s="3" t="s">
        <v>43</v>
      </c>
      <c r="C428" s="3" t="s">
        <v>32</v>
      </c>
      <c r="D428" s="3" t="s">
        <v>78</v>
      </c>
      <c r="E428" s="4">
        <v>18.5</v>
      </c>
      <c r="F428" s="4">
        <v>6</v>
      </c>
      <c r="G428" s="4">
        <v>111</v>
      </c>
      <c r="H428" s="3" t="s">
        <v>48</v>
      </c>
      <c r="I428" s="3" t="s">
        <v>16</v>
      </c>
      <c r="J428" s="5">
        <v>45364</v>
      </c>
      <c r="K428" s="2" t="s">
        <v>1233</v>
      </c>
    </row>
    <row r="429" spans="1:11" x14ac:dyDescent="0.3">
      <c r="A429" s="3" t="s">
        <v>631</v>
      </c>
      <c r="B429" s="3" t="s">
        <v>98</v>
      </c>
      <c r="C429" s="3" t="s">
        <v>19</v>
      </c>
      <c r="D429" s="3" t="s">
        <v>58</v>
      </c>
      <c r="E429" s="4">
        <v>27.5</v>
      </c>
      <c r="F429" s="4">
        <v>8</v>
      </c>
      <c r="G429" s="4">
        <v>220</v>
      </c>
      <c r="H429" s="3" t="s">
        <v>15</v>
      </c>
      <c r="I429" s="3" t="s">
        <v>16</v>
      </c>
      <c r="J429" s="5">
        <v>45409</v>
      </c>
      <c r="K429" s="2" t="b">
        <v>1</v>
      </c>
    </row>
    <row r="430" spans="1:11" x14ac:dyDescent="0.3">
      <c r="A430" s="3" t="s">
        <v>632</v>
      </c>
      <c r="B430" s="3" t="s">
        <v>100</v>
      </c>
      <c r="C430" s="3" t="s">
        <v>23</v>
      </c>
      <c r="D430" s="3" t="s">
        <v>355</v>
      </c>
      <c r="E430" s="4">
        <v>14</v>
      </c>
      <c r="F430" s="4">
        <v>2</v>
      </c>
      <c r="G430" s="4">
        <v>28</v>
      </c>
      <c r="H430" s="3" t="s">
        <v>48</v>
      </c>
      <c r="I430" s="3" t="s">
        <v>38</v>
      </c>
      <c r="J430" s="5">
        <v>45325</v>
      </c>
      <c r="K430" s="2" t="b">
        <v>0</v>
      </c>
    </row>
    <row r="431" spans="1:11" x14ac:dyDescent="0.3">
      <c r="A431" s="3" t="s">
        <v>633</v>
      </c>
      <c r="B431" s="3" t="s">
        <v>55</v>
      </c>
      <c r="C431" s="3" t="s">
        <v>41</v>
      </c>
      <c r="D431" s="3" t="s">
        <v>295</v>
      </c>
      <c r="E431" s="4">
        <v>6.5</v>
      </c>
      <c r="F431" s="4">
        <v>6</v>
      </c>
      <c r="G431" s="4">
        <v>39</v>
      </c>
      <c r="H431" s="3" t="s">
        <v>15</v>
      </c>
      <c r="I431" s="3" t="s">
        <v>16</v>
      </c>
      <c r="J431" s="5">
        <v>45602</v>
      </c>
      <c r="K431" s="2" t="s">
        <v>1233</v>
      </c>
    </row>
    <row r="432" spans="1:11" x14ac:dyDescent="0.3">
      <c r="A432" s="3" t="s">
        <v>634</v>
      </c>
      <c r="B432" s="3" t="s">
        <v>22</v>
      </c>
      <c r="C432" s="3" t="s">
        <v>66</v>
      </c>
      <c r="D432" s="3" t="s">
        <v>367</v>
      </c>
      <c r="E432" s="4">
        <v>21.5</v>
      </c>
      <c r="F432" s="4">
        <v>7</v>
      </c>
      <c r="G432" s="4">
        <v>150.5</v>
      </c>
      <c r="H432" s="3" t="s">
        <v>48</v>
      </c>
      <c r="I432" s="3" t="s">
        <v>38</v>
      </c>
      <c r="J432" s="5">
        <v>45365</v>
      </c>
      <c r="K432" s="2" t="b">
        <v>1</v>
      </c>
    </row>
    <row r="433" spans="1:11" x14ac:dyDescent="0.3">
      <c r="A433" s="3" t="s">
        <v>635</v>
      </c>
      <c r="B433" s="3" t="s">
        <v>77</v>
      </c>
      <c r="C433" s="3" t="s">
        <v>19</v>
      </c>
      <c r="D433" s="3" t="s">
        <v>250</v>
      </c>
      <c r="E433" s="4">
        <v>38</v>
      </c>
      <c r="F433" s="4">
        <v>9</v>
      </c>
      <c r="G433" s="4">
        <v>342</v>
      </c>
      <c r="H433" s="3" t="s">
        <v>48</v>
      </c>
      <c r="I433" s="3" t="s">
        <v>16</v>
      </c>
      <c r="J433" s="5">
        <v>44818</v>
      </c>
      <c r="K433" s="2" t="b">
        <v>1</v>
      </c>
    </row>
    <row r="434" spans="1:11" x14ac:dyDescent="0.3">
      <c r="A434" s="3" t="s">
        <v>636</v>
      </c>
      <c r="B434" s="3" t="s">
        <v>84</v>
      </c>
      <c r="C434" s="3" t="s">
        <v>130</v>
      </c>
      <c r="D434" s="3" t="s">
        <v>139</v>
      </c>
      <c r="E434" s="4">
        <v>11</v>
      </c>
      <c r="F434" s="4">
        <v>3</v>
      </c>
      <c r="G434" s="4">
        <v>33</v>
      </c>
      <c r="H434" s="3" t="s">
        <v>15</v>
      </c>
      <c r="I434" s="3" t="s">
        <v>16</v>
      </c>
      <c r="J434" s="5">
        <v>45372</v>
      </c>
      <c r="K434" s="2" t="b">
        <v>0</v>
      </c>
    </row>
    <row r="435" spans="1:11" x14ac:dyDescent="0.3">
      <c r="A435" s="3" t="s">
        <v>637</v>
      </c>
      <c r="B435" s="3" t="s">
        <v>63</v>
      </c>
      <c r="C435" s="3" t="s">
        <v>13</v>
      </c>
      <c r="D435" s="3" t="s">
        <v>164</v>
      </c>
      <c r="E435" s="4">
        <v>24.5</v>
      </c>
      <c r="F435" s="4">
        <v>6</v>
      </c>
      <c r="G435" s="4">
        <v>147</v>
      </c>
      <c r="H435" s="3" t="s">
        <v>48</v>
      </c>
      <c r="I435" s="3" t="s">
        <v>38</v>
      </c>
      <c r="J435" s="5">
        <v>45663</v>
      </c>
      <c r="K435" s="2" t="b">
        <v>1</v>
      </c>
    </row>
    <row r="436" spans="1:11" x14ac:dyDescent="0.3">
      <c r="A436" s="3" t="s">
        <v>638</v>
      </c>
      <c r="B436" s="3" t="s">
        <v>65</v>
      </c>
      <c r="C436" s="3" t="s">
        <v>130</v>
      </c>
      <c r="D436" s="3" t="s">
        <v>621</v>
      </c>
      <c r="E436" s="4">
        <v>21.5</v>
      </c>
      <c r="F436" s="4">
        <v>3</v>
      </c>
      <c r="G436" s="4">
        <v>64.5</v>
      </c>
      <c r="H436" s="3" t="s">
        <v>48</v>
      </c>
      <c r="I436" s="3" t="s">
        <v>16</v>
      </c>
      <c r="J436" s="5">
        <v>45274</v>
      </c>
      <c r="K436" s="2" t="s">
        <v>1233</v>
      </c>
    </row>
    <row r="437" spans="1:11" x14ac:dyDescent="0.3">
      <c r="A437" s="3" t="s">
        <v>639</v>
      </c>
      <c r="B437" s="3" t="s">
        <v>40</v>
      </c>
      <c r="C437" s="3" t="s">
        <v>66</v>
      </c>
      <c r="D437" s="3" t="s">
        <v>1233</v>
      </c>
      <c r="E437" s="4">
        <v>12.5</v>
      </c>
      <c r="F437" s="4" t="s">
        <v>1233</v>
      </c>
      <c r="G437" s="4" t="s">
        <v>1233</v>
      </c>
      <c r="H437" s="3" t="s">
        <v>25</v>
      </c>
      <c r="I437" s="3" t="s">
        <v>38</v>
      </c>
      <c r="J437" s="5">
        <v>44813</v>
      </c>
      <c r="K437" s="2" t="b">
        <v>0</v>
      </c>
    </row>
    <row r="438" spans="1:11" x14ac:dyDescent="0.3">
      <c r="A438" s="3" t="s">
        <v>640</v>
      </c>
      <c r="B438" s="3" t="s">
        <v>31</v>
      </c>
      <c r="C438" s="3" t="s">
        <v>23</v>
      </c>
      <c r="D438" s="3" t="s">
        <v>383</v>
      </c>
      <c r="E438" s="4">
        <v>41</v>
      </c>
      <c r="F438" s="4">
        <v>5</v>
      </c>
      <c r="G438" s="4">
        <v>205</v>
      </c>
      <c r="H438" s="3" t="s">
        <v>48</v>
      </c>
      <c r="I438" s="3" t="s">
        <v>16</v>
      </c>
      <c r="J438" s="5">
        <v>44711</v>
      </c>
      <c r="K438" s="2" t="s">
        <v>1233</v>
      </c>
    </row>
    <row r="439" spans="1:11" x14ac:dyDescent="0.3">
      <c r="A439" s="3" t="s">
        <v>641</v>
      </c>
      <c r="B439" s="3" t="s">
        <v>18</v>
      </c>
      <c r="C439" s="3" t="s">
        <v>41</v>
      </c>
      <c r="D439" s="3" t="s">
        <v>295</v>
      </c>
      <c r="E439" s="4">
        <v>6.5</v>
      </c>
      <c r="F439" s="4">
        <v>5</v>
      </c>
      <c r="G439" s="4">
        <v>32.5</v>
      </c>
      <c r="H439" s="3" t="s">
        <v>48</v>
      </c>
      <c r="I439" s="3" t="s">
        <v>38</v>
      </c>
      <c r="J439" s="5">
        <v>44737</v>
      </c>
      <c r="K439" s="2" t="b">
        <v>0</v>
      </c>
    </row>
    <row r="440" spans="1:11" x14ac:dyDescent="0.3">
      <c r="A440" s="3" t="s">
        <v>642</v>
      </c>
      <c r="B440" s="3" t="s">
        <v>89</v>
      </c>
      <c r="C440" s="3" t="s">
        <v>66</v>
      </c>
      <c r="D440" s="3" t="s">
        <v>643</v>
      </c>
      <c r="E440" s="4">
        <v>26</v>
      </c>
      <c r="F440" s="4">
        <v>7</v>
      </c>
      <c r="G440" s="4">
        <v>182</v>
      </c>
      <c r="H440" s="3" t="s">
        <v>15</v>
      </c>
      <c r="I440" s="3" t="s">
        <v>38</v>
      </c>
      <c r="J440" s="5">
        <v>44699</v>
      </c>
      <c r="K440" s="2" t="s">
        <v>1233</v>
      </c>
    </row>
    <row r="441" spans="1:11" x14ac:dyDescent="0.3">
      <c r="A441" s="3" t="s">
        <v>644</v>
      </c>
      <c r="B441" s="3" t="s">
        <v>40</v>
      </c>
      <c r="C441" s="3" t="s">
        <v>66</v>
      </c>
      <c r="D441" s="3" t="s">
        <v>246</v>
      </c>
      <c r="E441" s="4">
        <v>15.5</v>
      </c>
      <c r="F441" s="4">
        <v>6</v>
      </c>
      <c r="G441" s="4">
        <v>93</v>
      </c>
      <c r="H441" s="3" t="s">
        <v>25</v>
      </c>
      <c r="I441" s="3" t="s">
        <v>16</v>
      </c>
      <c r="J441" s="5">
        <v>44803</v>
      </c>
      <c r="K441" s="2" t="s">
        <v>1233</v>
      </c>
    </row>
    <row r="442" spans="1:11" x14ac:dyDescent="0.3">
      <c r="A442" s="3" t="s">
        <v>645</v>
      </c>
      <c r="B442" s="3" t="s">
        <v>69</v>
      </c>
      <c r="C442" s="3" t="s">
        <v>130</v>
      </c>
      <c r="D442" s="3" t="s">
        <v>149</v>
      </c>
      <c r="E442" s="4">
        <v>26</v>
      </c>
      <c r="F442" s="4">
        <v>1</v>
      </c>
      <c r="G442" s="4">
        <v>26</v>
      </c>
      <c r="H442" s="3" t="s">
        <v>15</v>
      </c>
      <c r="I442" s="3" t="s">
        <v>16</v>
      </c>
      <c r="J442" s="5">
        <v>45435</v>
      </c>
      <c r="K442" s="2" t="s">
        <v>1233</v>
      </c>
    </row>
    <row r="443" spans="1:11" x14ac:dyDescent="0.3">
      <c r="A443" s="3" t="s">
        <v>646</v>
      </c>
      <c r="B443" s="3" t="s">
        <v>46</v>
      </c>
      <c r="C443" s="3" t="s">
        <v>13</v>
      </c>
      <c r="D443" s="3" t="s">
        <v>509</v>
      </c>
      <c r="E443" s="4">
        <v>17</v>
      </c>
      <c r="F443" s="4">
        <v>6</v>
      </c>
      <c r="G443" s="4">
        <v>102</v>
      </c>
      <c r="H443" s="3" t="s">
        <v>48</v>
      </c>
      <c r="I443" s="3" t="s">
        <v>38</v>
      </c>
      <c r="J443" s="5">
        <v>45511</v>
      </c>
      <c r="K443" s="2" t="s">
        <v>1233</v>
      </c>
    </row>
    <row r="444" spans="1:11" x14ac:dyDescent="0.3">
      <c r="A444" s="3" t="s">
        <v>647</v>
      </c>
      <c r="B444" s="3" t="s">
        <v>100</v>
      </c>
      <c r="C444" s="3" t="s">
        <v>23</v>
      </c>
      <c r="D444" s="3" t="s">
        <v>217</v>
      </c>
      <c r="E444" s="4">
        <v>35</v>
      </c>
      <c r="F444" s="4">
        <v>1</v>
      </c>
      <c r="G444" s="4">
        <v>35</v>
      </c>
      <c r="H444" s="3" t="s">
        <v>15</v>
      </c>
      <c r="I444" s="3" t="s">
        <v>38</v>
      </c>
      <c r="J444" s="5">
        <v>45274</v>
      </c>
      <c r="K444" s="2" t="b">
        <v>1</v>
      </c>
    </row>
    <row r="445" spans="1:11" x14ac:dyDescent="0.3">
      <c r="A445" s="3" t="s">
        <v>648</v>
      </c>
      <c r="B445" s="3" t="s">
        <v>113</v>
      </c>
      <c r="C445" s="3" t="s">
        <v>32</v>
      </c>
      <c r="D445" s="3" t="s">
        <v>1233</v>
      </c>
      <c r="E445" s="4" t="s">
        <v>1233</v>
      </c>
      <c r="F445" s="4">
        <v>2</v>
      </c>
      <c r="G445" s="4">
        <v>46</v>
      </c>
      <c r="H445" s="3" t="s">
        <v>15</v>
      </c>
      <c r="I445" s="3" t="s">
        <v>16</v>
      </c>
      <c r="J445" s="5">
        <v>45279</v>
      </c>
      <c r="K445" s="2" t="s">
        <v>1233</v>
      </c>
    </row>
    <row r="446" spans="1:11" x14ac:dyDescent="0.3">
      <c r="A446" s="3" t="s">
        <v>649</v>
      </c>
      <c r="B446" s="3" t="s">
        <v>84</v>
      </c>
      <c r="C446" s="3" t="s">
        <v>32</v>
      </c>
      <c r="D446" s="3" t="s">
        <v>237</v>
      </c>
      <c r="E446" s="4">
        <v>17</v>
      </c>
      <c r="F446" s="4">
        <v>4</v>
      </c>
      <c r="G446" s="4">
        <v>68</v>
      </c>
      <c r="H446" s="3" t="s">
        <v>48</v>
      </c>
      <c r="I446" s="3" t="s">
        <v>38</v>
      </c>
      <c r="J446" s="5">
        <v>44955</v>
      </c>
      <c r="K446" s="2" t="b">
        <v>1</v>
      </c>
    </row>
    <row r="447" spans="1:11" x14ac:dyDescent="0.3">
      <c r="A447" s="3" t="s">
        <v>650</v>
      </c>
      <c r="B447" s="3" t="s">
        <v>31</v>
      </c>
      <c r="C447" s="3" t="s">
        <v>41</v>
      </c>
      <c r="D447" s="3" t="s">
        <v>81</v>
      </c>
      <c r="E447" s="4">
        <v>24.5</v>
      </c>
      <c r="F447" s="4">
        <v>4</v>
      </c>
      <c r="G447" s="4">
        <v>98</v>
      </c>
      <c r="H447" s="3" t="s">
        <v>25</v>
      </c>
      <c r="I447" s="3" t="s">
        <v>38</v>
      </c>
      <c r="J447" s="5">
        <v>44860</v>
      </c>
      <c r="K447" s="2" t="b">
        <v>1</v>
      </c>
    </row>
    <row r="448" spans="1:11" x14ac:dyDescent="0.3">
      <c r="A448" s="3" t="s">
        <v>651</v>
      </c>
      <c r="B448" s="3" t="s">
        <v>113</v>
      </c>
      <c r="C448" s="3" t="s">
        <v>130</v>
      </c>
      <c r="D448" s="3" t="s">
        <v>131</v>
      </c>
      <c r="E448" s="4">
        <v>27.5</v>
      </c>
      <c r="F448" s="4">
        <v>9</v>
      </c>
      <c r="G448" s="4">
        <v>247.5</v>
      </c>
      <c r="H448" s="3" t="s">
        <v>48</v>
      </c>
      <c r="I448" s="3" t="s">
        <v>16</v>
      </c>
      <c r="J448" s="5">
        <v>44939</v>
      </c>
      <c r="K448" s="2" t="b">
        <v>0</v>
      </c>
    </row>
    <row r="449" spans="1:11" x14ac:dyDescent="0.3">
      <c r="A449" s="3" t="s">
        <v>652</v>
      </c>
      <c r="B449" s="3" t="s">
        <v>31</v>
      </c>
      <c r="C449" s="3" t="s">
        <v>13</v>
      </c>
      <c r="D449" s="3" t="s">
        <v>207</v>
      </c>
      <c r="E449" s="4">
        <v>9.5</v>
      </c>
      <c r="F449" s="4">
        <v>2</v>
      </c>
      <c r="G449" s="4">
        <v>19</v>
      </c>
      <c r="H449" s="3" t="s">
        <v>15</v>
      </c>
      <c r="I449" s="3" t="s">
        <v>38</v>
      </c>
      <c r="J449" s="5">
        <v>45112</v>
      </c>
      <c r="K449" s="2" t="b">
        <v>1</v>
      </c>
    </row>
    <row r="450" spans="1:11" x14ac:dyDescent="0.3">
      <c r="A450" s="3" t="s">
        <v>653</v>
      </c>
      <c r="B450" s="3" t="s">
        <v>116</v>
      </c>
      <c r="C450" s="3" t="s">
        <v>13</v>
      </c>
      <c r="D450" s="3" t="s">
        <v>207</v>
      </c>
      <c r="E450" s="4">
        <v>9.5</v>
      </c>
      <c r="F450" s="4">
        <v>2</v>
      </c>
      <c r="G450" s="4">
        <v>19</v>
      </c>
      <c r="H450" s="3" t="s">
        <v>15</v>
      </c>
      <c r="I450" s="3" t="s">
        <v>16</v>
      </c>
      <c r="J450" s="5">
        <v>44934</v>
      </c>
      <c r="K450" s="2" t="s">
        <v>1233</v>
      </c>
    </row>
    <row r="451" spans="1:11" x14ac:dyDescent="0.3">
      <c r="A451" s="3" t="s">
        <v>654</v>
      </c>
      <c r="B451" s="3" t="s">
        <v>27</v>
      </c>
      <c r="C451" s="3" t="s">
        <v>23</v>
      </c>
      <c r="D451" s="3" t="s">
        <v>85</v>
      </c>
      <c r="E451" s="4">
        <v>33.5</v>
      </c>
      <c r="F451" s="4">
        <v>2</v>
      </c>
      <c r="G451" s="4">
        <v>67</v>
      </c>
      <c r="H451" s="3" t="s">
        <v>25</v>
      </c>
      <c r="I451" s="3" t="s">
        <v>38</v>
      </c>
      <c r="J451" s="5">
        <v>45378</v>
      </c>
      <c r="K451" s="2" t="b">
        <v>0</v>
      </c>
    </row>
    <row r="452" spans="1:11" x14ac:dyDescent="0.3">
      <c r="A452" s="3" t="s">
        <v>655</v>
      </c>
      <c r="B452" s="3" t="s">
        <v>69</v>
      </c>
      <c r="C452" s="3" t="s">
        <v>13</v>
      </c>
      <c r="D452" s="3" t="s">
        <v>656</v>
      </c>
      <c r="E452" s="4">
        <v>11</v>
      </c>
      <c r="F452" s="4">
        <v>10</v>
      </c>
      <c r="G452" s="4">
        <v>110</v>
      </c>
      <c r="H452" s="3" t="s">
        <v>48</v>
      </c>
      <c r="I452" s="3" t="s">
        <v>38</v>
      </c>
      <c r="J452" s="5">
        <v>45590</v>
      </c>
      <c r="K452" s="2" t="b">
        <v>1</v>
      </c>
    </row>
    <row r="453" spans="1:11" x14ac:dyDescent="0.3">
      <c r="A453" s="3" t="s">
        <v>657</v>
      </c>
      <c r="B453" s="3" t="s">
        <v>80</v>
      </c>
      <c r="C453" s="3" t="s">
        <v>32</v>
      </c>
      <c r="D453" s="3" t="s">
        <v>1233</v>
      </c>
      <c r="E453" s="4">
        <v>26</v>
      </c>
      <c r="F453" s="4" t="s">
        <v>1233</v>
      </c>
      <c r="G453" s="4" t="s">
        <v>1233</v>
      </c>
      <c r="H453" s="3" t="s">
        <v>48</v>
      </c>
      <c r="I453" s="3" t="s">
        <v>16</v>
      </c>
      <c r="J453" s="5">
        <v>45313</v>
      </c>
      <c r="K453" s="2" t="b">
        <v>1</v>
      </c>
    </row>
    <row r="454" spans="1:11" x14ac:dyDescent="0.3">
      <c r="A454" s="3" t="s">
        <v>658</v>
      </c>
      <c r="B454" s="3" t="s">
        <v>69</v>
      </c>
      <c r="C454" s="3" t="s">
        <v>13</v>
      </c>
      <c r="D454" s="3" t="s">
        <v>61</v>
      </c>
      <c r="E454" s="4">
        <v>29</v>
      </c>
      <c r="F454" s="4">
        <v>10</v>
      </c>
      <c r="G454" s="4">
        <v>290</v>
      </c>
      <c r="H454" s="3" t="s">
        <v>15</v>
      </c>
      <c r="I454" s="3" t="s">
        <v>16</v>
      </c>
      <c r="J454" s="5">
        <v>45545</v>
      </c>
      <c r="K454" s="2" t="b">
        <v>1</v>
      </c>
    </row>
    <row r="455" spans="1:11" x14ac:dyDescent="0.3">
      <c r="A455" s="3" t="s">
        <v>659</v>
      </c>
      <c r="B455" s="3" t="s">
        <v>80</v>
      </c>
      <c r="C455" s="3" t="s">
        <v>32</v>
      </c>
      <c r="D455" s="3" t="s">
        <v>94</v>
      </c>
      <c r="E455" s="4">
        <v>20</v>
      </c>
      <c r="F455" s="4">
        <v>6</v>
      </c>
      <c r="G455" s="4">
        <v>120</v>
      </c>
      <c r="H455" s="3" t="s">
        <v>15</v>
      </c>
      <c r="I455" s="3" t="s">
        <v>16</v>
      </c>
      <c r="J455" s="5">
        <v>45516</v>
      </c>
      <c r="K455" s="2" t="b">
        <v>0</v>
      </c>
    </row>
    <row r="456" spans="1:11" x14ac:dyDescent="0.3">
      <c r="A456" s="3" t="s">
        <v>660</v>
      </c>
      <c r="B456" s="3" t="s">
        <v>89</v>
      </c>
      <c r="C456" s="3" t="s">
        <v>28</v>
      </c>
      <c r="D456" s="3" t="s">
        <v>124</v>
      </c>
      <c r="E456" s="4">
        <v>15.5</v>
      </c>
      <c r="F456" s="4">
        <v>5</v>
      </c>
      <c r="G456" s="4">
        <v>77.5</v>
      </c>
      <c r="H456" s="3" t="s">
        <v>48</v>
      </c>
      <c r="I456" s="3" t="s">
        <v>16</v>
      </c>
      <c r="J456" s="5">
        <v>44655</v>
      </c>
      <c r="K456" s="2" t="s">
        <v>1233</v>
      </c>
    </row>
    <row r="457" spans="1:11" x14ac:dyDescent="0.3">
      <c r="A457" s="3" t="s">
        <v>661</v>
      </c>
      <c r="B457" s="3" t="s">
        <v>89</v>
      </c>
      <c r="C457" s="3" t="s">
        <v>19</v>
      </c>
      <c r="D457" s="3" t="s">
        <v>662</v>
      </c>
      <c r="E457" s="4">
        <v>30.5</v>
      </c>
      <c r="F457" s="4">
        <v>2</v>
      </c>
      <c r="G457" s="4">
        <v>61</v>
      </c>
      <c r="H457" s="3" t="s">
        <v>48</v>
      </c>
      <c r="I457" s="3" t="s">
        <v>16</v>
      </c>
      <c r="J457" s="5">
        <v>45219</v>
      </c>
      <c r="K457" s="2" t="s">
        <v>1233</v>
      </c>
    </row>
    <row r="458" spans="1:11" x14ac:dyDescent="0.3">
      <c r="A458" s="3" t="s">
        <v>663</v>
      </c>
      <c r="B458" s="3" t="s">
        <v>55</v>
      </c>
      <c r="C458" s="3" t="s">
        <v>23</v>
      </c>
      <c r="D458" s="3" t="s">
        <v>551</v>
      </c>
      <c r="E458" s="4">
        <v>11</v>
      </c>
      <c r="F458" s="4">
        <v>7</v>
      </c>
      <c r="G458" s="4">
        <v>77</v>
      </c>
      <c r="H458" s="3" t="s">
        <v>48</v>
      </c>
      <c r="I458" s="3" t="s">
        <v>38</v>
      </c>
      <c r="J458" s="5">
        <v>45324</v>
      </c>
      <c r="K458" s="2" t="s">
        <v>1233</v>
      </c>
    </row>
    <row r="459" spans="1:11" x14ac:dyDescent="0.3">
      <c r="A459" s="3" t="s">
        <v>664</v>
      </c>
      <c r="B459" s="3" t="s">
        <v>12</v>
      </c>
      <c r="C459" s="3" t="s">
        <v>41</v>
      </c>
      <c r="D459" s="3" t="s">
        <v>87</v>
      </c>
      <c r="E459" s="4">
        <v>41</v>
      </c>
      <c r="F459" s="4">
        <v>3</v>
      </c>
      <c r="G459" s="4">
        <v>123</v>
      </c>
      <c r="H459" s="3" t="s">
        <v>25</v>
      </c>
      <c r="I459" s="3" t="s">
        <v>16</v>
      </c>
      <c r="J459" s="5">
        <v>45467</v>
      </c>
      <c r="K459" s="2" t="b">
        <v>1</v>
      </c>
    </row>
    <row r="460" spans="1:11" x14ac:dyDescent="0.3">
      <c r="A460" s="3" t="s">
        <v>665</v>
      </c>
      <c r="B460" s="3" t="s">
        <v>168</v>
      </c>
      <c r="C460" s="3" t="s">
        <v>130</v>
      </c>
      <c r="D460" s="3" t="s">
        <v>335</v>
      </c>
      <c r="E460" s="4">
        <v>20</v>
      </c>
      <c r="F460" s="4">
        <v>7</v>
      </c>
      <c r="G460" s="4">
        <v>140</v>
      </c>
      <c r="H460" s="3" t="s">
        <v>48</v>
      </c>
      <c r="I460" s="3" t="s">
        <v>38</v>
      </c>
      <c r="J460" s="5">
        <v>45235</v>
      </c>
      <c r="K460" s="2" t="b">
        <v>0</v>
      </c>
    </row>
    <row r="461" spans="1:11" x14ac:dyDescent="0.3">
      <c r="A461" s="3" t="s">
        <v>666</v>
      </c>
      <c r="B461" s="3" t="s">
        <v>18</v>
      </c>
      <c r="C461" s="3" t="s">
        <v>13</v>
      </c>
      <c r="D461" s="3" t="s">
        <v>172</v>
      </c>
      <c r="E461" s="4">
        <v>5</v>
      </c>
      <c r="F461" s="4">
        <v>7</v>
      </c>
      <c r="G461" s="4">
        <v>35</v>
      </c>
      <c r="H461" s="3" t="s">
        <v>15</v>
      </c>
      <c r="I461" s="3" t="s">
        <v>16</v>
      </c>
      <c r="J461" s="5">
        <v>45478</v>
      </c>
      <c r="K461" s="2" t="b">
        <v>1</v>
      </c>
    </row>
    <row r="462" spans="1:11" x14ac:dyDescent="0.3">
      <c r="A462" s="3" t="s">
        <v>667</v>
      </c>
      <c r="B462" s="3" t="s">
        <v>69</v>
      </c>
      <c r="C462" s="3" t="s">
        <v>32</v>
      </c>
      <c r="D462" s="3" t="s">
        <v>1233</v>
      </c>
      <c r="E462" s="4" t="s">
        <v>1233</v>
      </c>
      <c r="F462" s="4">
        <v>9</v>
      </c>
      <c r="G462" s="4">
        <v>193.5</v>
      </c>
      <c r="H462" s="3" t="s">
        <v>25</v>
      </c>
      <c r="I462" s="3" t="s">
        <v>38</v>
      </c>
      <c r="J462" s="5">
        <v>45369</v>
      </c>
      <c r="K462" s="2" t="s">
        <v>1233</v>
      </c>
    </row>
    <row r="463" spans="1:11" x14ac:dyDescent="0.3">
      <c r="A463" s="3" t="s">
        <v>668</v>
      </c>
      <c r="B463" s="3" t="s">
        <v>46</v>
      </c>
      <c r="C463" s="3" t="s">
        <v>32</v>
      </c>
      <c r="D463" s="3" t="s">
        <v>1233</v>
      </c>
      <c r="E463" s="4" t="s">
        <v>1233</v>
      </c>
      <c r="F463" s="4">
        <v>8</v>
      </c>
      <c r="G463" s="4">
        <v>148</v>
      </c>
      <c r="H463" s="3" t="s">
        <v>25</v>
      </c>
      <c r="I463" s="3" t="s">
        <v>38</v>
      </c>
      <c r="J463" s="5">
        <v>44727</v>
      </c>
      <c r="K463" s="2" t="s">
        <v>1233</v>
      </c>
    </row>
    <row r="464" spans="1:11" x14ac:dyDescent="0.3">
      <c r="A464" s="3" t="s">
        <v>669</v>
      </c>
      <c r="B464" s="3" t="s">
        <v>123</v>
      </c>
      <c r="C464" s="3" t="s">
        <v>28</v>
      </c>
      <c r="D464" s="3" t="s">
        <v>205</v>
      </c>
      <c r="E464" s="4">
        <v>24.5</v>
      </c>
      <c r="F464" s="4">
        <v>8</v>
      </c>
      <c r="G464" s="4">
        <v>196</v>
      </c>
      <c r="H464" s="3" t="s">
        <v>15</v>
      </c>
      <c r="I464" s="3" t="s">
        <v>38</v>
      </c>
      <c r="J464" s="5">
        <v>45058</v>
      </c>
      <c r="K464" s="2" t="s">
        <v>1233</v>
      </c>
    </row>
    <row r="465" spans="1:11" x14ac:dyDescent="0.3">
      <c r="A465" s="3" t="s">
        <v>670</v>
      </c>
      <c r="B465" s="3" t="s">
        <v>77</v>
      </c>
      <c r="C465" s="3" t="s">
        <v>32</v>
      </c>
      <c r="D465" s="3" t="s">
        <v>1233</v>
      </c>
      <c r="E465" s="4">
        <v>11</v>
      </c>
      <c r="F465" s="4" t="s">
        <v>1233</v>
      </c>
      <c r="G465" s="4" t="s">
        <v>1233</v>
      </c>
      <c r="H465" s="3" t="s">
        <v>15</v>
      </c>
      <c r="I465" s="3" t="s">
        <v>16</v>
      </c>
      <c r="J465" s="5">
        <v>45520</v>
      </c>
      <c r="K465" s="2" t="s">
        <v>1233</v>
      </c>
    </row>
    <row r="466" spans="1:11" x14ac:dyDescent="0.3">
      <c r="A466" s="3" t="s">
        <v>671</v>
      </c>
      <c r="B466" s="3" t="s">
        <v>43</v>
      </c>
      <c r="C466" s="3" t="s">
        <v>28</v>
      </c>
      <c r="D466" s="3" t="s">
        <v>174</v>
      </c>
      <c r="E466" s="4">
        <v>9.5</v>
      </c>
      <c r="F466" s="4">
        <v>4</v>
      </c>
      <c r="G466" s="4">
        <v>38</v>
      </c>
      <c r="H466" s="3" t="s">
        <v>15</v>
      </c>
      <c r="I466" s="3" t="s">
        <v>38</v>
      </c>
      <c r="J466" s="5">
        <v>45458</v>
      </c>
      <c r="K466" s="2" t="s">
        <v>1233</v>
      </c>
    </row>
    <row r="467" spans="1:11" x14ac:dyDescent="0.3">
      <c r="A467" s="3" t="s">
        <v>672</v>
      </c>
      <c r="B467" s="3" t="s">
        <v>40</v>
      </c>
      <c r="C467" s="3" t="s">
        <v>13</v>
      </c>
      <c r="D467" s="3" t="s">
        <v>96</v>
      </c>
      <c r="E467" s="4">
        <v>12.5</v>
      </c>
      <c r="F467" s="4">
        <v>8</v>
      </c>
      <c r="G467" s="4">
        <v>100</v>
      </c>
      <c r="H467" s="3" t="s">
        <v>15</v>
      </c>
      <c r="I467" s="3" t="s">
        <v>38</v>
      </c>
      <c r="J467" s="5">
        <v>44625</v>
      </c>
      <c r="K467" s="2" t="b">
        <v>0</v>
      </c>
    </row>
    <row r="468" spans="1:11" x14ac:dyDescent="0.3">
      <c r="A468" s="3" t="s">
        <v>673</v>
      </c>
      <c r="B468" s="3" t="s">
        <v>43</v>
      </c>
      <c r="C468" s="3" t="s">
        <v>41</v>
      </c>
      <c r="D468" s="3" t="s">
        <v>674</v>
      </c>
      <c r="E468" s="4">
        <v>12.5</v>
      </c>
      <c r="F468" s="4">
        <v>10</v>
      </c>
      <c r="G468" s="4">
        <v>125</v>
      </c>
      <c r="H468" s="3" t="s">
        <v>25</v>
      </c>
      <c r="I468" s="3" t="s">
        <v>38</v>
      </c>
      <c r="J468" s="5">
        <v>44673</v>
      </c>
      <c r="K468" s="2" t="b">
        <v>1</v>
      </c>
    </row>
    <row r="469" spans="1:11" x14ac:dyDescent="0.3">
      <c r="A469" s="3" t="s">
        <v>675</v>
      </c>
      <c r="B469" s="3" t="s">
        <v>77</v>
      </c>
      <c r="C469" s="3" t="s">
        <v>28</v>
      </c>
      <c r="D469" s="3" t="s">
        <v>676</v>
      </c>
      <c r="E469" s="4">
        <v>39.5</v>
      </c>
      <c r="F469" s="4">
        <v>6</v>
      </c>
      <c r="G469" s="4">
        <v>237</v>
      </c>
      <c r="H469" s="3" t="s">
        <v>25</v>
      </c>
      <c r="I469" s="3" t="s">
        <v>16</v>
      </c>
      <c r="J469" s="5">
        <v>44735</v>
      </c>
      <c r="K469" s="2" t="b">
        <v>0</v>
      </c>
    </row>
    <row r="470" spans="1:11" x14ac:dyDescent="0.3">
      <c r="A470" s="3" t="s">
        <v>677</v>
      </c>
      <c r="B470" s="3" t="s">
        <v>31</v>
      </c>
      <c r="C470" s="3" t="s">
        <v>130</v>
      </c>
      <c r="D470" s="3" t="s">
        <v>293</v>
      </c>
      <c r="E470" s="4">
        <v>12.5</v>
      </c>
      <c r="F470" s="4">
        <v>1</v>
      </c>
      <c r="G470" s="4">
        <v>12.5</v>
      </c>
      <c r="H470" s="3" t="s">
        <v>15</v>
      </c>
      <c r="I470" s="3" t="s">
        <v>16</v>
      </c>
      <c r="J470" s="5">
        <v>44795</v>
      </c>
      <c r="K470" s="2" t="b">
        <v>0</v>
      </c>
    </row>
    <row r="471" spans="1:11" x14ac:dyDescent="0.3">
      <c r="A471" s="3" t="s">
        <v>678</v>
      </c>
      <c r="B471" s="3" t="s">
        <v>116</v>
      </c>
      <c r="C471" s="3" t="s">
        <v>130</v>
      </c>
      <c r="D471" s="3" t="s">
        <v>240</v>
      </c>
      <c r="E471" s="4">
        <v>35</v>
      </c>
      <c r="F471" s="4">
        <v>6</v>
      </c>
      <c r="G471" s="4">
        <v>210</v>
      </c>
      <c r="H471" s="3" t="s">
        <v>48</v>
      </c>
      <c r="I471" s="3" t="s">
        <v>16</v>
      </c>
      <c r="J471" s="5">
        <v>45574</v>
      </c>
      <c r="K471" s="2" t="s">
        <v>1233</v>
      </c>
    </row>
    <row r="472" spans="1:11" x14ac:dyDescent="0.3">
      <c r="A472" s="3" t="s">
        <v>679</v>
      </c>
      <c r="B472" s="3" t="s">
        <v>40</v>
      </c>
      <c r="C472" s="3" t="s">
        <v>19</v>
      </c>
      <c r="D472" s="3" t="s">
        <v>662</v>
      </c>
      <c r="E472" s="4">
        <v>30.5</v>
      </c>
      <c r="F472" s="4">
        <v>3</v>
      </c>
      <c r="G472" s="4">
        <v>91.5</v>
      </c>
      <c r="H472" s="3" t="s">
        <v>48</v>
      </c>
      <c r="I472" s="3" t="s">
        <v>16</v>
      </c>
      <c r="J472" s="5">
        <v>44619</v>
      </c>
      <c r="K472" s="2" t="b">
        <v>1</v>
      </c>
    </row>
    <row r="473" spans="1:11" x14ac:dyDescent="0.3">
      <c r="A473" s="3" t="s">
        <v>680</v>
      </c>
      <c r="B473" s="3" t="s">
        <v>84</v>
      </c>
      <c r="C473" s="3" t="s">
        <v>66</v>
      </c>
      <c r="D473" s="3" t="s">
        <v>349</v>
      </c>
      <c r="E473" s="4">
        <v>27.5</v>
      </c>
      <c r="F473" s="4">
        <v>5</v>
      </c>
      <c r="G473" s="4">
        <v>137.5</v>
      </c>
      <c r="H473" s="3" t="s">
        <v>15</v>
      </c>
      <c r="I473" s="3" t="s">
        <v>38</v>
      </c>
      <c r="J473" s="5">
        <v>44864</v>
      </c>
      <c r="K473" s="2" t="b">
        <v>1</v>
      </c>
    </row>
    <row r="474" spans="1:11" x14ac:dyDescent="0.3">
      <c r="A474" s="3" t="s">
        <v>681</v>
      </c>
      <c r="B474" s="3" t="s">
        <v>108</v>
      </c>
      <c r="C474" s="3" t="s">
        <v>19</v>
      </c>
      <c r="D474" s="3" t="s">
        <v>1233</v>
      </c>
      <c r="E474" s="4" t="s">
        <v>1233</v>
      </c>
      <c r="F474" s="4">
        <v>10</v>
      </c>
      <c r="G474" s="4">
        <v>95</v>
      </c>
      <c r="H474" s="3" t="s">
        <v>15</v>
      </c>
      <c r="I474" s="3" t="s">
        <v>16</v>
      </c>
      <c r="J474" s="5">
        <v>45355</v>
      </c>
      <c r="K474" s="2" t="b">
        <v>1</v>
      </c>
    </row>
    <row r="475" spans="1:11" x14ac:dyDescent="0.3">
      <c r="A475" s="3" t="s">
        <v>682</v>
      </c>
      <c r="B475" s="3" t="s">
        <v>113</v>
      </c>
      <c r="C475" s="3" t="s">
        <v>19</v>
      </c>
      <c r="D475" s="3" t="s">
        <v>683</v>
      </c>
      <c r="E475" s="4">
        <v>24.5</v>
      </c>
      <c r="F475" s="4">
        <v>10</v>
      </c>
      <c r="G475" s="4">
        <v>245</v>
      </c>
      <c r="H475" s="3" t="s">
        <v>25</v>
      </c>
      <c r="I475" s="3" t="s">
        <v>16</v>
      </c>
      <c r="J475" s="5">
        <v>45656</v>
      </c>
      <c r="K475" s="2" t="b">
        <v>1</v>
      </c>
    </row>
    <row r="476" spans="1:11" x14ac:dyDescent="0.3">
      <c r="A476" s="3" t="s">
        <v>684</v>
      </c>
      <c r="B476" s="3" t="s">
        <v>84</v>
      </c>
      <c r="C476" s="3" t="s">
        <v>32</v>
      </c>
      <c r="D476" s="3" t="s">
        <v>409</v>
      </c>
      <c r="E476" s="4">
        <v>11</v>
      </c>
      <c r="F476" s="4">
        <v>10</v>
      </c>
      <c r="G476" s="4">
        <v>110</v>
      </c>
      <c r="H476" s="3" t="s">
        <v>25</v>
      </c>
      <c r="I476" s="3" t="s">
        <v>38</v>
      </c>
      <c r="J476" s="5">
        <v>44665</v>
      </c>
      <c r="K476" s="2" t="s">
        <v>1233</v>
      </c>
    </row>
    <row r="477" spans="1:11" x14ac:dyDescent="0.3">
      <c r="A477" s="3" t="s">
        <v>685</v>
      </c>
      <c r="B477" s="3" t="s">
        <v>123</v>
      </c>
      <c r="C477" s="3" t="s">
        <v>41</v>
      </c>
      <c r="D477" s="3" t="s">
        <v>190</v>
      </c>
      <c r="E477" s="4">
        <v>20</v>
      </c>
      <c r="F477" s="4">
        <v>3</v>
      </c>
      <c r="G477" s="4">
        <v>60</v>
      </c>
      <c r="H477" s="3" t="s">
        <v>15</v>
      </c>
      <c r="I477" s="3" t="s">
        <v>16</v>
      </c>
      <c r="J477" s="5">
        <v>45376</v>
      </c>
      <c r="K477" s="2" t="b">
        <v>0</v>
      </c>
    </row>
    <row r="478" spans="1:11" x14ac:dyDescent="0.3">
      <c r="A478" s="3" t="s">
        <v>686</v>
      </c>
      <c r="B478" s="3" t="s">
        <v>74</v>
      </c>
      <c r="C478" s="3" t="s">
        <v>13</v>
      </c>
      <c r="D478" s="3" t="s">
        <v>503</v>
      </c>
      <c r="E478" s="4">
        <v>33.5</v>
      </c>
      <c r="F478" s="4">
        <v>4</v>
      </c>
      <c r="G478" s="4">
        <v>134</v>
      </c>
      <c r="H478" s="3" t="s">
        <v>48</v>
      </c>
      <c r="I478" s="3" t="s">
        <v>16</v>
      </c>
      <c r="J478" s="5">
        <v>45017</v>
      </c>
      <c r="K478" s="2" t="b">
        <v>0</v>
      </c>
    </row>
    <row r="479" spans="1:11" x14ac:dyDescent="0.3">
      <c r="A479" s="3" t="s">
        <v>687</v>
      </c>
      <c r="B479" s="3" t="s">
        <v>12</v>
      </c>
      <c r="C479" s="3" t="s">
        <v>66</v>
      </c>
      <c r="D479" s="3" t="s">
        <v>369</v>
      </c>
      <c r="E479" s="4">
        <v>36.5</v>
      </c>
      <c r="F479" s="4">
        <v>6</v>
      </c>
      <c r="G479" s="4">
        <v>219</v>
      </c>
      <c r="H479" s="3" t="s">
        <v>48</v>
      </c>
      <c r="I479" s="3" t="s">
        <v>38</v>
      </c>
      <c r="J479" s="5">
        <v>45053</v>
      </c>
      <c r="K479" s="2" t="b">
        <v>0</v>
      </c>
    </row>
    <row r="480" spans="1:11" x14ac:dyDescent="0.3">
      <c r="A480" s="3" t="s">
        <v>688</v>
      </c>
      <c r="B480" s="3" t="s">
        <v>89</v>
      </c>
      <c r="C480" s="3" t="s">
        <v>28</v>
      </c>
      <c r="D480" s="3" t="s">
        <v>258</v>
      </c>
      <c r="E480" s="4">
        <v>33.5</v>
      </c>
      <c r="F480" s="4">
        <v>1</v>
      </c>
      <c r="G480" s="4">
        <v>33.5</v>
      </c>
      <c r="H480" s="3" t="s">
        <v>25</v>
      </c>
      <c r="I480" s="3" t="s">
        <v>38</v>
      </c>
      <c r="J480" s="5">
        <v>45430</v>
      </c>
      <c r="K480" s="2" t="b">
        <v>1</v>
      </c>
    </row>
    <row r="481" spans="1:11" x14ac:dyDescent="0.3">
      <c r="A481" s="3" t="s">
        <v>689</v>
      </c>
      <c r="B481" s="3" t="s">
        <v>77</v>
      </c>
      <c r="C481" s="3" t="s">
        <v>32</v>
      </c>
      <c r="D481" s="3" t="s">
        <v>33</v>
      </c>
      <c r="E481" s="4">
        <v>12.5</v>
      </c>
      <c r="F481" s="4">
        <v>2</v>
      </c>
      <c r="G481" s="4">
        <v>25</v>
      </c>
      <c r="H481" s="3" t="s">
        <v>15</v>
      </c>
      <c r="I481" s="3" t="s">
        <v>38</v>
      </c>
      <c r="J481" s="5">
        <v>44810</v>
      </c>
      <c r="K481" s="2" t="b">
        <v>0</v>
      </c>
    </row>
    <row r="482" spans="1:11" x14ac:dyDescent="0.3">
      <c r="A482" s="3" t="s">
        <v>690</v>
      </c>
      <c r="B482" s="3" t="s">
        <v>18</v>
      </c>
      <c r="C482" s="3" t="s">
        <v>66</v>
      </c>
      <c r="D482" s="3" t="s">
        <v>101</v>
      </c>
      <c r="E482" s="4">
        <v>35</v>
      </c>
      <c r="F482" s="4">
        <v>9</v>
      </c>
      <c r="G482" s="4">
        <v>315</v>
      </c>
      <c r="H482" s="3" t="s">
        <v>48</v>
      </c>
      <c r="I482" s="3" t="s">
        <v>16</v>
      </c>
      <c r="J482" s="5">
        <v>44724</v>
      </c>
      <c r="K482" s="2" t="b">
        <v>0</v>
      </c>
    </row>
    <row r="483" spans="1:11" x14ac:dyDescent="0.3">
      <c r="A483" s="3" t="s">
        <v>691</v>
      </c>
      <c r="B483" s="3" t="s">
        <v>12</v>
      </c>
      <c r="C483" s="3" t="s">
        <v>41</v>
      </c>
      <c r="D483" s="3" t="s">
        <v>233</v>
      </c>
      <c r="E483" s="4">
        <v>11</v>
      </c>
      <c r="F483" s="4">
        <v>4</v>
      </c>
      <c r="G483" s="4">
        <v>44</v>
      </c>
      <c r="H483" s="3" t="s">
        <v>25</v>
      </c>
      <c r="I483" s="3" t="s">
        <v>38</v>
      </c>
      <c r="J483" s="5">
        <v>45365</v>
      </c>
      <c r="K483" s="2" t="b">
        <v>1</v>
      </c>
    </row>
    <row r="484" spans="1:11" x14ac:dyDescent="0.3">
      <c r="A484" s="3" t="s">
        <v>692</v>
      </c>
      <c r="B484" s="3" t="s">
        <v>80</v>
      </c>
      <c r="C484" s="3" t="s">
        <v>13</v>
      </c>
      <c r="D484" s="3" t="s">
        <v>509</v>
      </c>
      <c r="E484" s="4">
        <v>17</v>
      </c>
      <c r="F484" s="4">
        <v>8</v>
      </c>
      <c r="G484" s="4">
        <v>136</v>
      </c>
      <c r="H484" s="3" t="s">
        <v>15</v>
      </c>
      <c r="I484" s="3" t="s">
        <v>38</v>
      </c>
      <c r="J484" s="5">
        <v>44899</v>
      </c>
      <c r="K484" s="2" t="b">
        <v>0</v>
      </c>
    </row>
    <row r="485" spans="1:11" x14ac:dyDescent="0.3">
      <c r="A485" s="3" t="s">
        <v>693</v>
      </c>
      <c r="B485" s="3" t="s">
        <v>63</v>
      </c>
      <c r="C485" s="3" t="s">
        <v>19</v>
      </c>
      <c r="D485" s="3" t="s">
        <v>553</v>
      </c>
      <c r="E485" s="4">
        <v>36.5</v>
      </c>
      <c r="F485" s="4">
        <v>8</v>
      </c>
      <c r="G485" s="4">
        <v>292</v>
      </c>
      <c r="H485" s="3" t="s">
        <v>25</v>
      </c>
      <c r="I485" s="3" t="s">
        <v>16</v>
      </c>
      <c r="J485" s="5">
        <v>45235</v>
      </c>
      <c r="K485" s="2" t="s">
        <v>1233</v>
      </c>
    </row>
    <row r="486" spans="1:11" x14ac:dyDescent="0.3">
      <c r="A486" s="3" t="s">
        <v>694</v>
      </c>
      <c r="B486" s="3" t="s">
        <v>18</v>
      </c>
      <c r="C486" s="3" t="s">
        <v>32</v>
      </c>
      <c r="D486" s="3" t="s">
        <v>498</v>
      </c>
      <c r="E486" s="4">
        <v>29</v>
      </c>
      <c r="F486" s="4">
        <v>1</v>
      </c>
      <c r="G486" s="4">
        <v>29</v>
      </c>
      <c r="H486" s="3" t="s">
        <v>48</v>
      </c>
      <c r="I486" s="3" t="s">
        <v>16</v>
      </c>
      <c r="J486" s="5">
        <v>45483</v>
      </c>
      <c r="K486" s="2" t="b">
        <v>0</v>
      </c>
    </row>
    <row r="487" spans="1:11" x14ac:dyDescent="0.3">
      <c r="A487" s="3" t="s">
        <v>695</v>
      </c>
      <c r="B487" s="3" t="s">
        <v>31</v>
      </c>
      <c r="C487" s="3" t="s">
        <v>66</v>
      </c>
      <c r="D487" s="3" t="s">
        <v>352</v>
      </c>
      <c r="E487" s="4">
        <v>38</v>
      </c>
      <c r="F487" s="4">
        <v>10</v>
      </c>
      <c r="G487" s="4">
        <v>380</v>
      </c>
      <c r="H487" s="3" t="s">
        <v>15</v>
      </c>
      <c r="I487" s="3" t="s">
        <v>38</v>
      </c>
      <c r="J487" s="5">
        <v>44791</v>
      </c>
      <c r="K487" s="2" t="b">
        <v>0</v>
      </c>
    </row>
    <row r="488" spans="1:11" x14ac:dyDescent="0.3">
      <c r="A488" s="3" t="s">
        <v>696</v>
      </c>
      <c r="B488" s="3" t="s">
        <v>40</v>
      </c>
      <c r="C488" s="3" t="s">
        <v>41</v>
      </c>
      <c r="D488" s="3" t="s">
        <v>295</v>
      </c>
      <c r="E488" s="4">
        <v>6.5</v>
      </c>
      <c r="F488" s="4">
        <v>9</v>
      </c>
      <c r="G488" s="4">
        <v>58.5</v>
      </c>
      <c r="H488" s="3" t="s">
        <v>15</v>
      </c>
      <c r="I488" s="3" t="s">
        <v>16</v>
      </c>
      <c r="J488" s="5">
        <v>45119</v>
      </c>
      <c r="K488" s="2" t="b">
        <v>0</v>
      </c>
    </row>
    <row r="489" spans="1:11" x14ac:dyDescent="0.3">
      <c r="A489" s="3" t="s">
        <v>697</v>
      </c>
      <c r="B489" s="3" t="s">
        <v>31</v>
      </c>
      <c r="C489" s="3" t="s">
        <v>66</v>
      </c>
      <c r="D489" s="3" t="s">
        <v>322</v>
      </c>
      <c r="E489" s="4">
        <v>32</v>
      </c>
      <c r="F489" s="4">
        <v>2</v>
      </c>
      <c r="G489" s="4">
        <v>64</v>
      </c>
      <c r="H489" s="3" t="s">
        <v>48</v>
      </c>
      <c r="I489" s="3" t="s">
        <v>38</v>
      </c>
      <c r="J489" s="5">
        <v>44965</v>
      </c>
      <c r="K489" s="2" t="b">
        <v>1</v>
      </c>
    </row>
    <row r="490" spans="1:11" x14ac:dyDescent="0.3">
      <c r="A490" s="3" t="s">
        <v>698</v>
      </c>
      <c r="B490" s="3" t="s">
        <v>74</v>
      </c>
      <c r="C490" s="3" t="s">
        <v>19</v>
      </c>
      <c r="D490" s="3" t="s">
        <v>20</v>
      </c>
      <c r="E490" s="4">
        <v>29</v>
      </c>
      <c r="F490" s="4">
        <v>5</v>
      </c>
      <c r="G490" s="4">
        <v>145</v>
      </c>
      <c r="H490" s="3" t="s">
        <v>48</v>
      </c>
      <c r="I490" s="3" t="s">
        <v>38</v>
      </c>
      <c r="J490" s="5">
        <v>44585</v>
      </c>
      <c r="K490" s="2" t="b">
        <v>0</v>
      </c>
    </row>
    <row r="491" spans="1:11" x14ac:dyDescent="0.3">
      <c r="A491" s="3" t="s">
        <v>699</v>
      </c>
      <c r="B491" s="3" t="s">
        <v>168</v>
      </c>
      <c r="C491" s="3" t="s">
        <v>32</v>
      </c>
      <c r="D491" s="3" t="s">
        <v>365</v>
      </c>
      <c r="E491" s="4">
        <v>41</v>
      </c>
      <c r="F491" s="4">
        <v>3</v>
      </c>
      <c r="G491" s="4">
        <v>123</v>
      </c>
      <c r="H491" s="3" t="s">
        <v>48</v>
      </c>
      <c r="I491" s="3" t="s">
        <v>16</v>
      </c>
      <c r="J491" s="5">
        <v>45287</v>
      </c>
      <c r="K491" s="2" t="b">
        <v>1</v>
      </c>
    </row>
    <row r="492" spans="1:11" x14ac:dyDescent="0.3">
      <c r="A492" s="3" t="s">
        <v>700</v>
      </c>
      <c r="B492" s="3" t="s">
        <v>168</v>
      </c>
      <c r="C492" s="3" t="s">
        <v>130</v>
      </c>
      <c r="D492" s="3" t="s">
        <v>293</v>
      </c>
      <c r="E492" s="4">
        <v>12.5</v>
      </c>
      <c r="F492" s="4">
        <v>5</v>
      </c>
      <c r="G492" s="4">
        <v>62.5</v>
      </c>
      <c r="H492" s="3" t="s">
        <v>25</v>
      </c>
      <c r="I492" s="3" t="s">
        <v>16</v>
      </c>
      <c r="J492" s="5">
        <v>45224</v>
      </c>
      <c r="K492" s="2" t="b">
        <v>1</v>
      </c>
    </row>
    <row r="493" spans="1:11" x14ac:dyDescent="0.3">
      <c r="A493" s="3" t="s">
        <v>701</v>
      </c>
      <c r="B493" s="3" t="s">
        <v>168</v>
      </c>
      <c r="C493" s="3" t="s">
        <v>41</v>
      </c>
      <c r="D493" s="3" t="s">
        <v>295</v>
      </c>
      <c r="E493" s="4">
        <v>6.5</v>
      </c>
      <c r="F493" s="4">
        <v>1</v>
      </c>
      <c r="G493" s="4">
        <v>6.5</v>
      </c>
      <c r="H493" s="3" t="s">
        <v>48</v>
      </c>
      <c r="I493" s="3" t="s">
        <v>16</v>
      </c>
      <c r="J493" s="5">
        <v>45110</v>
      </c>
      <c r="K493" s="2" t="s">
        <v>1233</v>
      </c>
    </row>
    <row r="494" spans="1:11" x14ac:dyDescent="0.3">
      <c r="A494" s="3" t="s">
        <v>702</v>
      </c>
      <c r="B494" s="3" t="s">
        <v>43</v>
      </c>
      <c r="C494" s="3" t="s">
        <v>32</v>
      </c>
      <c r="D494" s="3" t="s">
        <v>160</v>
      </c>
      <c r="E494" s="4">
        <v>36.5</v>
      </c>
      <c r="F494" s="4">
        <v>1</v>
      </c>
      <c r="G494" s="4">
        <v>36.5</v>
      </c>
      <c r="H494" s="3" t="s">
        <v>48</v>
      </c>
      <c r="I494" s="3" t="s">
        <v>16</v>
      </c>
      <c r="J494" s="5">
        <v>44742</v>
      </c>
      <c r="K494" s="2" t="b">
        <v>1</v>
      </c>
    </row>
    <row r="495" spans="1:11" x14ac:dyDescent="0.3">
      <c r="A495" s="3" t="s">
        <v>703</v>
      </c>
      <c r="B495" s="3" t="s">
        <v>36</v>
      </c>
      <c r="C495" s="3" t="s">
        <v>41</v>
      </c>
      <c r="D495" s="3" t="s">
        <v>1233</v>
      </c>
      <c r="E495" s="4">
        <v>33.5</v>
      </c>
      <c r="F495" s="4" t="s">
        <v>1233</v>
      </c>
      <c r="G495" s="4" t="s">
        <v>1233</v>
      </c>
      <c r="H495" s="3" t="s">
        <v>15</v>
      </c>
      <c r="I495" s="3" t="s">
        <v>38</v>
      </c>
      <c r="J495" s="5">
        <v>44981</v>
      </c>
      <c r="K495" s="2" t="s">
        <v>1233</v>
      </c>
    </row>
    <row r="496" spans="1:11" x14ac:dyDescent="0.3">
      <c r="A496" s="3" t="s">
        <v>704</v>
      </c>
      <c r="B496" s="3" t="s">
        <v>116</v>
      </c>
      <c r="C496" s="3" t="s">
        <v>13</v>
      </c>
      <c r="D496" s="3" t="s">
        <v>166</v>
      </c>
      <c r="E496" s="4">
        <v>21.5</v>
      </c>
      <c r="F496" s="4">
        <v>5</v>
      </c>
      <c r="G496" s="4">
        <v>107.5</v>
      </c>
      <c r="H496" s="3" t="s">
        <v>15</v>
      </c>
      <c r="I496" s="3" t="s">
        <v>16</v>
      </c>
      <c r="J496" s="5">
        <v>45060</v>
      </c>
      <c r="K496" s="2" t="b">
        <v>1</v>
      </c>
    </row>
    <row r="497" spans="1:11" x14ac:dyDescent="0.3">
      <c r="A497" s="3" t="s">
        <v>705</v>
      </c>
      <c r="B497" s="3" t="s">
        <v>100</v>
      </c>
      <c r="C497" s="3" t="s">
        <v>28</v>
      </c>
      <c r="D497" s="3" t="s">
        <v>268</v>
      </c>
      <c r="E497" s="4">
        <v>12.5</v>
      </c>
      <c r="F497" s="4">
        <v>8</v>
      </c>
      <c r="G497" s="4">
        <v>100</v>
      </c>
      <c r="H497" s="3" t="s">
        <v>25</v>
      </c>
      <c r="I497" s="3" t="s">
        <v>16</v>
      </c>
      <c r="J497" s="5">
        <v>45355</v>
      </c>
      <c r="K497" s="2" t="b">
        <v>0</v>
      </c>
    </row>
    <row r="498" spans="1:11" x14ac:dyDescent="0.3">
      <c r="A498" s="3" t="s">
        <v>706</v>
      </c>
      <c r="B498" s="3" t="s">
        <v>89</v>
      </c>
      <c r="C498" s="3" t="s">
        <v>130</v>
      </c>
      <c r="D498" s="3" t="s">
        <v>335</v>
      </c>
      <c r="E498" s="4">
        <v>20</v>
      </c>
      <c r="F498" s="4">
        <v>4</v>
      </c>
      <c r="G498" s="4">
        <v>80</v>
      </c>
      <c r="H498" s="3" t="s">
        <v>25</v>
      </c>
      <c r="I498" s="3" t="s">
        <v>16</v>
      </c>
      <c r="J498" s="5">
        <v>45018</v>
      </c>
      <c r="K498" s="2" t="b">
        <v>0</v>
      </c>
    </row>
    <row r="499" spans="1:11" x14ac:dyDescent="0.3">
      <c r="A499" s="3" t="s">
        <v>707</v>
      </c>
      <c r="B499" s="3" t="s">
        <v>89</v>
      </c>
      <c r="C499" s="3" t="s">
        <v>19</v>
      </c>
      <c r="D499" s="3" t="s">
        <v>271</v>
      </c>
      <c r="E499" s="4">
        <v>5</v>
      </c>
      <c r="F499" s="4">
        <v>6</v>
      </c>
      <c r="G499" s="4">
        <v>30</v>
      </c>
      <c r="H499" s="3" t="s">
        <v>25</v>
      </c>
      <c r="I499" s="3" t="s">
        <v>16</v>
      </c>
      <c r="J499" s="5">
        <v>44711</v>
      </c>
      <c r="K499" s="2" t="b">
        <v>1</v>
      </c>
    </row>
    <row r="500" spans="1:11" x14ac:dyDescent="0.3">
      <c r="A500" s="3" t="s">
        <v>708</v>
      </c>
      <c r="B500" s="3" t="s">
        <v>65</v>
      </c>
      <c r="C500" s="3" t="s">
        <v>41</v>
      </c>
      <c r="D500" s="3" t="s">
        <v>709</v>
      </c>
      <c r="E500" s="4">
        <v>21.5</v>
      </c>
      <c r="F500" s="4">
        <v>8</v>
      </c>
      <c r="G500" s="4">
        <v>172</v>
      </c>
      <c r="H500" s="3" t="s">
        <v>48</v>
      </c>
      <c r="I500" s="3" t="s">
        <v>16</v>
      </c>
      <c r="J500" s="5">
        <v>45575</v>
      </c>
      <c r="K500" s="2" t="b">
        <v>1</v>
      </c>
    </row>
    <row r="501" spans="1:11" x14ac:dyDescent="0.3">
      <c r="A501" s="3" t="s">
        <v>710</v>
      </c>
      <c r="B501" s="3" t="s">
        <v>46</v>
      </c>
      <c r="C501" s="3" t="s">
        <v>32</v>
      </c>
      <c r="D501" s="3" t="s">
        <v>482</v>
      </c>
      <c r="E501" s="4">
        <v>23</v>
      </c>
      <c r="F501" s="4">
        <v>2</v>
      </c>
      <c r="G501" s="4">
        <v>46</v>
      </c>
      <c r="H501" s="3" t="s">
        <v>15</v>
      </c>
      <c r="I501" s="3" t="s">
        <v>38</v>
      </c>
      <c r="J501" s="5">
        <v>44848</v>
      </c>
      <c r="K501" s="2" t="b">
        <v>0</v>
      </c>
    </row>
    <row r="502" spans="1:11" x14ac:dyDescent="0.3">
      <c r="A502" s="3" t="s">
        <v>711</v>
      </c>
      <c r="B502" s="3" t="s">
        <v>40</v>
      </c>
      <c r="C502" s="3" t="s">
        <v>23</v>
      </c>
      <c r="D502" s="3" t="s">
        <v>551</v>
      </c>
      <c r="E502" s="4">
        <v>11</v>
      </c>
      <c r="F502" s="4">
        <v>5</v>
      </c>
      <c r="G502" s="4">
        <v>55</v>
      </c>
      <c r="H502" s="3" t="s">
        <v>15</v>
      </c>
      <c r="I502" s="3" t="s">
        <v>38</v>
      </c>
      <c r="J502" s="5">
        <v>44851</v>
      </c>
      <c r="K502" s="2" t="b">
        <v>1</v>
      </c>
    </row>
    <row r="503" spans="1:11" x14ac:dyDescent="0.3">
      <c r="A503" s="3" t="s">
        <v>712</v>
      </c>
      <c r="B503" s="3" t="s">
        <v>18</v>
      </c>
      <c r="C503" s="3" t="s">
        <v>19</v>
      </c>
      <c r="D503" s="3" t="s">
        <v>1233</v>
      </c>
      <c r="E503" s="4" t="s">
        <v>1233</v>
      </c>
      <c r="F503" s="4">
        <v>2</v>
      </c>
      <c r="G503" s="4">
        <v>61</v>
      </c>
      <c r="H503" s="3" t="s">
        <v>15</v>
      </c>
      <c r="I503" s="3" t="s">
        <v>16</v>
      </c>
      <c r="J503" s="5">
        <v>45278</v>
      </c>
      <c r="K503" s="2" t="b">
        <v>0</v>
      </c>
    </row>
    <row r="504" spans="1:11" x14ac:dyDescent="0.3">
      <c r="A504" s="3" t="s">
        <v>713</v>
      </c>
      <c r="B504" s="3" t="s">
        <v>43</v>
      </c>
      <c r="C504" s="3" t="s">
        <v>13</v>
      </c>
      <c r="D504" s="3" t="s">
        <v>585</v>
      </c>
      <c r="E504" s="4">
        <v>6.5</v>
      </c>
      <c r="F504" s="4">
        <v>10</v>
      </c>
      <c r="G504" s="4">
        <v>65</v>
      </c>
      <c r="H504" s="3" t="s">
        <v>25</v>
      </c>
      <c r="I504" s="3" t="s">
        <v>16</v>
      </c>
      <c r="J504" s="5">
        <v>45462</v>
      </c>
      <c r="K504" s="2" t="s">
        <v>1233</v>
      </c>
    </row>
    <row r="505" spans="1:11" x14ac:dyDescent="0.3">
      <c r="A505" s="3" t="s">
        <v>714</v>
      </c>
      <c r="B505" s="3" t="s">
        <v>100</v>
      </c>
      <c r="C505" s="3" t="s">
        <v>28</v>
      </c>
      <c r="D505" s="3" t="s">
        <v>29</v>
      </c>
      <c r="E505" s="4">
        <v>27.5</v>
      </c>
      <c r="F505" s="4">
        <v>2</v>
      </c>
      <c r="G505" s="4">
        <v>55</v>
      </c>
      <c r="H505" s="3" t="s">
        <v>25</v>
      </c>
      <c r="I505" s="3" t="s">
        <v>38</v>
      </c>
      <c r="J505" s="5">
        <v>45170</v>
      </c>
      <c r="K505" s="2" t="b">
        <v>1</v>
      </c>
    </row>
    <row r="506" spans="1:11" x14ac:dyDescent="0.3">
      <c r="A506" s="3" t="s">
        <v>715</v>
      </c>
      <c r="B506" s="3" t="s">
        <v>84</v>
      </c>
      <c r="C506" s="3" t="s">
        <v>41</v>
      </c>
      <c r="D506" s="3" t="s">
        <v>610</v>
      </c>
      <c r="E506" s="4">
        <v>17</v>
      </c>
      <c r="F506" s="4">
        <v>9</v>
      </c>
      <c r="G506" s="4">
        <v>153</v>
      </c>
      <c r="H506" s="3" t="s">
        <v>15</v>
      </c>
      <c r="I506" s="3" t="s">
        <v>38</v>
      </c>
      <c r="J506" s="5">
        <v>45377</v>
      </c>
      <c r="K506" s="2" t="b">
        <v>0</v>
      </c>
    </row>
    <row r="507" spans="1:11" x14ac:dyDescent="0.3">
      <c r="A507" s="3" t="s">
        <v>716</v>
      </c>
      <c r="B507" s="3" t="s">
        <v>55</v>
      </c>
      <c r="C507" s="3" t="s">
        <v>28</v>
      </c>
      <c r="D507" s="3" t="s">
        <v>205</v>
      </c>
      <c r="E507" s="4">
        <v>24.5</v>
      </c>
      <c r="F507" s="4">
        <v>10</v>
      </c>
      <c r="G507" s="4">
        <v>245</v>
      </c>
      <c r="H507" s="3" t="s">
        <v>15</v>
      </c>
      <c r="I507" s="3" t="s">
        <v>16</v>
      </c>
      <c r="J507" s="5">
        <v>45449</v>
      </c>
      <c r="K507" s="2" t="b">
        <v>0</v>
      </c>
    </row>
    <row r="508" spans="1:11" x14ac:dyDescent="0.3">
      <c r="A508" s="3" t="s">
        <v>717</v>
      </c>
      <c r="B508" s="3" t="s">
        <v>123</v>
      </c>
      <c r="C508" s="3" t="s">
        <v>41</v>
      </c>
      <c r="D508" s="3" t="s">
        <v>342</v>
      </c>
      <c r="E508" s="4">
        <v>29</v>
      </c>
      <c r="F508" s="4">
        <v>1</v>
      </c>
      <c r="G508" s="4">
        <v>29</v>
      </c>
      <c r="H508" s="3" t="s">
        <v>48</v>
      </c>
      <c r="I508" s="3" t="s">
        <v>38</v>
      </c>
      <c r="J508" s="5">
        <v>44605</v>
      </c>
      <c r="K508" s="2" t="b">
        <v>1</v>
      </c>
    </row>
    <row r="509" spans="1:11" x14ac:dyDescent="0.3">
      <c r="A509" s="3" t="s">
        <v>718</v>
      </c>
      <c r="B509" s="3" t="s">
        <v>98</v>
      </c>
      <c r="C509" s="3" t="s">
        <v>66</v>
      </c>
      <c r="D509" s="3" t="s">
        <v>101</v>
      </c>
      <c r="E509" s="4">
        <v>35</v>
      </c>
      <c r="F509" s="4">
        <v>6</v>
      </c>
      <c r="G509" s="4">
        <v>210</v>
      </c>
      <c r="H509" s="3" t="s">
        <v>48</v>
      </c>
      <c r="I509" s="3" t="s">
        <v>38</v>
      </c>
      <c r="J509" s="5">
        <v>45293</v>
      </c>
      <c r="K509" s="2" t="b">
        <v>0</v>
      </c>
    </row>
    <row r="510" spans="1:11" x14ac:dyDescent="0.3">
      <c r="A510" s="3" t="s">
        <v>719</v>
      </c>
      <c r="B510" s="3" t="s">
        <v>84</v>
      </c>
      <c r="C510" s="3" t="s">
        <v>19</v>
      </c>
      <c r="D510" s="3" t="s">
        <v>287</v>
      </c>
      <c r="E510" s="4">
        <v>20</v>
      </c>
      <c r="F510" s="4">
        <v>4</v>
      </c>
      <c r="G510" s="4">
        <v>80</v>
      </c>
      <c r="H510" s="3" t="s">
        <v>15</v>
      </c>
      <c r="I510" s="3" t="s">
        <v>16</v>
      </c>
      <c r="J510" s="5">
        <v>44703</v>
      </c>
      <c r="K510" s="2" t="b">
        <v>0</v>
      </c>
    </row>
    <row r="511" spans="1:11" x14ac:dyDescent="0.3">
      <c r="A511" s="3" t="s">
        <v>720</v>
      </c>
      <c r="B511" s="3" t="s">
        <v>80</v>
      </c>
      <c r="C511" s="3" t="s">
        <v>19</v>
      </c>
      <c r="D511" s="3" t="s">
        <v>540</v>
      </c>
      <c r="E511" s="4">
        <v>23</v>
      </c>
      <c r="F511" s="4">
        <v>6</v>
      </c>
      <c r="G511" s="4">
        <v>138</v>
      </c>
      <c r="H511" s="3" t="s">
        <v>25</v>
      </c>
      <c r="I511" s="3" t="s">
        <v>16</v>
      </c>
      <c r="J511" s="5">
        <v>44816</v>
      </c>
      <c r="K511" s="2" t="s">
        <v>1233</v>
      </c>
    </row>
    <row r="512" spans="1:11" x14ac:dyDescent="0.3">
      <c r="A512" s="3" t="s">
        <v>721</v>
      </c>
      <c r="B512" s="3" t="s">
        <v>12</v>
      </c>
      <c r="C512" s="3" t="s">
        <v>41</v>
      </c>
      <c r="D512" s="3" t="s">
        <v>190</v>
      </c>
      <c r="E512" s="4">
        <v>20</v>
      </c>
      <c r="F512" s="4">
        <v>3</v>
      </c>
      <c r="G512" s="4">
        <v>60</v>
      </c>
      <c r="H512" s="3" t="s">
        <v>25</v>
      </c>
      <c r="I512" s="3" t="s">
        <v>16</v>
      </c>
      <c r="J512" s="5">
        <v>44719</v>
      </c>
      <c r="K512" s="2" t="b">
        <v>0</v>
      </c>
    </row>
    <row r="513" spans="1:11" x14ac:dyDescent="0.3">
      <c r="A513" s="3" t="s">
        <v>722</v>
      </c>
      <c r="B513" s="3" t="s">
        <v>27</v>
      </c>
      <c r="C513" s="3" t="s">
        <v>66</v>
      </c>
      <c r="D513" s="3" t="s">
        <v>75</v>
      </c>
      <c r="E513" s="4">
        <v>9.5</v>
      </c>
      <c r="F513" s="4">
        <v>10</v>
      </c>
      <c r="G513" s="4">
        <v>95</v>
      </c>
      <c r="H513" s="3" t="s">
        <v>48</v>
      </c>
      <c r="I513" s="3" t="s">
        <v>38</v>
      </c>
      <c r="J513" s="5">
        <v>45470</v>
      </c>
      <c r="K513" s="2" t="b">
        <v>1</v>
      </c>
    </row>
    <row r="514" spans="1:11" x14ac:dyDescent="0.3">
      <c r="A514" s="3" t="s">
        <v>723</v>
      </c>
      <c r="B514" s="3" t="s">
        <v>89</v>
      </c>
      <c r="C514" s="3" t="s">
        <v>41</v>
      </c>
      <c r="D514" s="3" t="s">
        <v>199</v>
      </c>
      <c r="E514" s="4">
        <v>39.5</v>
      </c>
      <c r="F514" s="4">
        <v>2</v>
      </c>
      <c r="G514" s="4">
        <v>79</v>
      </c>
      <c r="H514" s="3" t="s">
        <v>25</v>
      </c>
      <c r="I514" s="3" t="s">
        <v>16</v>
      </c>
      <c r="J514" s="5">
        <v>45165</v>
      </c>
      <c r="K514" s="2" t="b">
        <v>0</v>
      </c>
    </row>
    <row r="515" spans="1:11" x14ac:dyDescent="0.3">
      <c r="A515" s="3" t="s">
        <v>724</v>
      </c>
      <c r="B515" s="3" t="s">
        <v>22</v>
      </c>
      <c r="C515" s="3" t="s">
        <v>130</v>
      </c>
      <c r="D515" s="3" t="s">
        <v>149</v>
      </c>
      <c r="E515" s="4">
        <v>26</v>
      </c>
      <c r="F515" s="4">
        <v>3</v>
      </c>
      <c r="G515" s="4">
        <v>78</v>
      </c>
      <c r="H515" s="3" t="s">
        <v>25</v>
      </c>
      <c r="I515" s="3" t="s">
        <v>16</v>
      </c>
      <c r="J515" s="5">
        <v>45040</v>
      </c>
      <c r="K515" s="2" t="b">
        <v>1</v>
      </c>
    </row>
    <row r="516" spans="1:11" x14ac:dyDescent="0.3">
      <c r="A516" s="3" t="s">
        <v>725</v>
      </c>
      <c r="B516" s="3" t="s">
        <v>77</v>
      </c>
      <c r="C516" s="3" t="s">
        <v>41</v>
      </c>
      <c r="D516" s="3" t="s">
        <v>556</v>
      </c>
      <c r="E516" s="4">
        <v>9.5</v>
      </c>
      <c r="F516" s="4">
        <v>4</v>
      </c>
      <c r="G516" s="4">
        <v>38</v>
      </c>
      <c r="H516" s="3" t="s">
        <v>48</v>
      </c>
      <c r="I516" s="3" t="s">
        <v>16</v>
      </c>
      <c r="J516" s="5">
        <v>45316</v>
      </c>
      <c r="K516" s="2" t="b">
        <v>1</v>
      </c>
    </row>
    <row r="517" spans="1:11" x14ac:dyDescent="0.3">
      <c r="A517" s="3" t="s">
        <v>726</v>
      </c>
      <c r="B517" s="3" t="s">
        <v>113</v>
      </c>
      <c r="C517" s="3" t="s">
        <v>28</v>
      </c>
      <c r="D517" s="3" t="s">
        <v>727</v>
      </c>
      <c r="E517" s="4">
        <v>30.5</v>
      </c>
      <c r="F517" s="4">
        <v>10</v>
      </c>
      <c r="G517" s="4">
        <v>305</v>
      </c>
      <c r="H517" s="3" t="s">
        <v>48</v>
      </c>
      <c r="I517" s="3" t="s">
        <v>16</v>
      </c>
      <c r="J517" s="5">
        <v>44925</v>
      </c>
      <c r="K517" s="2" t="b">
        <v>0</v>
      </c>
    </row>
    <row r="518" spans="1:11" x14ac:dyDescent="0.3">
      <c r="A518" s="3" t="s">
        <v>728</v>
      </c>
      <c r="B518" s="3" t="s">
        <v>123</v>
      </c>
      <c r="C518" s="3" t="s">
        <v>41</v>
      </c>
      <c r="D518" s="3" t="s">
        <v>674</v>
      </c>
      <c r="E518" s="4">
        <v>12.5</v>
      </c>
      <c r="F518" s="4">
        <v>3</v>
      </c>
      <c r="G518" s="4">
        <v>37.5</v>
      </c>
      <c r="H518" s="3" t="s">
        <v>25</v>
      </c>
      <c r="I518" s="3" t="s">
        <v>16</v>
      </c>
      <c r="J518" s="5">
        <v>44688</v>
      </c>
      <c r="K518" s="2" t="s">
        <v>1233</v>
      </c>
    </row>
    <row r="519" spans="1:11" x14ac:dyDescent="0.3">
      <c r="A519" s="3" t="s">
        <v>729</v>
      </c>
      <c r="B519" s="3" t="s">
        <v>27</v>
      </c>
      <c r="C519" s="3" t="s">
        <v>19</v>
      </c>
      <c r="D519" s="3" t="s">
        <v>488</v>
      </c>
      <c r="E519" s="4">
        <v>17</v>
      </c>
      <c r="F519" s="4">
        <v>3</v>
      </c>
      <c r="G519" s="4">
        <v>51</v>
      </c>
      <c r="H519" s="3" t="s">
        <v>48</v>
      </c>
      <c r="I519" s="3" t="s">
        <v>38</v>
      </c>
      <c r="J519" s="5">
        <v>45246</v>
      </c>
      <c r="K519" s="2" t="s">
        <v>1233</v>
      </c>
    </row>
    <row r="520" spans="1:11" x14ac:dyDescent="0.3">
      <c r="A520" s="3" t="s">
        <v>730</v>
      </c>
      <c r="B520" s="3" t="s">
        <v>18</v>
      </c>
      <c r="C520" s="3" t="s">
        <v>28</v>
      </c>
      <c r="D520" s="3" t="s">
        <v>252</v>
      </c>
      <c r="E520" s="4">
        <v>38</v>
      </c>
      <c r="F520" s="4">
        <v>1</v>
      </c>
      <c r="G520" s="4">
        <v>38</v>
      </c>
      <c r="H520" s="3" t="s">
        <v>15</v>
      </c>
      <c r="I520" s="3" t="s">
        <v>16</v>
      </c>
      <c r="J520" s="5">
        <v>45090</v>
      </c>
      <c r="K520" s="2" t="b">
        <v>0</v>
      </c>
    </row>
    <row r="521" spans="1:11" x14ac:dyDescent="0.3">
      <c r="A521" s="3" t="s">
        <v>731</v>
      </c>
      <c r="B521" s="3" t="s">
        <v>31</v>
      </c>
      <c r="C521" s="3" t="s">
        <v>41</v>
      </c>
      <c r="D521" s="3" t="s">
        <v>144</v>
      </c>
      <c r="E521" s="4">
        <v>38</v>
      </c>
      <c r="F521" s="4">
        <v>5</v>
      </c>
      <c r="G521" s="4">
        <v>190</v>
      </c>
      <c r="H521" s="3" t="s">
        <v>15</v>
      </c>
      <c r="I521" s="3" t="s">
        <v>38</v>
      </c>
      <c r="J521" s="5">
        <v>44979</v>
      </c>
      <c r="K521" s="2" t="b">
        <v>0</v>
      </c>
    </row>
    <row r="522" spans="1:11" x14ac:dyDescent="0.3">
      <c r="A522" s="3" t="s">
        <v>732</v>
      </c>
      <c r="B522" s="3" t="s">
        <v>80</v>
      </c>
      <c r="C522" s="3" t="s">
        <v>41</v>
      </c>
      <c r="D522" s="3" t="s">
        <v>281</v>
      </c>
      <c r="E522" s="4">
        <v>5</v>
      </c>
      <c r="F522" s="4">
        <v>6</v>
      </c>
      <c r="G522" s="4">
        <v>30</v>
      </c>
      <c r="H522" s="3" t="s">
        <v>15</v>
      </c>
      <c r="I522" s="3" t="s">
        <v>16</v>
      </c>
      <c r="J522" s="5">
        <v>45027</v>
      </c>
      <c r="K522" s="2" t="b">
        <v>1</v>
      </c>
    </row>
    <row r="523" spans="1:11" x14ac:dyDescent="0.3">
      <c r="A523" s="3" t="s">
        <v>733</v>
      </c>
      <c r="B523" s="3" t="s">
        <v>74</v>
      </c>
      <c r="C523" s="3" t="s">
        <v>13</v>
      </c>
      <c r="D523" s="3" t="s">
        <v>133</v>
      </c>
      <c r="E523" s="4">
        <v>20</v>
      </c>
      <c r="F523" s="4">
        <v>8</v>
      </c>
      <c r="G523" s="4">
        <v>160</v>
      </c>
      <c r="H523" s="3" t="s">
        <v>15</v>
      </c>
      <c r="I523" s="3" t="s">
        <v>16</v>
      </c>
      <c r="J523" s="5">
        <v>44984</v>
      </c>
      <c r="K523" s="2" t="b">
        <v>1</v>
      </c>
    </row>
    <row r="524" spans="1:11" x14ac:dyDescent="0.3">
      <c r="A524" s="3" t="s">
        <v>734</v>
      </c>
      <c r="B524" s="3" t="s">
        <v>46</v>
      </c>
      <c r="C524" s="3" t="s">
        <v>23</v>
      </c>
      <c r="D524" s="3" t="s">
        <v>397</v>
      </c>
      <c r="E524" s="4">
        <v>5</v>
      </c>
      <c r="F524" s="4">
        <v>3</v>
      </c>
      <c r="G524" s="4">
        <v>15</v>
      </c>
      <c r="H524" s="3" t="s">
        <v>48</v>
      </c>
      <c r="I524" s="3" t="s">
        <v>38</v>
      </c>
      <c r="J524" s="5">
        <v>44576</v>
      </c>
      <c r="K524" s="2" t="s">
        <v>1233</v>
      </c>
    </row>
    <row r="525" spans="1:11" x14ac:dyDescent="0.3">
      <c r="A525" s="3" t="s">
        <v>735</v>
      </c>
      <c r="B525" s="3" t="s">
        <v>113</v>
      </c>
      <c r="C525" s="3" t="s">
        <v>130</v>
      </c>
      <c r="D525" s="3" t="s">
        <v>243</v>
      </c>
      <c r="E525" s="4">
        <v>15.5</v>
      </c>
      <c r="F525" s="4">
        <v>3</v>
      </c>
      <c r="G525" s="4">
        <v>46.5</v>
      </c>
      <c r="H525" s="3" t="s">
        <v>15</v>
      </c>
      <c r="I525" s="3" t="s">
        <v>38</v>
      </c>
      <c r="J525" s="5">
        <v>45220</v>
      </c>
      <c r="K525" s="2" t="b">
        <v>0</v>
      </c>
    </row>
    <row r="526" spans="1:11" x14ac:dyDescent="0.3">
      <c r="A526" s="3" t="s">
        <v>736</v>
      </c>
      <c r="B526" s="3" t="s">
        <v>74</v>
      </c>
      <c r="C526" s="3" t="s">
        <v>28</v>
      </c>
      <c r="D526" s="3" t="s">
        <v>256</v>
      </c>
      <c r="E526" s="4">
        <v>32</v>
      </c>
      <c r="F526" s="4">
        <v>8</v>
      </c>
      <c r="G526" s="4">
        <v>256</v>
      </c>
      <c r="H526" s="3" t="s">
        <v>48</v>
      </c>
      <c r="I526" s="3" t="s">
        <v>16</v>
      </c>
      <c r="J526" s="5">
        <v>45323</v>
      </c>
      <c r="K526" s="2" t="b">
        <v>0</v>
      </c>
    </row>
    <row r="527" spans="1:11" x14ac:dyDescent="0.3">
      <c r="A527" s="3" t="s">
        <v>737</v>
      </c>
      <c r="B527" s="3" t="s">
        <v>43</v>
      </c>
      <c r="C527" s="3" t="s">
        <v>130</v>
      </c>
      <c r="D527" s="3" t="s">
        <v>361</v>
      </c>
      <c r="E527" s="4">
        <v>32</v>
      </c>
      <c r="F527" s="4">
        <v>7</v>
      </c>
      <c r="G527" s="4">
        <v>224</v>
      </c>
      <c r="H527" s="3" t="s">
        <v>15</v>
      </c>
      <c r="I527" s="3" t="s">
        <v>38</v>
      </c>
      <c r="J527" s="5">
        <v>44674</v>
      </c>
      <c r="K527" s="2" t="s">
        <v>1233</v>
      </c>
    </row>
    <row r="528" spans="1:11" x14ac:dyDescent="0.3">
      <c r="A528" s="3" t="s">
        <v>738</v>
      </c>
      <c r="B528" s="3" t="s">
        <v>98</v>
      </c>
      <c r="C528" s="3" t="s">
        <v>66</v>
      </c>
      <c r="D528" s="3" t="s">
        <v>1233</v>
      </c>
      <c r="E528" s="4" t="s">
        <v>1233</v>
      </c>
      <c r="F528" s="4">
        <v>7</v>
      </c>
      <c r="G528" s="4">
        <v>108.5</v>
      </c>
      <c r="H528" s="3" t="s">
        <v>15</v>
      </c>
      <c r="I528" s="3" t="s">
        <v>16</v>
      </c>
      <c r="J528" s="5">
        <v>44729</v>
      </c>
      <c r="K528" s="2" t="b">
        <v>0</v>
      </c>
    </row>
    <row r="529" spans="1:11" x14ac:dyDescent="0.3">
      <c r="A529" s="3" t="s">
        <v>739</v>
      </c>
      <c r="B529" s="3" t="s">
        <v>108</v>
      </c>
      <c r="C529" s="3" t="s">
        <v>28</v>
      </c>
      <c r="D529" s="3" t="s">
        <v>117</v>
      </c>
      <c r="E529" s="4">
        <v>36.5</v>
      </c>
      <c r="F529" s="4">
        <v>5</v>
      </c>
      <c r="G529" s="4">
        <v>182.5</v>
      </c>
      <c r="H529" s="3" t="s">
        <v>15</v>
      </c>
      <c r="I529" s="3" t="s">
        <v>38</v>
      </c>
      <c r="J529" s="5">
        <v>44570</v>
      </c>
      <c r="K529" s="2" t="s">
        <v>1233</v>
      </c>
    </row>
    <row r="530" spans="1:11" x14ac:dyDescent="0.3">
      <c r="A530" s="3" t="s">
        <v>740</v>
      </c>
      <c r="B530" s="3" t="s">
        <v>55</v>
      </c>
      <c r="C530" s="3" t="s">
        <v>41</v>
      </c>
      <c r="D530" s="3" t="s">
        <v>303</v>
      </c>
      <c r="E530" s="4">
        <v>15.5</v>
      </c>
      <c r="F530" s="4">
        <v>2</v>
      </c>
      <c r="G530" s="4">
        <v>31</v>
      </c>
      <c r="H530" s="3" t="s">
        <v>25</v>
      </c>
      <c r="I530" s="3" t="s">
        <v>38</v>
      </c>
      <c r="J530" s="5">
        <v>45126</v>
      </c>
      <c r="K530" s="2" t="b">
        <v>0</v>
      </c>
    </row>
    <row r="531" spans="1:11" x14ac:dyDescent="0.3">
      <c r="A531" s="3" t="s">
        <v>741</v>
      </c>
      <c r="B531" s="3" t="s">
        <v>113</v>
      </c>
      <c r="C531" s="3" t="s">
        <v>32</v>
      </c>
      <c r="D531" s="3" t="s">
        <v>128</v>
      </c>
      <c r="E531" s="4">
        <v>21.5</v>
      </c>
      <c r="F531" s="4">
        <v>10</v>
      </c>
      <c r="G531" s="4">
        <v>215</v>
      </c>
      <c r="H531" s="3" t="s">
        <v>48</v>
      </c>
      <c r="I531" s="3" t="s">
        <v>38</v>
      </c>
      <c r="J531" s="5">
        <v>45422</v>
      </c>
      <c r="K531" s="2" t="b">
        <v>0</v>
      </c>
    </row>
    <row r="532" spans="1:11" x14ac:dyDescent="0.3">
      <c r="A532" s="3" t="s">
        <v>742</v>
      </c>
      <c r="B532" s="3" t="s">
        <v>100</v>
      </c>
      <c r="C532" s="3" t="s">
        <v>41</v>
      </c>
      <c r="D532" s="3" t="s">
        <v>233</v>
      </c>
      <c r="E532" s="4">
        <v>11</v>
      </c>
      <c r="F532" s="4">
        <v>3</v>
      </c>
      <c r="G532" s="4">
        <v>33</v>
      </c>
      <c r="H532" s="3" t="s">
        <v>15</v>
      </c>
      <c r="I532" s="3" t="s">
        <v>38</v>
      </c>
      <c r="J532" s="5">
        <v>44907</v>
      </c>
      <c r="K532" s="2" t="s">
        <v>1233</v>
      </c>
    </row>
    <row r="533" spans="1:11" x14ac:dyDescent="0.3">
      <c r="A533" s="3" t="s">
        <v>743</v>
      </c>
      <c r="B533" s="3" t="s">
        <v>55</v>
      </c>
      <c r="C533" s="3" t="s">
        <v>130</v>
      </c>
      <c r="D533" s="3" t="s">
        <v>744</v>
      </c>
      <c r="E533" s="4">
        <v>38</v>
      </c>
      <c r="F533" s="4">
        <v>4</v>
      </c>
      <c r="G533" s="4">
        <v>152</v>
      </c>
      <c r="H533" s="3" t="s">
        <v>25</v>
      </c>
      <c r="I533" s="3" t="s">
        <v>16</v>
      </c>
      <c r="J533" s="5">
        <v>45669</v>
      </c>
      <c r="K533" s="2" t="b">
        <v>1</v>
      </c>
    </row>
    <row r="534" spans="1:11" x14ac:dyDescent="0.3">
      <c r="A534" s="3" t="s">
        <v>745</v>
      </c>
      <c r="B534" s="3" t="s">
        <v>40</v>
      </c>
      <c r="C534" s="3" t="s">
        <v>41</v>
      </c>
      <c r="D534" s="3" t="s">
        <v>281</v>
      </c>
      <c r="E534" s="4">
        <v>5</v>
      </c>
      <c r="F534" s="4">
        <v>10</v>
      </c>
      <c r="G534" s="4">
        <v>50</v>
      </c>
      <c r="H534" s="3" t="s">
        <v>15</v>
      </c>
      <c r="I534" s="3" t="s">
        <v>38</v>
      </c>
      <c r="J534" s="5">
        <v>44658</v>
      </c>
      <c r="K534" s="2" t="s">
        <v>1233</v>
      </c>
    </row>
    <row r="535" spans="1:11" x14ac:dyDescent="0.3">
      <c r="A535" s="3" t="s">
        <v>746</v>
      </c>
      <c r="B535" s="3" t="s">
        <v>98</v>
      </c>
      <c r="C535" s="3" t="s">
        <v>23</v>
      </c>
      <c r="D535" s="3" t="s">
        <v>306</v>
      </c>
      <c r="E535" s="4">
        <v>23</v>
      </c>
      <c r="F535" s="4">
        <v>10</v>
      </c>
      <c r="G535" s="4">
        <v>230</v>
      </c>
      <c r="H535" s="3" t="s">
        <v>15</v>
      </c>
      <c r="I535" s="3" t="s">
        <v>38</v>
      </c>
      <c r="J535" s="5">
        <v>44936</v>
      </c>
      <c r="K535" s="2" t="b">
        <v>1</v>
      </c>
    </row>
    <row r="536" spans="1:11" x14ac:dyDescent="0.3">
      <c r="A536" s="3" t="s">
        <v>747</v>
      </c>
      <c r="B536" s="3" t="s">
        <v>116</v>
      </c>
      <c r="C536" s="3" t="s">
        <v>66</v>
      </c>
      <c r="D536" s="3" t="s">
        <v>748</v>
      </c>
      <c r="E536" s="4">
        <v>39.5</v>
      </c>
      <c r="F536" s="4">
        <v>7</v>
      </c>
      <c r="G536" s="4">
        <v>276.5</v>
      </c>
      <c r="H536" s="3" t="s">
        <v>48</v>
      </c>
      <c r="I536" s="3" t="s">
        <v>16</v>
      </c>
      <c r="J536" s="5">
        <v>45606</v>
      </c>
      <c r="K536" s="2" t="s">
        <v>1233</v>
      </c>
    </row>
    <row r="537" spans="1:11" x14ac:dyDescent="0.3">
      <c r="A537" s="3" t="s">
        <v>749</v>
      </c>
      <c r="B537" s="3" t="s">
        <v>12</v>
      </c>
      <c r="C537" s="3" t="s">
        <v>13</v>
      </c>
      <c r="D537" s="3" t="s">
        <v>222</v>
      </c>
      <c r="E537" s="4">
        <v>27.5</v>
      </c>
      <c r="F537" s="4">
        <v>9</v>
      </c>
      <c r="G537" s="4">
        <v>247.5</v>
      </c>
      <c r="H537" s="3" t="s">
        <v>15</v>
      </c>
      <c r="I537" s="3" t="s">
        <v>16</v>
      </c>
      <c r="J537" s="5">
        <v>44722</v>
      </c>
      <c r="K537" s="2" t="b">
        <v>0</v>
      </c>
    </row>
    <row r="538" spans="1:11" x14ac:dyDescent="0.3">
      <c r="A538" s="3" t="s">
        <v>750</v>
      </c>
      <c r="B538" s="3" t="s">
        <v>65</v>
      </c>
      <c r="C538" s="3" t="s">
        <v>130</v>
      </c>
      <c r="D538" s="3" t="s">
        <v>621</v>
      </c>
      <c r="E538" s="4">
        <v>21.5</v>
      </c>
      <c r="F538" s="4">
        <v>9</v>
      </c>
      <c r="G538" s="4">
        <v>193.5</v>
      </c>
      <c r="H538" s="3" t="s">
        <v>15</v>
      </c>
      <c r="I538" s="3" t="s">
        <v>16</v>
      </c>
      <c r="J538" s="5">
        <v>44932</v>
      </c>
      <c r="K538" s="2" t="b">
        <v>1</v>
      </c>
    </row>
    <row r="539" spans="1:11" x14ac:dyDescent="0.3">
      <c r="A539" s="3" t="s">
        <v>751</v>
      </c>
      <c r="B539" s="3" t="s">
        <v>63</v>
      </c>
      <c r="C539" s="3" t="s">
        <v>23</v>
      </c>
      <c r="D539" s="3" t="s">
        <v>1233</v>
      </c>
      <c r="E539" s="4" t="s">
        <v>1233</v>
      </c>
      <c r="F539" s="4">
        <v>6</v>
      </c>
      <c r="G539" s="4">
        <v>183</v>
      </c>
      <c r="H539" s="3" t="s">
        <v>15</v>
      </c>
      <c r="I539" s="3" t="s">
        <v>38</v>
      </c>
      <c r="J539" s="5">
        <v>45420</v>
      </c>
      <c r="K539" s="2" t="s">
        <v>1233</v>
      </c>
    </row>
    <row r="540" spans="1:11" x14ac:dyDescent="0.3">
      <c r="A540" s="3" t="s">
        <v>752</v>
      </c>
      <c r="B540" s="3" t="s">
        <v>84</v>
      </c>
      <c r="C540" s="3" t="s">
        <v>41</v>
      </c>
      <c r="D540" s="3" t="s">
        <v>44</v>
      </c>
      <c r="E540" s="4">
        <v>27.5</v>
      </c>
      <c r="F540" s="4">
        <v>10</v>
      </c>
      <c r="G540" s="4">
        <v>275</v>
      </c>
      <c r="H540" s="3" t="s">
        <v>48</v>
      </c>
      <c r="I540" s="3" t="s">
        <v>38</v>
      </c>
      <c r="J540" s="5">
        <v>45508</v>
      </c>
      <c r="K540" s="2" t="b">
        <v>0</v>
      </c>
    </row>
    <row r="541" spans="1:11" x14ac:dyDescent="0.3">
      <c r="A541" s="3" t="s">
        <v>753</v>
      </c>
      <c r="B541" s="3" t="s">
        <v>12</v>
      </c>
      <c r="C541" s="3" t="s">
        <v>13</v>
      </c>
      <c r="D541" s="3" t="s">
        <v>520</v>
      </c>
      <c r="E541" s="4">
        <v>15.5</v>
      </c>
      <c r="F541" s="4">
        <v>2</v>
      </c>
      <c r="G541" s="4">
        <v>31</v>
      </c>
      <c r="H541" s="3" t="s">
        <v>25</v>
      </c>
      <c r="I541" s="3" t="s">
        <v>16</v>
      </c>
      <c r="J541" s="5">
        <v>44622</v>
      </c>
      <c r="K541" s="2" t="s">
        <v>1233</v>
      </c>
    </row>
    <row r="542" spans="1:11" x14ac:dyDescent="0.3">
      <c r="A542" s="3" t="s">
        <v>754</v>
      </c>
      <c r="B542" s="3" t="s">
        <v>77</v>
      </c>
      <c r="C542" s="3" t="s">
        <v>19</v>
      </c>
      <c r="D542" s="3" t="s">
        <v>201</v>
      </c>
      <c r="E542" s="4">
        <v>15.5</v>
      </c>
      <c r="F542" s="4">
        <v>2</v>
      </c>
      <c r="G542" s="4">
        <v>31</v>
      </c>
      <c r="H542" s="3" t="s">
        <v>15</v>
      </c>
      <c r="I542" s="3" t="s">
        <v>16</v>
      </c>
      <c r="J542" s="5">
        <v>44740</v>
      </c>
      <c r="K542" s="2" t="s">
        <v>1233</v>
      </c>
    </row>
    <row r="543" spans="1:11" x14ac:dyDescent="0.3">
      <c r="A543" s="3" t="s">
        <v>755</v>
      </c>
      <c r="B543" s="3" t="s">
        <v>168</v>
      </c>
      <c r="C543" s="3" t="s">
        <v>32</v>
      </c>
      <c r="D543" s="3" t="s">
        <v>53</v>
      </c>
      <c r="E543" s="4">
        <v>6.5</v>
      </c>
      <c r="F543" s="4">
        <v>4</v>
      </c>
      <c r="G543" s="4">
        <v>26</v>
      </c>
      <c r="H543" s="3" t="s">
        <v>25</v>
      </c>
      <c r="I543" s="3" t="s">
        <v>38</v>
      </c>
      <c r="J543" s="5">
        <v>45359</v>
      </c>
      <c r="K543" s="2" t="s">
        <v>1233</v>
      </c>
    </row>
    <row r="544" spans="1:11" x14ac:dyDescent="0.3">
      <c r="A544" s="3" t="s">
        <v>756</v>
      </c>
      <c r="B544" s="3" t="s">
        <v>100</v>
      </c>
      <c r="C544" s="3" t="s">
        <v>41</v>
      </c>
      <c r="D544" s="3" t="s">
        <v>1233</v>
      </c>
      <c r="E544" s="4" t="s">
        <v>1233</v>
      </c>
      <c r="F544" s="4">
        <v>2</v>
      </c>
      <c r="G544" s="4">
        <v>76</v>
      </c>
      <c r="H544" s="3" t="s">
        <v>25</v>
      </c>
      <c r="I544" s="3" t="s">
        <v>16</v>
      </c>
      <c r="J544" s="5">
        <v>44724</v>
      </c>
      <c r="K544" s="2" t="b">
        <v>1</v>
      </c>
    </row>
    <row r="545" spans="1:11" x14ac:dyDescent="0.3">
      <c r="A545" s="3" t="s">
        <v>757</v>
      </c>
      <c r="B545" s="3" t="s">
        <v>12</v>
      </c>
      <c r="C545" s="3" t="s">
        <v>19</v>
      </c>
      <c r="D545" s="3" t="s">
        <v>540</v>
      </c>
      <c r="E545" s="4">
        <v>23</v>
      </c>
      <c r="F545" s="4">
        <v>10</v>
      </c>
      <c r="G545" s="4">
        <v>230</v>
      </c>
      <c r="H545" s="3" t="s">
        <v>15</v>
      </c>
      <c r="I545" s="3" t="s">
        <v>16</v>
      </c>
      <c r="J545" s="5">
        <v>45263</v>
      </c>
      <c r="K545" s="2" t="s">
        <v>1233</v>
      </c>
    </row>
    <row r="546" spans="1:11" x14ac:dyDescent="0.3">
      <c r="A546" s="3" t="s">
        <v>758</v>
      </c>
      <c r="B546" s="3" t="s">
        <v>40</v>
      </c>
      <c r="C546" s="3" t="s">
        <v>23</v>
      </c>
      <c r="D546" s="3" t="s">
        <v>277</v>
      </c>
      <c r="E546" s="4">
        <v>30.5</v>
      </c>
      <c r="F546" s="4">
        <v>9</v>
      </c>
      <c r="G546" s="4">
        <v>274.5</v>
      </c>
      <c r="H546" s="3" t="s">
        <v>25</v>
      </c>
      <c r="I546" s="3" t="s">
        <v>38</v>
      </c>
      <c r="J546" s="5">
        <v>44725</v>
      </c>
      <c r="K546" s="2" t="b">
        <v>0</v>
      </c>
    </row>
    <row r="547" spans="1:11" x14ac:dyDescent="0.3">
      <c r="A547" s="3" t="s">
        <v>759</v>
      </c>
      <c r="B547" s="3" t="s">
        <v>89</v>
      </c>
      <c r="C547" s="3" t="s">
        <v>13</v>
      </c>
      <c r="D547" s="3" t="s">
        <v>520</v>
      </c>
      <c r="E547" s="4">
        <v>15.5</v>
      </c>
      <c r="F547" s="4">
        <v>6</v>
      </c>
      <c r="G547" s="4">
        <v>93</v>
      </c>
      <c r="H547" s="3" t="s">
        <v>25</v>
      </c>
      <c r="I547" s="3" t="s">
        <v>16</v>
      </c>
      <c r="J547" s="5">
        <v>45148</v>
      </c>
      <c r="K547" s="2" t="s">
        <v>1233</v>
      </c>
    </row>
    <row r="548" spans="1:11" x14ac:dyDescent="0.3">
      <c r="A548" s="3" t="s">
        <v>760</v>
      </c>
      <c r="B548" s="3" t="s">
        <v>89</v>
      </c>
      <c r="C548" s="3" t="s">
        <v>66</v>
      </c>
      <c r="D548" s="3" t="s">
        <v>761</v>
      </c>
      <c r="E548" s="4">
        <v>6.5</v>
      </c>
      <c r="F548" s="4">
        <v>10</v>
      </c>
      <c r="G548" s="4">
        <v>65</v>
      </c>
      <c r="H548" s="3" t="s">
        <v>25</v>
      </c>
      <c r="I548" s="3" t="s">
        <v>38</v>
      </c>
      <c r="J548" s="5">
        <v>45232</v>
      </c>
      <c r="K548" s="2" t="s">
        <v>1233</v>
      </c>
    </row>
    <row r="549" spans="1:11" x14ac:dyDescent="0.3">
      <c r="A549" s="3" t="s">
        <v>762</v>
      </c>
      <c r="B549" s="3" t="s">
        <v>89</v>
      </c>
      <c r="C549" s="3" t="s">
        <v>13</v>
      </c>
      <c r="D549" s="3" t="s">
        <v>372</v>
      </c>
      <c r="E549" s="4">
        <v>23</v>
      </c>
      <c r="F549" s="4">
        <v>3</v>
      </c>
      <c r="G549" s="4">
        <v>69</v>
      </c>
      <c r="H549" s="3" t="s">
        <v>48</v>
      </c>
      <c r="I549" s="3" t="s">
        <v>38</v>
      </c>
      <c r="J549" s="5">
        <v>44786</v>
      </c>
      <c r="K549" s="2" t="b">
        <v>0</v>
      </c>
    </row>
    <row r="550" spans="1:11" x14ac:dyDescent="0.3">
      <c r="A550" s="3" t="s">
        <v>763</v>
      </c>
      <c r="B550" s="3" t="s">
        <v>12</v>
      </c>
      <c r="C550" s="3" t="s">
        <v>130</v>
      </c>
      <c r="D550" s="3" t="s">
        <v>621</v>
      </c>
      <c r="E550" s="4">
        <v>21.5</v>
      </c>
      <c r="F550" s="4">
        <v>1</v>
      </c>
      <c r="G550" s="4">
        <v>21.5</v>
      </c>
      <c r="H550" s="3" t="s">
        <v>48</v>
      </c>
      <c r="I550" s="3" t="s">
        <v>38</v>
      </c>
      <c r="J550" s="5">
        <v>45250</v>
      </c>
      <c r="K550" s="2" t="s">
        <v>1233</v>
      </c>
    </row>
    <row r="551" spans="1:11" x14ac:dyDescent="0.3">
      <c r="A551" s="3" t="s">
        <v>764</v>
      </c>
      <c r="B551" s="3" t="s">
        <v>43</v>
      </c>
      <c r="C551" s="3" t="s">
        <v>130</v>
      </c>
      <c r="D551" s="3" t="s">
        <v>212</v>
      </c>
      <c r="E551" s="4">
        <v>14</v>
      </c>
      <c r="F551" s="4">
        <v>7</v>
      </c>
      <c r="G551" s="4">
        <v>98</v>
      </c>
      <c r="H551" s="3" t="s">
        <v>48</v>
      </c>
      <c r="I551" s="3" t="s">
        <v>38</v>
      </c>
      <c r="J551" s="5">
        <v>45479</v>
      </c>
      <c r="K551" s="2" t="b">
        <v>0</v>
      </c>
    </row>
    <row r="552" spans="1:11" x14ac:dyDescent="0.3">
      <c r="A552" s="3" t="s">
        <v>765</v>
      </c>
      <c r="B552" s="3" t="s">
        <v>89</v>
      </c>
      <c r="C552" s="3" t="s">
        <v>66</v>
      </c>
      <c r="D552" s="3" t="s">
        <v>246</v>
      </c>
      <c r="E552" s="4">
        <v>15.5</v>
      </c>
      <c r="F552" s="4">
        <v>5</v>
      </c>
      <c r="G552" s="4">
        <v>77.5</v>
      </c>
      <c r="H552" s="3" t="s">
        <v>15</v>
      </c>
      <c r="I552" s="3" t="s">
        <v>16</v>
      </c>
      <c r="J552" s="5">
        <v>45413</v>
      </c>
      <c r="K552" s="2" t="b">
        <v>0</v>
      </c>
    </row>
    <row r="553" spans="1:11" x14ac:dyDescent="0.3">
      <c r="A553" s="3" t="s">
        <v>766</v>
      </c>
      <c r="B553" s="3" t="s">
        <v>89</v>
      </c>
      <c r="C553" s="3" t="s">
        <v>130</v>
      </c>
      <c r="D553" s="3" t="s">
        <v>240</v>
      </c>
      <c r="E553" s="4">
        <v>35</v>
      </c>
      <c r="F553" s="4">
        <v>8</v>
      </c>
      <c r="G553" s="4">
        <v>280</v>
      </c>
      <c r="H553" s="3" t="s">
        <v>25</v>
      </c>
      <c r="I553" s="3" t="s">
        <v>16</v>
      </c>
      <c r="J553" s="5">
        <v>45636</v>
      </c>
      <c r="K553" s="2" t="s">
        <v>1233</v>
      </c>
    </row>
    <row r="554" spans="1:11" x14ac:dyDescent="0.3">
      <c r="A554" s="3" t="s">
        <v>767</v>
      </c>
      <c r="B554" s="3" t="s">
        <v>100</v>
      </c>
      <c r="C554" s="3" t="s">
        <v>28</v>
      </c>
      <c r="D554" s="3" t="s">
        <v>1233</v>
      </c>
      <c r="E554" s="4" t="s">
        <v>1233</v>
      </c>
      <c r="F554" s="4">
        <v>5</v>
      </c>
      <c r="G554" s="4">
        <v>107.5</v>
      </c>
      <c r="H554" s="3" t="s">
        <v>25</v>
      </c>
      <c r="I554" s="3" t="s">
        <v>16</v>
      </c>
      <c r="J554" s="5">
        <v>44757</v>
      </c>
      <c r="K554" s="2" t="b">
        <v>1</v>
      </c>
    </row>
    <row r="555" spans="1:11" x14ac:dyDescent="0.3">
      <c r="A555" s="3" t="s">
        <v>768</v>
      </c>
      <c r="B555" s="3" t="s">
        <v>65</v>
      </c>
      <c r="C555" s="3" t="s">
        <v>130</v>
      </c>
      <c r="D555" s="3" t="s">
        <v>139</v>
      </c>
      <c r="E555" s="4">
        <v>11</v>
      </c>
      <c r="F555" s="4">
        <v>5</v>
      </c>
      <c r="G555" s="4">
        <v>55</v>
      </c>
      <c r="H555" s="3" t="s">
        <v>25</v>
      </c>
      <c r="I555" s="3" t="s">
        <v>16</v>
      </c>
      <c r="J555" s="5">
        <v>45091</v>
      </c>
      <c r="K555" s="2" t="b">
        <v>0</v>
      </c>
    </row>
    <row r="556" spans="1:11" x14ac:dyDescent="0.3">
      <c r="A556" s="3" t="s">
        <v>769</v>
      </c>
      <c r="B556" s="3" t="s">
        <v>63</v>
      </c>
      <c r="C556" s="3" t="s">
        <v>19</v>
      </c>
      <c r="D556" s="3" t="s">
        <v>265</v>
      </c>
      <c r="E556" s="4">
        <v>35</v>
      </c>
      <c r="F556" s="4">
        <v>7</v>
      </c>
      <c r="G556" s="4">
        <v>245</v>
      </c>
      <c r="H556" s="3" t="s">
        <v>48</v>
      </c>
      <c r="I556" s="3" t="s">
        <v>38</v>
      </c>
      <c r="J556" s="5">
        <v>45208</v>
      </c>
      <c r="K556" s="2" t="s">
        <v>1233</v>
      </c>
    </row>
    <row r="557" spans="1:11" x14ac:dyDescent="0.3">
      <c r="A557" s="3" t="s">
        <v>770</v>
      </c>
      <c r="B557" s="3" t="s">
        <v>40</v>
      </c>
      <c r="C557" s="3" t="s">
        <v>13</v>
      </c>
      <c r="D557" s="3" t="s">
        <v>14</v>
      </c>
      <c r="E557" s="4">
        <v>18.5</v>
      </c>
      <c r="F557" s="4">
        <v>6</v>
      </c>
      <c r="G557" s="4">
        <v>111</v>
      </c>
      <c r="H557" s="3" t="s">
        <v>15</v>
      </c>
      <c r="I557" s="3" t="s">
        <v>16</v>
      </c>
      <c r="J557" s="5">
        <v>44816</v>
      </c>
      <c r="K557" s="2" t="s">
        <v>1233</v>
      </c>
    </row>
    <row r="558" spans="1:11" x14ac:dyDescent="0.3">
      <c r="A558" s="3" t="s">
        <v>771</v>
      </c>
      <c r="B558" s="3" t="s">
        <v>113</v>
      </c>
      <c r="C558" s="3" t="s">
        <v>19</v>
      </c>
      <c r="D558" s="3" t="s">
        <v>540</v>
      </c>
      <c r="E558" s="4">
        <v>23</v>
      </c>
      <c r="F558" s="4">
        <v>6</v>
      </c>
      <c r="G558" s="4">
        <v>138</v>
      </c>
      <c r="H558" s="3" t="s">
        <v>48</v>
      </c>
      <c r="I558" s="3" t="s">
        <v>16</v>
      </c>
      <c r="J558" s="5">
        <v>45107</v>
      </c>
      <c r="K558" s="2" t="b">
        <v>0</v>
      </c>
    </row>
    <row r="559" spans="1:11" x14ac:dyDescent="0.3">
      <c r="A559" s="3" t="s">
        <v>772</v>
      </c>
      <c r="B559" s="3" t="s">
        <v>123</v>
      </c>
      <c r="C559" s="3" t="s">
        <v>41</v>
      </c>
      <c r="D559" s="3" t="s">
        <v>190</v>
      </c>
      <c r="E559" s="4">
        <v>20</v>
      </c>
      <c r="F559" s="4">
        <v>8</v>
      </c>
      <c r="G559" s="4">
        <v>160</v>
      </c>
      <c r="H559" s="3" t="s">
        <v>15</v>
      </c>
      <c r="I559" s="3" t="s">
        <v>16</v>
      </c>
      <c r="J559" s="5">
        <v>45084</v>
      </c>
      <c r="K559" s="2" t="b">
        <v>0</v>
      </c>
    </row>
    <row r="560" spans="1:11" x14ac:dyDescent="0.3">
      <c r="A560" s="3" t="s">
        <v>773</v>
      </c>
      <c r="B560" s="3" t="s">
        <v>63</v>
      </c>
      <c r="C560" s="3" t="s">
        <v>41</v>
      </c>
      <c r="D560" s="3" t="s">
        <v>190</v>
      </c>
      <c r="E560" s="4">
        <v>20</v>
      </c>
      <c r="F560" s="4">
        <v>8</v>
      </c>
      <c r="G560" s="4">
        <v>160</v>
      </c>
      <c r="H560" s="3" t="s">
        <v>48</v>
      </c>
      <c r="I560" s="3" t="s">
        <v>16</v>
      </c>
      <c r="J560" s="5">
        <v>45288</v>
      </c>
      <c r="K560" s="2" t="b">
        <v>1</v>
      </c>
    </row>
    <row r="561" spans="1:11" x14ac:dyDescent="0.3">
      <c r="A561" s="3" t="s">
        <v>774</v>
      </c>
      <c r="B561" s="3" t="s">
        <v>84</v>
      </c>
      <c r="C561" s="3" t="s">
        <v>66</v>
      </c>
      <c r="D561" s="3" t="s">
        <v>246</v>
      </c>
      <c r="E561" s="4">
        <v>15.5</v>
      </c>
      <c r="F561" s="4">
        <v>5</v>
      </c>
      <c r="G561" s="4">
        <v>77.5</v>
      </c>
      <c r="H561" s="3" t="s">
        <v>15</v>
      </c>
      <c r="I561" s="3" t="s">
        <v>38</v>
      </c>
      <c r="J561" s="5">
        <v>45338</v>
      </c>
      <c r="K561" s="2" t="b">
        <v>1</v>
      </c>
    </row>
    <row r="562" spans="1:11" x14ac:dyDescent="0.3">
      <c r="A562" s="3" t="s">
        <v>775</v>
      </c>
      <c r="B562" s="3" t="s">
        <v>40</v>
      </c>
      <c r="C562" s="3" t="s">
        <v>66</v>
      </c>
      <c r="D562" s="3" t="s">
        <v>420</v>
      </c>
      <c r="E562" s="4">
        <v>41</v>
      </c>
      <c r="F562" s="4">
        <v>5</v>
      </c>
      <c r="G562" s="4">
        <v>205</v>
      </c>
      <c r="H562" s="3" t="s">
        <v>15</v>
      </c>
      <c r="I562" s="3" t="s">
        <v>16</v>
      </c>
      <c r="J562" s="5">
        <v>45373</v>
      </c>
      <c r="K562" s="2" t="b">
        <v>1</v>
      </c>
    </row>
    <row r="563" spans="1:11" x14ac:dyDescent="0.3">
      <c r="A563" s="3" t="s">
        <v>776</v>
      </c>
      <c r="B563" s="3" t="s">
        <v>18</v>
      </c>
      <c r="C563" s="3" t="s">
        <v>28</v>
      </c>
      <c r="D563" s="3" t="s">
        <v>117</v>
      </c>
      <c r="E563" s="4">
        <v>36.5</v>
      </c>
      <c r="F563" s="4">
        <v>7</v>
      </c>
      <c r="G563" s="4">
        <v>255.5</v>
      </c>
      <c r="H563" s="3" t="s">
        <v>48</v>
      </c>
      <c r="I563" s="3" t="s">
        <v>38</v>
      </c>
      <c r="J563" s="5">
        <v>44642</v>
      </c>
      <c r="K563" s="2" t="b">
        <v>1</v>
      </c>
    </row>
    <row r="564" spans="1:11" x14ac:dyDescent="0.3">
      <c r="A564" s="3" t="s">
        <v>777</v>
      </c>
      <c r="B564" s="3" t="s">
        <v>31</v>
      </c>
      <c r="C564" s="3" t="s">
        <v>13</v>
      </c>
      <c r="D564" s="3" t="s">
        <v>172</v>
      </c>
      <c r="E564" s="4">
        <v>5</v>
      </c>
      <c r="F564" s="4">
        <v>8</v>
      </c>
      <c r="G564" s="4">
        <v>40</v>
      </c>
      <c r="H564" s="3" t="s">
        <v>25</v>
      </c>
      <c r="I564" s="3" t="s">
        <v>16</v>
      </c>
      <c r="J564" s="5">
        <v>44862</v>
      </c>
      <c r="K564" s="2" t="b">
        <v>0</v>
      </c>
    </row>
    <row r="565" spans="1:11" x14ac:dyDescent="0.3">
      <c r="A565" s="3" t="s">
        <v>778</v>
      </c>
      <c r="B565" s="3" t="s">
        <v>55</v>
      </c>
      <c r="C565" s="3" t="s">
        <v>23</v>
      </c>
      <c r="D565" s="3" t="s">
        <v>306</v>
      </c>
      <c r="E565" s="4">
        <v>23</v>
      </c>
      <c r="F565" s="4">
        <v>8</v>
      </c>
      <c r="G565" s="4">
        <v>184</v>
      </c>
      <c r="H565" s="3" t="s">
        <v>15</v>
      </c>
      <c r="I565" s="3" t="s">
        <v>16</v>
      </c>
      <c r="J565" s="5">
        <v>44897</v>
      </c>
      <c r="K565" s="2" t="s">
        <v>1233</v>
      </c>
    </row>
    <row r="566" spans="1:11" x14ac:dyDescent="0.3">
      <c r="A566" s="3" t="s">
        <v>779</v>
      </c>
      <c r="B566" s="3" t="s">
        <v>74</v>
      </c>
      <c r="C566" s="3" t="s">
        <v>66</v>
      </c>
      <c r="D566" s="3" t="s">
        <v>643</v>
      </c>
      <c r="E566" s="4">
        <v>26</v>
      </c>
      <c r="F566" s="4">
        <v>7</v>
      </c>
      <c r="G566" s="4">
        <v>182</v>
      </c>
      <c r="H566" s="3" t="s">
        <v>48</v>
      </c>
      <c r="I566" s="3" t="s">
        <v>16</v>
      </c>
      <c r="J566" s="5">
        <v>44696</v>
      </c>
      <c r="K566" s="2" t="s">
        <v>1233</v>
      </c>
    </row>
    <row r="567" spans="1:11" x14ac:dyDescent="0.3">
      <c r="A567" s="3" t="s">
        <v>780</v>
      </c>
      <c r="B567" s="3" t="s">
        <v>113</v>
      </c>
      <c r="C567" s="3" t="s">
        <v>19</v>
      </c>
      <c r="D567" s="3" t="s">
        <v>152</v>
      </c>
      <c r="E567" s="4">
        <v>12.5</v>
      </c>
      <c r="F567" s="4">
        <v>2</v>
      </c>
      <c r="G567" s="4">
        <v>25</v>
      </c>
      <c r="H567" s="3" t="s">
        <v>48</v>
      </c>
      <c r="I567" s="3" t="s">
        <v>38</v>
      </c>
      <c r="J567" s="5">
        <v>45517</v>
      </c>
      <c r="K567" s="2" t="b">
        <v>0</v>
      </c>
    </row>
    <row r="568" spans="1:11" x14ac:dyDescent="0.3">
      <c r="A568" s="3" t="s">
        <v>781</v>
      </c>
      <c r="B568" s="3" t="s">
        <v>168</v>
      </c>
      <c r="C568" s="3" t="s">
        <v>41</v>
      </c>
      <c r="D568" s="3" t="s">
        <v>81</v>
      </c>
      <c r="E568" s="4">
        <v>24.5</v>
      </c>
      <c r="F568" s="4">
        <v>7</v>
      </c>
      <c r="G568" s="4">
        <v>171.5</v>
      </c>
      <c r="H568" s="3" t="s">
        <v>48</v>
      </c>
      <c r="I568" s="3" t="s">
        <v>16</v>
      </c>
      <c r="J568" s="5">
        <v>44921</v>
      </c>
      <c r="K568" s="2" t="b">
        <v>1</v>
      </c>
    </row>
    <row r="569" spans="1:11" x14ac:dyDescent="0.3">
      <c r="A569" s="3" t="s">
        <v>782</v>
      </c>
      <c r="B569" s="3" t="s">
        <v>168</v>
      </c>
      <c r="C569" s="3" t="s">
        <v>13</v>
      </c>
      <c r="D569" s="3" t="s">
        <v>61</v>
      </c>
      <c r="E569" s="4">
        <v>29</v>
      </c>
      <c r="F569" s="4">
        <v>1</v>
      </c>
      <c r="G569" s="4">
        <v>29</v>
      </c>
      <c r="H569" s="3" t="s">
        <v>48</v>
      </c>
      <c r="I569" s="3" t="s">
        <v>16</v>
      </c>
      <c r="J569" s="5">
        <v>45010</v>
      </c>
      <c r="K569" s="2" t="b">
        <v>0</v>
      </c>
    </row>
    <row r="570" spans="1:11" x14ac:dyDescent="0.3">
      <c r="A570" s="3" t="s">
        <v>783</v>
      </c>
      <c r="B570" s="3" t="s">
        <v>100</v>
      </c>
      <c r="C570" s="3" t="s">
        <v>66</v>
      </c>
      <c r="D570" s="3" t="s">
        <v>377</v>
      </c>
      <c r="E570" s="4">
        <v>29</v>
      </c>
      <c r="F570" s="4">
        <v>4</v>
      </c>
      <c r="G570" s="4">
        <v>116</v>
      </c>
      <c r="H570" s="3" t="s">
        <v>15</v>
      </c>
      <c r="I570" s="3" t="s">
        <v>38</v>
      </c>
      <c r="J570" s="5">
        <v>44794</v>
      </c>
      <c r="K570" s="2" t="b">
        <v>1</v>
      </c>
    </row>
    <row r="571" spans="1:11" x14ac:dyDescent="0.3">
      <c r="A571" s="3" t="s">
        <v>784</v>
      </c>
      <c r="B571" s="3" t="s">
        <v>116</v>
      </c>
      <c r="C571" s="3" t="s">
        <v>28</v>
      </c>
      <c r="D571" s="3" t="s">
        <v>1233</v>
      </c>
      <c r="E571" s="4" t="s">
        <v>1233</v>
      </c>
      <c r="F571" s="4">
        <v>1</v>
      </c>
      <c r="G571" s="4">
        <v>33.5</v>
      </c>
      <c r="H571" s="3" t="s">
        <v>48</v>
      </c>
      <c r="I571" s="3" t="s">
        <v>38</v>
      </c>
      <c r="J571" s="5">
        <v>45589</v>
      </c>
      <c r="K571" s="2" t="b">
        <v>1</v>
      </c>
    </row>
    <row r="572" spans="1:11" x14ac:dyDescent="0.3">
      <c r="A572" s="3" t="s">
        <v>785</v>
      </c>
      <c r="B572" s="3" t="s">
        <v>74</v>
      </c>
      <c r="C572" s="3" t="s">
        <v>28</v>
      </c>
      <c r="D572" s="3" t="s">
        <v>570</v>
      </c>
      <c r="E572" s="4">
        <v>29</v>
      </c>
      <c r="F572" s="4">
        <v>1</v>
      </c>
      <c r="G572" s="4">
        <v>29</v>
      </c>
      <c r="H572" s="3" t="s">
        <v>15</v>
      </c>
      <c r="I572" s="3" t="s">
        <v>16</v>
      </c>
      <c r="J572" s="5">
        <v>44633</v>
      </c>
      <c r="K572" s="2" t="b">
        <v>1</v>
      </c>
    </row>
    <row r="573" spans="1:11" x14ac:dyDescent="0.3">
      <c r="A573" s="3" t="s">
        <v>786</v>
      </c>
      <c r="B573" s="3" t="s">
        <v>108</v>
      </c>
      <c r="C573" s="3" t="s">
        <v>41</v>
      </c>
      <c r="D573" s="3" t="s">
        <v>190</v>
      </c>
      <c r="E573" s="4">
        <v>20</v>
      </c>
      <c r="F573" s="4">
        <v>1</v>
      </c>
      <c r="G573" s="4">
        <v>20</v>
      </c>
      <c r="H573" s="3" t="s">
        <v>25</v>
      </c>
      <c r="I573" s="3" t="s">
        <v>38</v>
      </c>
      <c r="J573" s="5">
        <v>45642</v>
      </c>
      <c r="K573" s="2" t="s">
        <v>1233</v>
      </c>
    </row>
    <row r="574" spans="1:11" x14ac:dyDescent="0.3">
      <c r="A574" s="3" t="s">
        <v>787</v>
      </c>
      <c r="B574" s="3" t="s">
        <v>65</v>
      </c>
      <c r="C574" s="3" t="s">
        <v>41</v>
      </c>
      <c r="D574" s="3" t="s">
        <v>281</v>
      </c>
      <c r="E574" s="4">
        <v>5</v>
      </c>
      <c r="F574" s="4">
        <v>5</v>
      </c>
      <c r="G574" s="4">
        <v>25</v>
      </c>
      <c r="H574" s="3" t="s">
        <v>25</v>
      </c>
      <c r="I574" s="3" t="s">
        <v>16</v>
      </c>
      <c r="J574" s="5">
        <v>44910</v>
      </c>
      <c r="K574" s="2" t="b">
        <v>1</v>
      </c>
    </row>
    <row r="575" spans="1:11" x14ac:dyDescent="0.3">
      <c r="A575" s="3" t="s">
        <v>788</v>
      </c>
      <c r="B575" s="3" t="s">
        <v>31</v>
      </c>
      <c r="C575" s="3" t="s">
        <v>41</v>
      </c>
      <c r="D575" s="3" t="s">
        <v>342</v>
      </c>
      <c r="E575" s="4">
        <v>29</v>
      </c>
      <c r="F575" s="4">
        <v>2</v>
      </c>
      <c r="G575" s="4">
        <v>58</v>
      </c>
      <c r="H575" s="3" t="s">
        <v>48</v>
      </c>
      <c r="I575" s="3" t="s">
        <v>16</v>
      </c>
      <c r="J575" s="5">
        <v>44938</v>
      </c>
      <c r="K575" s="2" t="b">
        <v>0</v>
      </c>
    </row>
    <row r="576" spans="1:11" x14ac:dyDescent="0.3">
      <c r="A576" s="3" t="s">
        <v>789</v>
      </c>
      <c r="B576" s="3" t="s">
        <v>100</v>
      </c>
      <c r="C576" s="3" t="s">
        <v>19</v>
      </c>
      <c r="D576" s="3" t="s">
        <v>344</v>
      </c>
      <c r="E576" s="4">
        <v>26</v>
      </c>
      <c r="F576" s="4">
        <v>2</v>
      </c>
      <c r="G576" s="4">
        <v>52</v>
      </c>
      <c r="H576" s="3" t="s">
        <v>48</v>
      </c>
      <c r="I576" s="3" t="s">
        <v>38</v>
      </c>
      <c r="J576" s="5">
        <v>45378</v>
      </c>
      <c r="K576" s="2" t="b">
        <v>1</v>
      </c>
    </row>
    <row r="577" spans="1:11" x14ac:dyDescent="0.3">
      <c r="A577" s="3" t="s">
        <v>790</v>
      </c>
      <c r="B577" s="3" t="s">
        <v>12</v>
      </c>
      <c r="C577" s="3" t="s">
        <v>130</v>
      </c>
      <c r="D577" s="3" t="s">
        <v>326</v>
      </c>
      <c r="E577" s="4">
        <v>30.5</v>
      </c>
      <c r="F577" s="4">
        <v>9</v>
      </c>
      <c r="G577" s="4">
        <v>274.5</v>
      </c>
      <c r="H577" s="3" t="s">
        <v>48</v>
      </c>
      <c r="I577" s="3" t="s">
        <v>38</v>
      </c>
      <c r="J577" s="5">
        <v>45532</v>
      </c>
      <c r="K577" s="2" t="b">
        <v>1</v>
      </c>
    </row>
    <row r="578" spans="1:11" x14ac:dyDescent="0.3">
      <c r="A578" s="3" t="s">
        <v>791</v>
      </c>
      <c r="B578" s="3" t="s">
        <v>84</v>
      </c>
      <c r="C578" s="3" t="s">
        <v>19</v>
      </c>
      <c r="D578" s="3" t="s">
        <v>662</v>
      </c>
      <c r="E578" s="4">
        <v>30.5</v>
      </c>
      <c r="F578" s="4">
        <v>7</v>
      </c>
      <c r="G578" s="4">
        <v>213.5</v>
      </c>
      <c r="H578" s="3" t="s">
        <v>25</v>
      </c>
      <c r="I578" s="3" t="s">
        <v>38</v>
      </c>
      <c r="J578" s="5">
        <v>45203</v>
      </c>
      <c r="K578" s="2" t="b">
        <v>1</v>
      </c>
    </row>
    <row r="579" spans="1:11" x14ac:dyDescent="0.3">
      <c r="A579" s="3" t="s">
        <v>792</v>
      </c>
      <c r="B579" s="3" t="s">
        <v>98</v>
      </c>
      <c r="C579" s="3" t="s">
        <v>23</v>
      </c>
      <c r="D579" s="3" t="s">
        <v>47</v>
      </c>
      <c r="E579" s="4">
        <v>36.5</v>
      </c>
      <c r="F579" s="4">
        <v>10</v>
      </c>
      <c r="G579" s="4">
        <v>365</v>
      </c>
      <c r="H579" s="3" t="s">
        <v>15</v>
      </c>
      <c r="I579" s="3" t="s">
        <v>38</v>
      </c>
      <c r="J579" s="5">
        <v>44638</v>
      </c>
      <c r="K579" s="2" t="b">
        <v>1</v>
      </c>
    </row>
    <row r="580" spans="1:11" x14ac:dyDescent="0.3">
      <c r="A580" s="3" t="s">
        <v>793</v>
      </c>
      <c r="B580" s="3" t="s">
        <v>18</v>
      </c>
      <c r="C580" s="3" t="s">
        <v>66</v>
      </c>
      <c r="D580" s="3" t="s">
        <v>101</v>
      </c>
      <c r="E580" s="4">
        <v>35</v>
      </c>
      <c r="F580" s="4">
        <v>5</v>
      </c>
      <c r="G580" s="4">
        <v>175</v>
      </c>
      <c r="H580" s="3" t="s">
        <v>48</v>
      </c>
      <c r="I580" s="3" t="s">
        <v>38</v>
      </c>
      <c r="J580" s="5">
        <v>45654</v>
      </c>
      <c r="K580" s="2" t="b">
        <v>0</v>
      </c>
    </row>
    <row r="581" spans="1:11" x14ac:dyDescent="0.3">
      <c r="A581" s="3" t="s">
        <v>794</v>
      </c>
      <c r="B581" s="3" t="s">
        <v>69</v>
      </c>
      <c r="C581" s="3" t="s">
        <v>23</v>
      </c>
      <c r="D581" s="3" t="s">
        <v>24</v>
      </c>
      <c r="E581" s="4">
        <v>21.5</v>
      </c>
      <c r="F581" s="4">
        <v>5</v>
      </c>
      <c r="G581" s="4">
        <v>107.5</v>
      </c>
      <c r="H581" s="3" t="s">
        <v>48</v>
      </c>
      <c r="I581" s="3" t="s">
        <v>38</v>
      </c>
      <c r="J581" s="5">
        <v>44637</v>
      </c>
      <c r="K581" s="2" t="b">
        <v>1</v>
      </c>
    </row>
    <row r="582" spans="1:11" x14ac:dyDescent="0.3">
      <c r="A582" s="3" t="s">
        <v>795</v>
      </c>
      <c r="B582" s="3" t="s">
        <v>55</v>
      </c>
      <c r="C582" s="3" t="s">
        <v>13</v>
      </c>
      <c r="D582" s="3" t="s">
        <v>796</v>
      </c>
      <c r="E582" s="4">
        <v>38</v>
      </c>
      <c r="F582" s="4">
        <v>3</v>
      </c>
      <c r="G582" s="4">
        <v>114</v>
      </c>
      <c r="H582" s="3" t="s">
        <v>15</v>
      </c>
      <c r="I582" s="3" t="s">
        <v>16</v>
      </c>
      <c r="J582" s="5">
        <v>44676</v>
      </c>
      <c r="K582" s="2" t="b">
        <v>0</v>
      </c>
    </row>
    <row r="583" spans="1:11" x14ac:dyDescent="0.3">
      <c r="A583" s="3" t="s">
        <v>797</v>
      </c>
      <c r="B583" s="3" t="s">
        <v>43</v>
      </c>
      <c r="C583" s="3" t="s">
        <v>19</v>
      </c>
      <c r="D583" s="3" t="s">
        <v>142</v>
      </c>
      <c r="E583" s="4">
        <v>32</v>
      </c>
      <c r="F583" s="4">
        <v>6</v>
      </c>
      <c r="G583" s="4">
        <v>192</v>
      </c>
      <c r="H583" s="3" t="s">
        <v>25</v>
      </c>
      <c r="I583" s="3" t="s">
        <v>16</v>
      </c>
      <c r="J583" s="5">
        <v>45186</v>
      </c>
      <c r="K583" s="2" t="b">
        <v>1</v>
      </c>
    </row>
    <row r="584" spans="1:11" x14ac:dyDescent="0.3">
      <c r="A584" s="3" t="s">
        <v>798</v>
      </c>
      <c r="B584" s="3" t="s">
        <v>116</v>
      </c>
      <c r="C584" s="3" t="s">
        <v>66</v>
      </c>
      <c r="D584" s="3" t="s">
        <v>643</v>
      </c>
      <c r="E584" s="4">
        <v>26</v>
      </c>
      <c r="F584" s="4">
        <v>3</v>
      </c>
      <c r="G584" s="4">
        <v>78</v>
      </c>
      <c r="H584" s="3" t="s">
        <v>48</v>
      </c>
      <c r="I584" s="3" t="s">
        <v>38</v>
      </c>
      <c r="J584" s="5">
        <v>44802</v>
      </c>
      <c r="K584" s="2" t="s">
        <v>1233</v>
      </c>
    </row>
    <row r="585" spans="1:11" x14ac:dyDescent="0.3">
      <c r="A585" s="3" t="s">
        <v>799</v>
      </c>
      <c r="B585" s="3" t="s">
        <v>55</v>
      </c>
      <c r="C585" s="3" t="s">
        <v>32</v>
      </c>
      <c r="D585" s="3" t="s">
        <v>498</v>
      </c>
      <c r="E585" s="4">
        <v>29</v>
      </c>
      <c r="F585" s="4">
        <v>7</v>
      </c>
      <c r="G585" s="4">
        <v>203</v>
      </c>
      <c r="H585" s="3" t="s">
        <v>25</v>
      </c>
      <c r="I585" s="3" t="s">
        <v>38</v>
      </c>
      <c r="J585" s="5">
        <v>44783</v>
      </c>
      <c r="K585" s="2" t="s">
        <v>1233</v>
      </c>
    </row>
    <row r="586" spans="1:11" x14ac:dyDescent="0.3">
      <c r="A586" s="3" t="s">
        <v>800</v>
      </c>
      <c r="B586" s="3" t="s">
        <v>74</v>
      </c>
      <c r="C586" s="3" t="s">
        <v>19</v>
      </c>
      <c r="D586" s="3" t="s">
        <v>540</v>
      </c>
      <c r="E586" s="4">
        <v>23</v>
      </c>
      <c r="F586" s="4">
        <v>7</v>
      </c>
      <c r="G586" s="4">
        <v>161</v>
      </c>
      <c r="H586" s="3" t="s">
        <v>25</v>
      </c>
      <c r="I586" s="3" t="s">
        <v>38</v>
      </c>
      <c r="J586" s="5">
        <v>45238</v>
      </c>
      <c r="K586" s="2" t="s">
        <v>1233</v>
      </c>
    </row>
    <row r="587" spans="1:11" x14ac:dyDescent="0.3">
      <c r="A587" s="3" t="s">
        <v>801</v>
      </c>
      <c r="B587" s="3" t="s">
        <v>123</v>
      </c>
      <c r="C587" s="3" t="s">
        <v>19</v>
      </c>
      <c r="D587" s="3" t="s">
        <v>391</v>
      </c>
      <c r="E587" s="4">
        <v>6.5</v>
      </c>
      <c r="F587" s="4">
        <v>10</v>
      </c>
      <c r="G587" s="4">
        <v>65</v>
      </c>
      <c r="H587" s="3" t="s">
        <v>25</v>
      </c>
      <c r="I587" s="3" t="s">
        <v>16</v>
      </c>
      <c r="J587" s="5">
        <v>45097</v>
      </c>
      <c r="K587" s="2" t="b">
        <v>1</v>
      </c>
    </row>
    <row r="588" spans="1:11" x14ac:dyDescent="0.3">
      <c r="A588" s="3" t="s">
        <v>802</v>
      </c>
      <c r="B588" s="3" t="s">
        <v>55</v>
      </c>
      <c r="C588" s="3" t="s">
        <v>32</v>
      </c>
      <c r="D588" s="3" t="s">
        <v>128</v>
      </c>
      <c r="E588" s="4">
        <v>21.5</v>
      </c>
      <c r="F588" s="4">
        <v>9</v>
      </c>
      <c r="G588" s="4">
        <v>193.5</v>
      </c>
      <c r="H588" s="3" t="s">
        <v>15</v>
      </c>
      <c r="I588" s="3" t="s">
        <v>16</v>
      </c>
      <c r="J588" s="5">
        <v>44870</v>
      </c>
      <c r="K588" s="2" t="b">
        <v>0</v>
      </c>
    </row>
    <row r="589" spans="1:11" x14ac:dyDescent="0.3">
      <c r="A589" s="3" t="s">
        <v>803</v>
      </c>
      <c r="B589" s="3" t="s">
        <v>18</v>
      </c>
      <c r="C589" s="3" t="s">
        <v>19</v>
      </c>
      <c r="D589" s="3" t="s">
        <v>20</v>
      </c>
      <c r="E589" s="4">
        <v>29</v>
      </c>
      <c r="F589" s="4">
        <v>2</v>
      </c>
      <c r="G589" s="4">
        <v>58</v>
      </c>
      <c r="H589" s="3" t="s">
        <v>15</v>
      </c>
      <c r="I589" s="3" t="s">
        <v>38</v>
      </c>
      <c r="J589" s="5">
        <v>44752</v>
      </c>
      <c r="K589" s="2" t="b">
        <v>0</v>
      </c>
    </row>
    <row r="590" spans="1:11" x14ac:dyDescent="0.3">
      <c r="A590" s="3" t="s">
        <v>804</v>
      </c>
      <c r="B590" s="3" t="s">
        <v>22</v>
      </c>
      <c r="C590" s="3" t="s">
        <v>23</v>
      </c>
      <c r="D590" s="3" t="s">
        <v>114</v>
      </c>
      <c r="E590" s="4">
        <v>38</v>
      </c>
      <c r="F590" s="4">
        <v>7</v>
      </c>
      <c r="G590" s="4">
        <v>266</v>
      </c>
      <c r="H590" s="3" t="s">
        <v>25</v>
      </c>
      <c r="I590" s="3" t="s">
        <v>38</v>
      </c>
      <c r="J590" s="5">
        <v>44656</v>
      </c>
      <c r="K590" s="2" t="b">
        <v>0</v>
      </c>
    </row>
    <row r="591" spans="1:11" x14ac:dyDescent="0.3">
      <c r="A591" s="3" t="s">
        <v>805</v>
      </c>
      <c r="B591" s="3" t="s">
        <v>22</v>
      </c>
      <c r="C591" s="3" t="s">
        <v>41</v>
      </c>
      <c r="D591" s="3" t="s">
        <v>199</v>
      </c>
      <c r="E591" s="4">
        <v>39.5</v>
      </c>
      <c r="F591" s="4">
        <v>7</v>
      </c>
      <c r="G591" s="4">
        <v>276.5</v>
      </c>
      <c r="H591" s="3" t="s">
        <v>48</v>
      </c>
      <c r="I591" s="3" t="s">
        <v>38</v>
      </c>
      <c r="J591" s="5">
        <v>44759</v>
      </c>
      <c r="K591" s="2" t="b">
        <v>1</v>
      </c>
    </row>
    <row r="592" spans="1:11" x14ac:dyDescent="0.3">
      <c r="A592" s="3" t="s">
        <v>806</v>
      </c>
      <c r="B592" s="3" t="s">
        <v>46</v>
      </c>
      <c r="C592" s="3" t="s">
        <v>130</v>
      </c>
      <c r="D592" s="3" t="s">
        <v>335</v>
      </c>
      <c r="E592" s="4">
        <v>20</v>
      </c>
      <c r="F592" s="4">
        <v>7</v>
      </c>
      <c r="G592" s="4">
        <v>140</v>
      </c>
      <c r="H592" s="3" t="s">
        <v>25</v>
      </c>
      <c r="I592" s="3" t="s">
        <v>16</v>
      </c>
      <c r="J592" s="5">
        <v>44805</v>
      </c>
      <c r="K592" s="2" t="b">
        <v>0</v>
      </c>
    </row>
    <row r="593" spans="1:11" x14ac:dyDescent="0.3">
      <c r="A593" s="3" t="s">
        <v>807</v>
      </c>
      <c r="B593" s="3" t="s">
        <v>22</v>
      </c>
      <c r="C593" s="3" t="s">
        <v>41</v>
      </c>
      <c r="D593" s="3" t="s">
        <v>190</v>
      </c>
      <c r="E593" s="4">
        <v>20</v>
      </c>
      <c r="F593" s="4">
        <v>2</v>
      </c>
      <c r="G593" s="4">
        <v>40</v>
      </c>
      <c r="H593" s="3" t="s">
        <v>48</v>
      </c>
      <c r="I593" s="3" t="s">
        <v>16</v>
      </c>
      <c r="J593" s="5">
        <v>45429</v>
      </c>
      <c r="K593" s="2" t="b">
        <v>0</v>
      </c>
    </row>
    <row r="594" spans="1:11" x14ac:dyDescent="0.3">
      <c r="A594" s="3" t="s">
        <v>808</v>
      </c>
      <c r="B594" s="3" t="s">
        <v>55</v>
      </c>
      <c r="C594" s="3" t="s">
        <v>28</v>
      </c>
      <c r="D594" s="3" t="s">
        <v>111</v>
      </c>
      <c r="E594" s="4">
        <v>20</v>
      </c>
      <c r="F594" s="4">
        <v>1</v>
      </c>
      <c r="G594" s="4">
        <v>20</v>
      </c>
      <c r="H594" s="3" t="s">
        <v>15</v>
      </c>
      <c r="I594" s="3" t="s">
        <v>16</v>
      </c>
      <c r="J594" s="5">
        <v>44616</v>
      </c>
      <c r="K594" s="2" t="b">
        <v>1</v>
      </c>
    </row>
    <row r="595" spans="1:11" x14ac:dyDescent="0.3">
      <c r="A595" s="3" t="s">
        <v>809</v>
      </c>
      <c r="B595" s="3" t="s">
        <v>65</v>
      </c>
      <c r="C595" s="3" t="s">
        <v>13</v>
      </c>
      <c r="D595" s="3" t="s">
        <v>92</v>
      </c>
      <c r="E595" s="4">
        <v>36.5</v>
      </c>
      <c r="F595" s="4">
        <v>2</v>
      </c>
      <c r="G595" s="4">
        <v>73</v>
      </c>
      <c r="H595" s="3" t="s">
        <v>48</v>
      </c>
      <c r="I595" s="3" t="s">
        <v>38</v>
      </c>
      <c r="J595" s="5">
        <v>45222</v>
      </c>
      <c r="K595" s="2" t="b">
        <v>0</v>
      </c>
    </row>
    <row r="596" spans="1:11" x14ac:dyDescent="0.3">
      <c r="A596" s="3" t="s">
        <v>810</v>
      </c>
      <c r="B596" s="3" t="s">
        <v>89</v>
      </c>
      <c r="C596" s="3" t="s">
        <v>41</v>
      </c>
      <c r="D596" s="3" t="s">
        <v>1233</v>
      </c>
      <c r="E596" s="4">
        <v>9.5</v>
      </c>
      <c r="F596" s="4" t="s">
        <v>1233</v>
      </c>
      <c r="G596" s="4" t="s">
        <v>1233</v>
      </c>
      <c r="H596" s="3" t="s">
        <v>25</v>
      </c>
      <c r="I596" s="3" t="s">
        <v>16</v>
      </c>
      <c r="J596" s="5">
        <v>45529</v>
      </c>
      <c r="K596" s="2" t="b">
        <v>0</v>
      </c>
    </row>
    <row r="597" spans="1:11" x14ac:dyDescent="0.3">
      <c r="A597" s="3" t="s">
        <v>811</v>
      </c>
      <c r="B597" s="3" t="s">
        <v>63</v>
      </c>
      <c r="C597" s="3" t="s">
        <v>32</v>
      </c>
      <c r="D597" s="3" t="s">
        <v>812</v>
      </c>
      <c r="E597" s="4">
        <v>26</v>
      </c>
      <c r="F597" s="4">
        <v>4</v>
      </c>
      <c r="G597" s="4">
        <v>104</v>
      </c>
      <c r="H597" s="3" t="s">
        <v>48</v>
      </c>
      <c r="I597" s="3" t="s">
        <v>16</v>
      </c>
      <c r="J597" s="5">
        <v>44728</v>
      </c>
      <c r="K597" s="2" t="b">
        <v>1</v>
      </c>
    </row>
    <row r="598" spans="1:11" x14ac:dyDescent="0.3">
      <c r="A598" s="3" t="s">
        <v>813</v>
      </c>
      <c r="B598" s="3" t="s">
        <v>100</v>
      </c>
      <c r="C598" s="3" t="s">
        <v>41</v>
      </c>
      <c r="D598" s="3" t="s">
        <v>709</v>
      </c>
      <c r="E598" s="4">
        <v>21.5</v>
      </c>
      <c r="F598" s="4">
        <v>5</v>
      </c>
      <c r="G598" s="4">
        <v>107.5</v>
      </c>
      <c r="H598" s="3" t="s">
        <v>48</v>
      </c>
      <c r="I598" s="3" t="s">
        <v>16</v>
      </c>
      <c r="J598" s="5">
        <v>45288</v>
      </c>
      <c r="K598" s="2" t="b">
        <v>1</v>
      </c>
    </row>
    <row r="599" spans="1:11" x14ac:dyDescent="0.3">
      <c r="A599" s="3" t="s">
        <v>814</v>
      </c>
      <c r="B599" s="3" t="s">
        <v>74</v>
      </c>
      <c r="C599" s="3" t="s">
        <v>19</v>
      </c>
      <c r="D599" s="3" t="s">
        <v>20</v>
      </c>
      <c r="E599" s="4">
        <v>29</v>
      </c>
      <c r="F599" s="4">
        <v>2</v>
      </c>
      <c r="G599" s="4">
        <v>58</v>
      </c>
      <c r="H599" s="3" t="s">
        <v>25</v>
      </c>
      <c r="I599" s="3" t="s">
        <v>38</v>
      </c>
      <c r="J599" s="5">
        <v>45629</v>
      </c>
      <c r="K599" s="2" t="b">
        <v>0</v>
      </c>
    </row>
    <row r="600" spans="1:11" x14ac:dyDescent="0.3">
      <c r="A600" s="3" t="s">
        <v>815</v>
      </c>
      <c r="B600" s="3" t="s">
        <v>108</v>
      </c>
      <c r="C600" s="3" t="s">
        <v>28</v>
      </c>
      <c r="D600" s="3" t="s">
        <v>258</v>
      </c>
      <c r="E600" s="4">
        <v>33.5</v>
      </c>
      <c r="F600" s="4">
        <v>6</v>
      </c>
      <c r="G600" s="4">
        <v>201</v>
      </c>
      <c r="H600" s="3" t="s">
        <v>25</v>
      </c>
      <c r="I600" s="3" t="s">
        <v>16</v>
      </c>
      <c r="J600" s="5">
        <v>44578</v>
      </c>
      <c r="K600" s="2" t="b">
        <v>0</v>
      </c>
    </row>
    <row r="601" spans="1:11" x14ac:dyDescent="0.3">
      <c r="A601" s="3" t="s">
        <v>816</v>
      </c>
      <c r="B601" s="3" t="s">
        <v>63</v>
      </c>
      <c r="C601" s="3" t="s">
        <v>130</v>
      </c>
      <c r="D601" s="3" t="s">
        <v>183</v>
      </c>
      <c r="E601" s="4">
        <v>33.5</v>
      </c>
      <c r="F601" s="4">
        <v>7</v>
      </c>
      <c r="G601" s="4">
        <v>234.5</v>
      </c>
      <c r="H601" s="3" t="s">
        <v>25</v>
      </c>
      <c r="I601" s="3" t="s">
        <v>38</v>
      </c>
      <c r="J601" s="5">
        <v>45030</v>
      </c>
      <c r="K601" s="2" t="b">
        <v>1</v>
      </c>
    </row>
    <row r="602" spans="1:11" x14ac:dyDescent="0.3">
      <c r="A602" s="3" t="s">
        <v>817</v>
      </c>
      <c r="B602" s="3" t="s">
        <v>46</v>
      </c>
      <c r="C602" s="3" t="s">
        <v>32</v>
      </c>
      <c r="D602" s="3" t="s">
        <v>498</v>
      </c>
      <c r="E602" s="4">
        <v>29</v>
      </c>
      <c r="F602" s="4">
        <v>3</v>
      </c>
      <c r="G602" s="4">
        <v>87</v>
      </c>
      <c r="H602" s="3" t="s">
        <v>15</v>
      </c>
      <c r="I602" s="3" t="s">
        <v>38</v>
      </c>
      <c r="J602" s="5">
        <v>45622</v>
      </c>
      <c r="K602" s="2" t="s">
        <v>1233</v>
      </c>
    </row>
    <row r="603" spans="1:11" x14ac:dyDescent="0.3">
      <c r="A603" s="3" t="s">
        <v>818</v>
      </c>
      <c r="B603" s="3" t="s">
        <v>36</v>
      </c>
      <c r="C603" s="3" t="s">
        <v>32</v>
      </c>
      <c r="D603" s="3" t="s">
        <v>819</v>
      </c>
      <c r="E603" s="4">
        <v>15.5</v>
      </c>
      <c r="F603" s="4">
        <v>6</v>
      </c>
      <c r="G603" s="4">
        <v>93</v>
      </c>
      <c r="H603" s="3" t="s">
        <v>25</v>
      </c>
      <c r="I603" s="3" t="s">
        <v>38</v>
      </c>
      <c r="J603" s="5">
        <v>45504</v>
      </c>
      <c r="K603" s="2" t="b">
        <v>1</v>
      </c>
    </row>
    <row r="604" spans="1:11" x14ac:dyDescent="0.3">
      <c r="A604" s="3" t="s">
        <v>820</v>
      </c>
      <c r="B604" s="3" t="s">
        <v>43</v>
      </c>
      <c r="C604" s="3" t="s">
        <v>130</v>
      </c>
      <c r="D604" s="3" t="s">
        <v>149</v>
      </c>
      <c r="E604" s="4">
        <v>26</v>
      </c>
      <c r="F604" s="4">
        <v>4</v>
      </c>
      <c r="G604" s="4">
        <v>104</v>
      </c>
      <c r="H604" s="3" t="s">
        <v>15</v>
      </c>
      <c r="I604" s="3" t="s">
        <v>38</v>
      </c>
      <c r="J604" s="5">
        <v>45546</v>
      </c>
      <c r="K604" s="2" t="b">
        <v>1</v>
      </c>
    </row>
    <row r="605" spans="1:11" x14ac:dyDescent="0.3">
      <c r="A605" s="3" t="s">
        <v>821</v>
      </c>
      <c r="B605" s="3" t="s">
        <v>69</v>
      </c>
      <c r="C605" s="3" t="s">
        <v>32</v>
      </c>
      <c r="D605" s="3" t="s">
        <v>126</v>
      </c>
      <c r="E605" s="4">
        <v>8</v>
      </c>
      <c r="F605" s="4">
        <v>7</v>
      </c>
      <c r="G605" s="4">
        <v>56</v>
      </c>
      <c r="H605" s="3" t="s">
        <v>48</v>
      </c>
      <c r="I605" s="3" t="s">
        <v>16</v>
      </c>
      <c r="J605" s="5">
        <v>44834</v>
      </c>
      <c r="K605" s="2" t="b">
        <v>0</v>
      </c>
    </row>
    <row r="606" spans="1:11" x14ac:dyDescent="0.3">
      <c r="A606" s="3" t="s">
        <v>822</v>
      </c>
      <c r="B606" s="3" t="s">
        <v>84</v>
      </c>
      <c r="C606" s="3" t="s">
        <v>32</v>
      </c>
      <c r="D606" s="3" t="s">
        <v>203</v>
      </c>
      <c r="E606" s="4">
        <v>9.5</v>
      </c>
      <c r="F606" s="4">
        <v>3</v>
      </c>
      <c r="G606" s="4">
        <v>28.5</v>
      </c>
      <c r="H606" s="3" t="s">
        <v>25</v>
      </c>
      <c r="I606" s="3" t="s">
        <v>38</v>
      </c>
      <c r="J606" s="5">
        <v>44590</v>
      </c>
      <c r="K606" s="2" t="b">
        <v>1</v>
      </c>
    </row>
    <row r="607" spans="1:11" x14ac:dyDescent="0.3">
      <c r="A607" s="3" t="s">
        <v>823</v>
      </c>
      <c r="B607" s="3" t="s">
        <v>43</v>
      </c>
      <c r="C607" s="3" t="s">
        <v>130</v>
      </c>
      <c r="D607" s="3" t="s">
        <v>621</v>
      </c>
      <c r="E607" s="4">
        <v>21.5</v>
      </c>
      <c r="F607" s="4">
        <v>4</v>
      </c>
      <c r="G607" s="4">
        <v>86</v>
      </c>
      <c r="H607" s="3" t="s">
        <v>48</v>
      </c>
      <c r="I607" s="3" t="s">
        <v>16</v>
      </c>
      <c r="J607" s="5">
        <v>45569</v>
      </c>
      <c r="K607" s="2" t="s">
        <v>1233</v>
      </c>
    </row>
    <row r="608" spans="1:11" x14ac:dyDescent="0.3">
      <c r="A608" s="3" t="s">
        <v>824</v>
      </c>
      <c r="B608" s="3" t="s">
        <v>69</v>
      </c>
      <c r="C608" s="3" t="s">
        <v>19</v>
      </c>
      <c r="D608" s="3" t="s">
        <v>210</v>
      </c>
      <c r="E608" s="4">
        <v>9.5</v>
      </c>
      <c r="F608" s="4">
        <v>7</v>
      </c>
      <c r="G608" s="4">
        <v>66.5</v>
      </c>
      <c r="H608" s="3" t="s">
        <v>15</v>
      </c>
      <c r="I608" s="3" t="s">
        <v>38</v>
      </c>
      <c r="J608" s="5">
        <v>45319</v>
      </c>
      <c r="K608" s="2" t="s">
        <v>1233</v>
      </c>
    </row>
    <row r="609" spans="1:11" x14ac:dyDescent="0.3">
      <c r="A609" s="3" t="s">
        <v>825</v>
      </c>
      <c r="B609" s="3" t="s">
        <v>55</v>
      </c>
      <c r="C609" s="3" t="s">
        <v>23</v>
      </c>
      <c r="D609" s="3" t="s">
        <v>551</v>
      </c>
      <c r="E609" s="4">
        <v>11</v>
      </c>
      <c r="F609" s="4">
        <v>5</v>
      </c>
      <c r="G609" s="4">
        <v>55</v>
      </c>
      <c r="H609" s="3" t="s">
        <v>48</v>
      </c>
      <c r="I609" s="3" t="s">
        <v>16</v>
      </c>
      <c r="J609" s="5">
        <v>45651</v>
      </c>
      <c r="K609" s="2" t="b">
        <v>1</v>
      </c>
    </row>
    <row r="610" spans="1:11" x14ac:dyDescent="0.3">
      <c r="A610" s="3" t="s">
        <v>826</v>
      </c>
      <c r="B610" s="3" t="s">
        <v>108</v>
      </c>
      <c r="C610" s="3" t="s">
        <v>28</v>
      </c>
      <c r="D610" s="3" t="s">
        <v>124</v>
      </c>
      <c r="E610" s="4">
        <v>15.5</v>
      </c>
      <c r="F610" s="4">
        <v>6</v>
      </c>
      <c r="G610" s="4">
        <v>93</v>
      </c>
      <c r="H610" s="3" t="s">
        <v>25</v>
      </c>
      <c r="I610" s="3" t="s">
        <v>38</v>
      </c>
      <c r="J610" s="5">
        <v>45115</v>
      </c>
      <c r="K610" s="2" t="s">
        <v>1233</v>
      </c>
    </row>
    <row r="611" spans="1:11" x14ac:dyDescent="0.3">
      <c r="A611" s="3" t="s">
        <v>827</v>
      </c>
      <c r="B611" s="3" t="s">
        <v>98</v>
      </c>
      <c r="C611" s="3" t="s">
        <v>66</v>
      </c>
      <c r="D611" s="3" t="s">
        <v>215</v>
      </c>
      <c r="E611" s="4">
        <v>12.5</v>
      </c>
      <c r="F611" s="4">
        <v>2</v>
      </c>
      <c r="G611" s="4">
        <v>25</v>
      </c>
      <c r="H611" s="3" t="s">
        <v>48</v>
      </c>
      <c r="I611" s="3" t="s">
        <v>16</v>
      </c>
      <c r="J611" s="5">
        <v>44997</v>
      </c>
      <c r="K611" s="2" t="b">
        <v>0</v>
      </c>
    </row>
    <row r="612" spans="1:11" x14ac:dyDescent="0.3">
      <c r="A612" s="3" t="s">
        <v>828</v>
      </c>
      <c r="B612" s="3" t="s">
        <v>98</v>
      </c>
      <c r="C612" s="3" t="s">
        <v>41</v>
      </c>
      <c r="D612" s="3" t="s">
        <v>233</v>
      </c>
      <c r="E612" s="4">
        <v>11</v>
      </c>
      <c r="F612" s="4">
        <v>5</v>
      </c>
      <c r="G612" s="4">
        <v>55</v>
      </c>
      <c r="H612" s="3" t="s">
        <v>25</v>
      </c>
      <c r="I612" s="3" t="s">
        <v>38</v>
      </c>
      <c r="J612" s="5">
        <v>45335</v>
      </c>
      <c r="K612" s="2" t="b">
        <v>1</v>
      </c>
    </row>
    <row r="613" spans="1:11" x14ac:dyDescent="0.3">
      <c r="A613" s="3" t="s">
        <v>829</v>
      </c>
      <c r="B613" s="3" t="s">
        <v>89</v>
      </c>
      <c r="C613" s="3" t="s">
        <v>23</v>
      </c>
      <c r="D613" s="3" t="s">
        <v>85</v>
      </c>
      <c r="E613" s="4">
        <v>33.5</v>
      </c>
      <c r="F613" s="4">
        <v>2</v>
      </c>
      <c r="G613" s="4">
        <v>67</v>
      </c>
      <c r="H613" s="3" t="s">
        <v>48</v>
      </c>
      <c r="I613" s="3" t="s">
        <v>38</v>
      </c>
      <c r="J613" s="5">
        <v>45536</v>
      </c>
      <c r="K613" s="2" t="b">
        <v>1</v>
      </c>
    </row>
    <row r="614" spans="1:11" x14ac:dyDescent="0.3">
      <c r="A614" s="3" t="s">
        <v>830</v>
      </c>
      <c r="B614" s="3" t="s">
        <v>168</v>
      </c>
      <c r="C614" s="3" t="s">
        <v>23</v>
      </c>
      <c r="D614" s="3" t="s">
        <v>227</v>
      </c>
      <c r="E614" s="4">
        <v>15.5</v>
      </c>
      <c r="F614" s="4">
        <v>9</v>
      </c>
      <c r="G614" s="4">
        <v>139.5</v>
      </c>
      <c r="H614" s="3" t="s">
        <v>15</v>
      </c>
      <c r="I614" s="3" t="s">
        <v>16</v>
      </c>
      <c r="J614" s="5">
        <v>44625</v>
      </c>
      <c r="K614" s="2" t="b">
        <v>0</v>
      </c>
    </row>
    <row r="615" spans="1:11" x14ac:dyDescent="0.3">
      <c r="A615" s="3" t="s">
        <v>831</v>
      </c>
      <c r="B615" s="3" t="s">
        <v>46</v>
      </c>
      <c r="C615" s="3" t="s">
        <v>28</v>
      </c>
      <c r="D615" s="3" t="s">
        <v>727</v>
      </c>
      <c r="E615" s="4">
        <v>30.5</v>
      </c>
      <c r="F615" s="4">
        <v>1</v>
      </c>
      <c r="G615" s="4">
        <v>30.5</v>
      </c>
      <c r="H615" s="3" t="s">
        <v>15</v>
      </c>
      <c r="I615" s="3" t="s">
        <v>38</v>
      </c>
      <c r="J615" s="5">
        <v>45573</v>
      </c>
      <c r="K615" s="2" t="b">
        <v>0</v>
      </c>
    </row>
    <row r="616" spans="1:11" x14ac:dyDescent="0.3">
      <c r="A616" s="3" t="s">
        <v>832</v>
      </c>
      <c r="B616" s="3" t="s">
        <v>18</v>
      </c>
      <c r="C616" s="3" t="s">
        <v>130</v>
      </c>
      <c r="D616" s="3" t="s">
        <v>335</v>
      </c>
      <c r="E616" s="4">
        <v>20</v>
      </c>
      <c r="F616" s="4">
        <v>1</v>
      </c>
      <c r="G616" s="4">
        <v>20</v>
      </c>
      <c r="H616" s="3" t="s">
        <v>25</v>
      </c>
      <c r="I616" s="3" t="s">
        <v>16</v>
      </c>
      <c r="J616" s="5">
        <v>45036</v>
      </c>
      <c r="K616" s="2" t="b">
        <v>0</v>
      </c>
    </row>
    <row r="617" spans="1:11" x14ac:dyDescent="0.3">
      <c r="A617" s="3" t="s">
        <v>833</v>
      </c>
      <c r="B617" s="3" t="s">
        <v>43</v>
      </c>
      <c r="C617" s="3" t="s">
        <v>32</v>
      </c>
      <c r="D617" s="3" t="s">
        <v>203</v>
      </c>
      <c r="E617" s="4">
        <v>9.5</v>
      </c>
      <c r="F617" s="4">
        <v>9</v>
      </c>
      <c r="G617" s="4">
        <v>85.5</v>
      </c>
      <c r="H617" s="3" t="s">
        <v>25</v>
      </c>
      <c r="I617" s="3" t="s">
        <v>38</v>
      </c>
      <c r="J617" s="5">
        <v>45636</v>
      </c>
      <c r="K617" s="2" t="b">
        <v>1</v>
      </c>
    </row>
    <row r="618" spans="1:11" x14ac:dyDescent="0.3">
      <c r="A618" s="3" t="s">
        <v>834</v>
      </c>
      <c r="B618" s="3" t="s">
        <v>168</v>
      </c>
      <c r="C618" s="3" t="s">
        <v>41</v>
      </c>
      <c r="D618" s="3" t="s">
        <v>81</v>
      </c>
      <c r="E618" s="4">
        <v>24.5</v>
      </c>
      <c r="F618" s="4">
        <v>2</v>
      </c>
      <c r="G618" s="4">
        <v>49</v>
      </c>
      <c r="H618" s="3" t="s">
        <v>15</v>
      </c>
      <c r="I618" s="3" t="s">
        <v>38</v>
      </c>
      <c r="J618" s="5">
        <v>44680</v>
      </c>
      <c r="K618" s="2" t="s">
        <v>1233</v>
      </c>
    </row>
    <row r="619" spans="1:11" x14ac:dyDescent="0.3">
      <c r="A619" s="3" t="s">
        <v>835</v>
      </c>
      <c r="B619" s="3" t="s">
        <v>108</v>
      </c>
      <c r="C619" s="3" t="s">
        <v>28</v>
      </c>
      <c r="D619" s="3" t="s">
        <v>258</v>
      </c>
      <c r="E619" s="4">
        <v>33.5</v>
      </c>
      <c r="F619" s="4">
        <v>5</v>
      </c>
      <c r="G619" s="4">
        <v>167.5</v>
      </c>
      <c r="H619" s="3" t="s">
        <v>15</v>
      </c>
      <c r="I619" s="3" t="s">
        <v>16</v>
      </c>
      <c r="J619" s="5">
        <v>45302</v>
      </c>
      <c r="K619" s="2" t="b">
        <v>0</v>
      </c>
    </row>
    <row r="620" spans="1:11" x14ac:dyDescent="0.3">
      <c r="A620" s="3" t="s">
        <v>836</v>
      </c>
      <c r="B620" s="3" t="s">
        <v>12</v>
      </c>
      <c r="C620" s="3" t="s">
        <v>23</v>
      </c>
      <c r="D620" s="3" t="s">
        <v>85</v>
      </c>
      <c r="E620" s="4">
        <v>33.5</v>
      </c>
      <c r="F620" s="4">
        <v>2</v>
      </c>
      <c r="G620" s="4">
        <v>67</v>
      </c>
      <c r="H620" s="3" t="s">
        <v>25</v>
      </c>
      <c r="I620" s="3" t="s">
        <v>38</v>
      </c>
      <c r="J620" s="5">
        <v>44997</v>
      </c>
      <c r="K620" s="2" t="b">
        <v>0</v>
      </c>
    </row>
    <row r="621" spans="1:11" x14ac:dyDescent="0.3">
      <c r="A621" s="3" t="s">
        <v>837</v>
      </c>
      <c r="B621" s="3" t="s">
        <v>113</v>
      </c>
      <c r="C621" s="3" t="s">
        <v>28</v>
      </c>
      <c r="D621" s="3" t="s">
        <v>111</v>
      </c>
      <c r="E621" s="4">
        <v>20</v>
      </c>
      <c r="F621" s="4">
        <v>3</v>
      </c>
      <c r="G621" s="4">
        <v>60</v>
      </c>
      <c r="H621" s="3" t="s">
        <v>25</v>
      </c>
      <c r="I621" s="3" t="s">
        <v>16</v>
      </c>
      <c r="J621" s="5">
        <v>44881</v>
      </c>
      <c r="K621" s="2" t="b">
        <v>1</v>
      </c>
    </row>
    <row r="622" spans="1:11" x14ac:dyDescent="0.3">
      <c r="A622" s="3" t="s">
        <v>838</v>
      </c>
      <c r="B622" s="3" t="s">
        <v>31</v>
      </c>
      <c r="C622" s="3" t="s">
        <v>28</v>
      </c>
      <c r="D622" s="3" t="s">
        <v>124</v>
      </c>
      <c r="E622" s="4">
        <v>15.5</v>
      </c>
      <c r="F622" s="4">
        <v>4</v>
      </c>
      <c r="G622" s="4">
        <v>62</v>
      </c>
      <c r="H622" s="3" t="s">
        <v>48</v>
      </c>
      <c r="I622" s="3" t="s">
        <v>38</v>
      </c>
      <c r="J622" s="5">
        <v>44991</v>
      </c>
      <c r="K622" s="2" t="b">
        <v>0</v>
      </c>
    </row>
    <row r="623" spans="1:11" x14ac:dyDescent="0.3">
      <c r="A623" s="3" t="s">
        <v>839</v>
      </c>
      <c r="B623" s="3" t="s">
        <v>80</v>
      </c>
      <c r="C623" s="3" t="s">
        <v>32</v>
      </c>
      <c r="D623" s="3" t="s">
        <v>33</v>
      </c>
      <c r="E623" s="4">
        <v>12.5</v>
      </c>
      <c r="F623" s="4">
        <v>5</v>
      </c>
      <c r="G623" s="4">
        <v>62.5</v>
      </c>
      <c r="H623" s="3" t="s">
        <v>25</v>
      </c>
      <c r="I623" s="3" t="s">
        <v>38</v>
      </c>
      <c r="J623" s="5">
        <v>44657</v>
      </c>
      <c r="K623" s="2" t="b">
        <v>0</v>
      </c>
    </row>
    <row r="624" spans="1:11" x14ac:dyDescent="0.3">
      <c r="A624" s="3" t="s">
        <v>840</v>
      </c>
      <c r="B624" s="3" t="s">
        <v>36</v>
      </c>
      <c r="C624" s="3" t="s">
        <v>41</v>
      </c>
      <c r="D624" s="3" t="s">
        <v>233</v>
      </c>
      <c r="E624" s="4">
        <v>11</v>
      </c>
      <c r="F624" s="4">
        <v>5</v>
      </c>
      <c r="G624" s="4">
        <v>55</v>
      </c>
      <c r="H624" s="3" t="s">
        <v>25</v>
      </c>
      <c r="I624" s="3" t="s">
        <v>38</v>
      </c>
      <c r="J624" s="5">
        <v>45345</v>
      </c>
      <c r="K624" s="2" t="s">
        <v>1233</v>
      </c>
    </row>
    <row r="625" spans="1:11" x14ac:dyDescent="0.3">
      <c r="A625" s="3" t="s">
        <v>841</v>
      </c>
      <c r="B625" s="3" t="s">
        <v>77</v>
      </c>
      <c r="C625" s="3" t="s">
        <v>32</v>
      </c>
      <c r="D625" s="3" t="s">
        <v>33</v>
      </c>
      <c r="E625" s="4">
        <v>12.5</v>
      </c>
      <c r="F625" s="4">
        <v>3</v>
      </c>
      <c r="G625" s="4">
        <v>37.5</v>
      </c>
      <c r="H625" s="3" t="s">
        <v>48</v>
      </c>
      <c r="I625" s="3" t="s">
        <v>16</v>
      </c>
      <c r="J625" s="5">
        <v>44745</v>
      </c>
      <c r="K625" s="2" t="s">
        <v>1233</v>
      </c>
    </row>
    <row r="626" spans="1:11" x14ac:dyDescent="0.3">
      <c r="A626" s="3" t="s">
        <v>842</v>
      </c>
      <c r="B626" s="3" t="s">
        <v>98</v>
      </c>
      <c r="C626" s="3" t="s">
        <v>66</v>
      </c>
      <c r="D626" s="3" t="s">
        <v>119</v>
      </c>
      <c r="E626" s="4">
        <v>18.5</v>
      </c>
      <c r="F626" s="4">
        <v>3</v>
      </c>
      <c r="G626" s="4">
        <v>55.5</v>
      </c>
      <c r="H626" s="3" t="s">
        <v>25</v>
      </c>
      <c r="I626" s="3" t="s">
        <v>16</v>
      </c>
      <c r="J626" s="5">
        <v>45295</v>
      </c>
      <c r="K626" s="2" t="b">
        <v>0</v>
      </c>
    </row>
    <row r="627" spans="1:11" x14ac:dyDescent="0.3">
      <c r="A627" s="3" t="s">
        <v>843</v>
      </c>
      <c r="B627" s="3" t="s">
        <v>113</v>
      </c>
      <c r="C627" s="3" t="s">
        <v>66</v>
      </c>
      <c r="D627" s="3" t="s">
        <v>101</v>
      </c>
      <c r="E627" s="4">
        <v>35</v>
      </c>
      <c r="F627" s="4">
        <v>5</v>
      </c>
      <c r="G627" s="4">
        <v>175</v>
      </c>
      <c r="H627" s="3" t="s">
        <v>25</v>
      </c>
      <c r="I627" s="3" t="s">
        <v>16</v>
      </c>
      <c r="J627" s="5">
        <v>44783</v>
      </c>
      <c r="K627" s="2" t="b">
        <v>1</v>
      </c>
    </row>
    <row r="628" spans="1:11" x14ac:dyDescent="0.3">
      <c r="A628" s="3" t="s">
        <v>844</v>
      </c>
      <c r="B628" s="3" t="s">
        <v>46</v>
      </c>
      <c r="C628" s="3" t="s">
        <v>23</v>
      </c>
      <c r="D628" s="3" t="s">
        <v>135</v>
      </c>
      <c r="E628" s="4">
        <v>27.5</v>
      </c>
      <c r="F628" s="4">
        <v>4</v>
      </c>
      <c r="G628" s="4">
        <v>110</v>
      </c>
      <c r="H628" s="3" t="s">
        <v>15</v>
      </c>
      <c r="I628" s="3" t="s">
        <v>38</v>
      </c>
      <c r="J628" s="5">
        <v>44696</v>
      </c>
      <c r="K628" s="2" t="b">
        <v>0</v>
      </c>
    </row>
    <row r="629" spans="1:11" x14ac:dyDescent="0.3">
      <c r="A629" s="3" t="s">
        <v>845</v>
      </c>
      <c r="B629" s="3" t="s">
        <v>40</v>
      </c>
      <c r="C629" s="3" t="s">
        <v>13</v>
      </c>
      <c r="D629" s="3" t="s">
        <v>1233</v>
      </c>
      <c r="E629" s="4">
        <v>5</v>
      </c>
      <c r="F629" s="4" t="s">
        <v>1233</v>
      </c>
      <c r="G629" s="4" t="s">
        <v>1233</v>
      </c>
      <c r="H629" s="3" t="s">
        <v>15</v>
      </c>
      <c r="I629" s="3" t="s">
        <v>38</v>
      </c>
      <c r="J629" s="5">
        <v>44993</v>
      </c>
      <c r="K629" s="2" t="b">
        <v>1</v>
      </c>
    </row>
    <row r="630" spans="1:11" x14ac:dyDescent="0.3">
      <c r="A630" s="3" t="s">
        <v>846</v>
      </c>
      <c r="B630" s="3" t="s">
        <v>65</v>
      </c>
      <c r="C630" s="3" t="s">
        <v>41</v>
      </c>
      <c r="D630" s="3" t="s">
        <v>674</v>
      </c>
      <c r="E630" s="4">
        <v>12.5</v>
      </c>
      <c r="F630" s="4">
        <v>9</v>
      </c>
      <c r="G630" s="4">
        <v>112.5</v>
      </c>
      <c r="H630" s="3" t="s">
        <v>25</v>
      </c>
      <c r="I630" s="3" t="s">
        <v>38</v>
      </c>
      <c r="J630" s="5">
        <v>45437</v>
      </c>
      <c r="K630" s="2" t="b">
        <v>0</v>
      </c>
    </row>
    <row r="631" spans="1:11" x14ac:dyDescent="0.3">
      <c r="A631" s="3" t="s">
        <v>847</v>
      </c>
      <c r="B631" s="3" t="s">
        <v>69</v>
      </c>
      <c r="C631" s="3" t="s">
        <v>41</v>
      </c>
      <c r="D631" s="3" t="s">
        <v>199</v>
      </c>
      <c r="E631" s="4">
        <v>39.5</v>
      </c>
      <c r="F631" s="4">
        <v>1</v>
      </c>
      <c r="G631" s="4">
        <v>39.5</v>
      </c>
      <c r="H631" s="3" t="s">
        <v>15</v>
      </c>
      <c r="I631" s="3" t="s">
        <v>38</v>
      </c>
      <c r="J631" s="5">
        <v>45648</v>
      </c>
      <c r="K631" s="2" t="b">
        <v>0</v>
      </c>
    </row>
    <row r="632" spans="1:11" x14ac:dyDescent="0.3">
      <c r="A632" s="3" t="s">
        <v>848</v>
      </c>
      <c r="B632" s="3" t="s">
        <v>46</v>
      </c>
      <c r="C632" s="3" t="s">
        <v>130</v>
      </c>
      <c r="D632" s="3" t="s">
        <v>516</v>
      </c>
      <c r="E632" s="4">
        <v>29</v>
      </c>
      <c r="F632" s="4">
        <v>6</v>
      </c>
      <c r="G632" s="4">
        <v>174</v>
      </c>
      <c r="H632" s="3" t="s">
        <v>25</v>
      </c>
      <c r="I632" s="3" t="s">
        <v>16</v>
      </c>
      <c r="J632" s="5">
        <v>44575</v>
      </c>
      <c r="K632" s="2" t="b">
        <v>1</v>
      </c>
    </row>
    <row r="633" spans="1:11" x14ac:dyDescent="0.3">
      <c r="A633" s="3" t="s">
        <v>849</v>
      </c>
      <c r="B633" s="3" t="s">
        <v>116</v>
      </c>
      <c r="C633" s="3" t="s">
        <v>19</v>
      </c>
      <c r="D633" s="3" t="s">
        <v>1233</v>
      </c>
      <c r="E633" s="4" t="s">
        <v>1233</v>
      </c>
      <c r="F633" s="4">
        <v>1</v>
      </c>
      <c r="G633" s="4">
        <v>27.5</v>
      </c>
      <c r="H633" s="3" t="s">
        <v>25</v>
      </c>
      <c r="I633" s="3" t="s">
        <v>16</v>
      </c>
      <c r="J633" s="5">
        <v>44810</v>
      </c>
      <c r="K633" s="2" t="b">
        <v>1</v>
      </c>
    </row>
    <row r="634" spans="1:11" x14ac:dyDescent="0.3">
      <c r="A634" s="3" t="s">
        <v>850</v>
      </c>
      <c r="B634" s="3" t="s">
        <v>89</v>
      </c>
      <c r="C634" s="3" t="s">
        <v>13</v>
      </c>
      <c r="D634" s="3" t="s">
        <v>520</v>
      </c>
      <c r="E634" s="4">
        <v>15.5</v>
      </c>
      <c r="F634" s="4">
        <v>10</v>
      </c>
      <c r="G634" s="4">
        <v>155</v>
      </c>
      <c r="H634" s="3" t="s">
        <v>15</v>
      </c>
      <c r="I634" s="3" t="s">
        <v>38</v>
      </c>
      <c r="J634" s="5">
        <v>44880</v>
      </c>
      <c r="K634" s="2" t="s">
        <v>1233</v>
      </c>
    </row>
    <row r="635" spans="1:11" x14ac:dyDescent="0.3">
      <c r="A635" s="3" t="s">
        <v>851</v>
      </c>
      <c r="B635" s="3" t="s">
        <v>74</v>
      </c>
      <c r="C635" s="3" t="s">
        <v>66</v>
      </c>
      <c r="D635" s="3" t="s">
        <v>246</v>
      </c>
      <c r="E635" s="4">
        <v>15.5</v>
      </c>
      <c r="F635" s="4">
        <v>3</v>
      </c>
      <c r="G635" s="4">
        <v>46.5</v>
      </c>
      <c r="H635" s="3" t="s">
        <v>48</v>
      </c>
      <c r="I635" s="3" t="s">
        <v>16</v>
      </c>
      <c r="J635" s="5">
        <v>45097</v>
      </c>
      <c r="K635" s="2" t="b">
        <v>0</v>
      </c>
    </row>
    <row r="636" spans="1:11" x14ac:dyDescent="0.3">
      <c r="A636" s="3" t="s">
        <v>852</v>
      </c>
      <c r="B636" s="3" t="s">
        <v>123</v>
      </c>
      <c r="C636" s="3" t="s">
        <v>130</v>
      </c>
      <c r="D636" s="3" t="s">
        <v>131</v>
      </c>
      <c r="E636" s="4">
        <v>27.5</v>
      </c>
      <c r="F636" s="4">
        <v>5</v>
      </c>
      <c r="G636" s="4">
        <v>137.5</v>
      </c>
      <c r="H636" s="3" t="s">
        <v>15</v>
      </c>
      <c r="I636" s="3" t="s">
        <v>38</v>
      </c>
      <c r="J636" s="5">
        <v>44648</v>
      </c>
      <c r="K636" s="2" t="b">
        <v>1</v>
      </c>
    </row>
    <row r="637" spans="1:11" x14ac:dyDescent="0.3">
      <c r="A637" s="3" t="s">
        <v>853</v>
      </c>
      <c r="B637" s="3" t="s">
        <v>43</v>
      </c>
      <c r="C637" s="3" t="s">
        <v>66</v>
      </c>
      <c r="D637" s="3" t="s">
        <v>352</v>
      </c>
      <c r="E637" s="4">
        <v>38</v>
      </c>
      <c r="F637" s="4">
        <v>9</v>
      </c>
      <c r="G637" s="4">
        <v>342</v>
      </c>
      <c r="H637" s="3" t="s">
        <v>48</v>
      </c>
      <c r="I637" s="3" t="s">
        <v>16</v>
      </c>
      <c r="J637" s="5">
        <v>45410</v>
      </c>
      <c r="K637" s="2" t="b">
        <v>1</v>
      </c>
    </row>
    <row r="638" spans="1:11" x14ac:dyDescent="0.3">
      <c r="A638" s="3" t="s">
        <v>854</v>
      </c>
      <c r="B638" s="3" t="s">
        <v>100</v>
      </c>
      <c r="C638" s="3" t="s">
        <v>19</v>
      </c>
      <c r="D638" s="3" t="s">
        <v>287</v>
      </c>
      <c r="E638" s="4">
        <v>20</v>
      </c>
      <c r="F638" s="4">
        <v>1</v>
      </c>
      <c r="G638" s="4">
        <v>20</v>
      </c>
      <c r="H638" s="3" t="s">
        <v>15</v>
      </c>
      <c r="I638" s="3" t="s">
        <v>38</v>
      </c>
      <c r="J638" s="5">
        <v>44659</v>
      </c>
      <c r="K638" s="2" t="b">
        <v>0</v>
      </c>
    </row>
    <row r="639" spans="1:11" x14ac:dyDescent="0.3">
      <c r="A639" s="3" t="s">
        <v>855</v>
      </c>
      <c r="B639" s="3" t="s">
        <v>22</v>
      </c>
      <c r="C639" s="3" t="s">
        <v>32</v>
      </c>
      <c r="D639" s="3" t="s">
        <v>409</v>
      </c>
      <c r="E639" s="4">
        <v>11</v>
      </c>
      <c r="F639" s="4">
        <v>2</v>
      </c>
      <c r="G639" s="4">
        <v>22</v>
      </c>
      <c r="H639" s="3" t="s">
        <v>25</v>
      </c>
      <c r="I639" s="3" t="s">
        <v>16</v>
      </c>
      <c r="J639" s="5">
        <v>44875</v>
      </c>
      <c r="K639" s="2" t="s">
        <v>1233</v>
      </c>
    </row>
    <row r="640" spans="1:11" x14ac:dyDescent="0.3">
      <c r="A640" s="3" t="s">
        <v>856</v>
      </c>
      <c r="B640" s="3" t="s">
        <v>22</v>
      </c>
      <c r="C640" s="3" t="s">
        <v>23</v>
      </c>
      <c r="D640" s="3" t="s">
        <v>47</v>
      </c>
      <c r="E640" s="4">
        <v>36.5</v>
      </c>
      <c r="F640" s="4">
        <v>7</v>
      </c>
      <c r="G640" s="4">
        <v>255.5</v>
      </c>
      <c r="H640" s="3" t="s">
        <v>48</v>
      </c>
      <c r="I640" s="3" t="s">
        <v>38</v>
      </c>
      <c r="J640" s="5">
        <v>44997</v>
      </c>
      <c r="K640" s="2" t="b">
        <v>1</v>
      </c>
    </row>
    <row r="641" spans="1:11" x14ac:dyDescent="0.3">
      <c r="A641" s="3" t="s">
        <v>857</v>
      </c>
      <c r="B641" s="3" t="s">
        <v>108</v>
      </c>
      <c r="C641" s="3" t="s">
        <v>130</v>
      </c>
      <c r="D641" s="3" t="s">
        <v>212</v>
      </c>
      <c r="E641" s="4">
        <v>14</v>
      </c>
      <c r="F641" s="4">
        <v>3</v>
      </c>
      <c r="G641" s="4">
        <v>42</v>
      </c>
      <c r="H641" s="3" t="s">
        <v>15</v>
      </c>
      <c r="I641" s="3" t="s">
        <v>16</v>
      </c>
      <c r="J641" s="5">
        <v>45096</v>
      </c>
      <c r="K641" s="2" t="b">
        <v>1</v>
      </c>
    </row>
    <row r="642" spans="1:11" x14ac:dyDescent="0.3">
      <c r="A642" s="3" t="s">
        <v>858</v>
      </c>
      <c r="B642" s="3" t="s">
        <v>65</v>
      </c>
      <c r="C642" s="3" t="s">
        <v>32</v>
      </c>
      <c r="D642" s="3" t="s">
        <v>128</v>
      </c>
      <c r="E642" s="4">
        <v>21.5</v>
      </c>
      <c r="F642" s="4">
        <v>8</v>
      </c>
      <c r="G642" s="4">
        <v>172</v>
      </c>
      <c r="H642" s="3" t="s">
        <v>48</v>
      </c>
      <c r="I642" s="3" t="s">
        <v>16</v>
      </c>
      <c r="J642" s="5">
        <v>44810</v>
      </c>
      <c r="K642" s="2" t="b">
        <v>1</v>
      </c>
    </row>
    <row r="643" spans="1:11" x14ac:dyDescent="0.3">
      <c r="A643" s="3" t="s">
        <v>859</v>
      </c>
      <c r="B643" s="3" t="s">
        <v>168</v>
      </c>
      <c r="C643" s="3" t="s">
        <v>23</v>
      </c>
      <c r="D643" s="3" t="s">
        <v>217</v>
      </c>
      <c r="E643" s="4">
        <v>35</v>
      </c>
      <c r="F643" s="4">
        <v>5</v>
      </c>
      <c r="G643" s="4">
        <v>175</v>
      </c>
      <c r="H643" s="3" t="s">
        <v>25</v>
      </c>
      <c r="I643" s="3" t="s">
        <v>38</v>
      </c>
      <c r="J643" s="5">
        <v>44980</v>
      </c>
      <c r="K643" s="2" t="b">
        <v>0</v>
      </c>
    </row>
    <row r="644" spans="1:11" x14ac:dyDescent="0.3">
      <c r="A644" s="3" t="s">
        <v>860</v>
      </c>
      <c r="B644" s="3" t="s">
        <v>22</v>
      </c>
      <c r="C644" s="3" t="s">
        <v>130</v>
      </c>
      <c r="D644" s="3" t="s">
        <v>516</v>
      </c>
      <c r="E644" s="4">
        <v>29</v>
      </c>
      <c r="F644" s="4">
        <v>1</v>
      </c>
      <c r="G644" s="4">
        <v>29</v>
      </c>
      <c r="H644" s="3" t="s">
        <v>48</v>
      </c>
      <c r="I644" s="3" t="s">
        <v>16</v>
      </c>
      <c r="J644" s="5">
        <v>44906</v>
      </c>
      <c r="K644" s="2" t="b">
        <v>0</v>
      </c>
    </row>
    <row r="645" spans="1:11" x14ac:dyDescent="0.3">
      <c r="A645" s="3" t="s">
        <v>861</v>
      </c>
      <c r="B645" s="3" t="s">
        <v>80</v>
      </c>
      <c r="C645" s="3" t="s">
        <v>19</v>
      </c>
      <c r="D645" s="3" t="s">
        <v>142</v>
      </c>
      <c r="E645" s="4">
        <v>32</v>
      </c>
      <c r="F645" s="4">
        <v>10</v>
      </c>
      <c r="G645" s="4">
        <v>320</v>
      </c>
      <c r="H645" s="3" t="s">
        <v>48</v>
      </c>
      <c r="I645" s="3" t="s">
        <v>16</v>
      </c>
      <c r="J645" s="5">
        <v>45451</v>
      </c>
      <c r="K645" s="2" t="b">
        <v>1</v>
      </c>
    </row>
    <row r="646" spans="1:11" x14ac:dyDescent="0.3">
      <c r="A646" s="3" t="s">
        <v>862</v>
      </c>
      <c r="B646" s="3" t="s">
        <v>100</v>
      </c>
      <c r="C646" s="3" t="s">
        <v>41</v>
      </c>
      <c r="D646" s="3" t="s">
        <v>303</v>
      </c>
      <c r="E646" s="4">
        <v>15.5</v>
      </c>
      <c r="F646" s="4">
        <v>9</v>
      </c>
      <c r="G646" s="4">
        <v>139.5</v>
      </c>
      <c r="H646" s="3" t="s">
        <v>48</v>
      </c>
      <c r="I646" s="3" t="s">
        <v>38</v>
      </c>
      <c r="J646" s="5">
        <v>44689</v>
      </c>
      <c r="K646" s="2" t="s">
        <v>1233</v>
      </c>
    </row>
    <row r="647" spans="1:11" x14ac:dyDescent="0.3">
      <c r="A647" s="3" t="s">
        <v>863</v>
      </c>
      <c r="B647" s="3" t="s">
        <v>98</v>
      </c>
      <c r="C647" s="3" t="s">
        <v>28</v>
      </c>
      <c r="D647" s="3" t="s">
        <v>676</v>
      </c>
      <c r="E647" s="4">
        <v>39.5</v>
      </c>
      <c r="F647" s="4">
        <v>4</v>
      </c>
      <c r="G647" s="4">
        <v>158</v>
      </c>
      <c r="H647" s="3" t="s">
        <v>48</v>
      </c>
      <c r="I647" s="3" t="s">
        <v>38</v>
      </c>
      <c r="J647" s="5">
        <v>45634</v>
      </c>
      <c r="K647" s="2" t="b">
        <v>1</v>
      </c>
    </row>
    <row r="648" spans="1:11" x14ac:dyDescent="0.3">
      <c r="A648" s="3" t="s">
        <v>864</v>
      </c>
      <c r="B648" s="3" t="s">
        <v>98</v>
      </c>
      <c r="C648" s="3" t="s">
        <v>28</v>
      </c>
      <c r="D648" s="3" t="s">
        <v>865</v>
      </c>
      <c r="E648" s="4">
        <v>26</v>
      </c>
      <c r="F648" s="4">
        <v>1</v>
      </c>
      <c r="G648" s="4">
        <v>26</v>
      </c>
      <c r="H648" s="3" t="s">
        <v>25</v>
      </c>
      <c r="I648" s="3" t="s">
        <v>38</v>
      </c>
      <c r="J648" s="5">
        <v>44813</v>
      </c>
      <c r="K648" s="2" t="b">
        <v>0</v>
      </c>
    </row>
    <row r="649" spans="1:11" x14ac:dyDescent="0.3">
      <c r="A649" s="3" t="s">
        <v>866</v>
      </c>
      <c r="B649" s="3" t="s">
        <v>74</v>
      </c>
      <c r="C649" s="3" t="s">
        <v>19</v>
      </c>
      <c r="D649" s="3" t="s">
        <v>540</v>
      </c>
      <c r="E649" s="4">
        <v>23</v>
      </c>
      <c r="F649" s="4">
        <v>9</v>
      </c>
      <c r="G649" s="4">
        <v>207</v>
      </c>
      <c r="H649" s="3" t="s">
        <v>15</v>
      </c>
      <c r="I649" s="3" t="s">
        <v>38</v>
      </c>
      <c r="J649" s="5">
        <v>45587</v>
      </c>
      <c r="K649" s="2" t="b">
        <v>1</v>
      </c>
    </row>
    <row r="650" spans="1:11" x14ac:dyDescent="0.3">
      <c r="A650" s="3" t="s">
        <v>867</v>
      </c>
      <c r="B650" s="3" t="s">
        <v>123</v>
      </c>
      <c r="C650" s="3" t="s">
        <v>41</v>
      </c>
      <c r="D650" s="3" t="s">
        <v>197</v>
      </c>
      <c r="E650" s="4">
        <v>35</v>
      </c>
      <c r="F650" s="4">
        <v>2</v>
      </c>
      <c r="G650" s="4">
        <v>70</v>
      </c>
      <c r="H650" s="3" t="s">
        <v>15</v>
      </c>
      <c r="I650" s="3" t="s">
        <v>38</v>
      </c>
      <c r="J650" s="5">
        <v>45189</v>
      </c>
      <c r="K650" s="2" t="b">
        <v>1</v>
      </c>
    </row>
    <row r="651" spans="1:11" x14ac:dyDescent="0.3">
      <c r="A651" s="3" t="s">
        <v>868</v>
      </c>
      <c r="B651" s="3" t="s">
        <v>84</v>
      </c>
      <c r="C651" s="3" t="s">
        <v>130</v>
      </c>
      <c r="D651" s="3" t="s">
        <v>335</v>
      </c>
      <c r="E651" s="4">
        <v>20</v>
      </c>
      <c r="F651" s="4">
        <v>6</v>
      </c>
      <c r="G651" s="4">
        <v>120</v>
      </c>
      <c r="H651" s="3" t="s">
        <v>25</v>
      </c>
      <c r="I651" s="3" t="s">
        <v>16</v>
      </c>
      <c r="J651" s="5">
        <v>44769</v>
      </c>
      <c r="K651" s="2" t="b">
        <v>1</v>
      </c>
    </row>
    <row r="652" spans="1:11" x14ac:dyDescent="0.3">
      <c r="A652" s="3" t="s">
        <v>869</v>
      </c>
      <c r="B652" s="3" t="s">
        <v>65</v>
      </c>
      <c r="C652" s="3" t="s">
        <v>28</v>
      </c>
      <c r="D652" s="3" t="s">
        <v>570</v>
      </c>
      <c r="E652" s="4">
        <v>29</v>
      </c>
      <c r="F652" s="4">
        <v>1</v>
      </c>
      <c r="G652" s="4">
        <v>29</v>
      </c>
      <c r="H652" s="3" t="s">
        <v>48</v>
      </c>
      <c r="I652" s="3" t="s">
        <v>38</v>
      </c>
      <c r="J652" s="5">
        <v>45114</v>
      </c>
      <c r="K652" s="2" t="b">
        <v>1</v>
      </c>
    </row>
    <row r="653" spans="1:11" x14ac:dyDescent="0.3">
      <c r="A653" s="3" t="s">
        <v>870</v>
      </c>
      <c r="B653" s="3" t="s">
        <v>98</v>
      </c>
      <c r="C653" s="3" t="s">
        <v>19</v>
      </c>
      <c r="D653" s="3" t="s">
        <v>871</v>
      </c>
      <c r="E653" s="4">
        <v>33.5</v>
      </c>
      <c r="F653" s="4">
        <v>2</v>
      </c>
      <c r="G653" s="4">
        <v>67</v>
      </c>
      <c r="H653" s="3" t="s">
        <v>15</v>
      </c>
      <c r="I653" s="3" t="s">
        <v>38</v>
      </c>
      <c r="J653" s="5">
        <v>44922</v>
      </c>
      <c r="K653" s="2" t="b">
        <v>0</v>
      </c>
    </row>
    <row r="654" spans="1:11" x14ac:dyDescent="0.3">
      <c r="A654" s="3" t="s">
        <v>872</v>
      </c>
      <c r="B654" s="3" t="s">
        <v>74</v>
      </c>
      <c r="C654" s="3" t="s">
        <v>130</v>
      </c>
      <c r="D654" s="3" t="s">
        <v>275</v>
      </c>
      <c r="E654" s="4">
        <v>6.5</v>
      </c>
      <c r="F654" s="4">
        <v>1</v>
      </c>
      <c r="G654" s="4">
        <v>6.5</v>
      </c>
      <c r="H654" s="3" t="s">
        <v>48</v>
      </c>
      <c r="I654" s="3" t="s">
        <v>38</v>
      </c>
      <c r="J654" s="5">
        <v>45318</v>
      </c>
      <c r="K654" s="2" t="s">
        <v>1233</v>
      </c>
    </row>
    <row r="655" spans="1:11" x14ac:dyDescent="0.3">
      <c r="A655" s="3" t="s">
        <v>873</v>
      </c>
      <c r="B655" s="3" t="s">
        <v>63</v>
      </c>
      <c r="C655" s="3" t="s">
        <v>13</v>
      </c>
      <c r="D655" s="3" t="s">
        <v>509</v>
      </c>
      <c r="E655" s="4">
        <v>17</v>
      </c>
      <c r="F655" s="4">
        <v>2</v>
      </c>
      <c r="G655" s="4">
        <v>34</v>
      </c>
      <c r="H655" s="3" t="s">
        <v>48</v>
      </c>
      <c r="I655" s="3" t="s">
        <v>38</v>
      </c>
      <c r="J655" s="5">
        <v>45571</v>
      </c>
      <c r="K655" s="2" t="b">
        <v>1</v>
      </c>
    </row>
    <row r="656" spans="1:11" x14ac:dyDescent="0.3">
      <c r="A656" s="3" t="s">
        <v>874</v>
      </c>
      <c r="B656" s="3" t="s">
        <v>98</v>
      </c>
      <c r="C656" s="3" t="s">
        <v>13</v>
      </c>
      <c r="D656" s="3" t="s">
        <v>520</v>
      </c>
      <c r="E656" s="4">
        <v>15.5</v>
      </c>
      <c r="F656" s="4">
        <v>3</v>
      </c>
      <c r="G656" s="4">
        <v>46.5</v>
      </c>
      <c r="H656" s="3" t="s">
        <v>25</v>
      </c>
      <c r="I656" s="3" t="s">
        <v>16</v>
      </c>
      <c r="J656" s="5">
        <v>44775</v>
      </c>
      <c r="K656" s="2" t="b">
        <v>1</v>
      </c>
    </row>
    <row r="657" spans="1:11" x14ac:dyDescent="0.3">
      <c r="A657" s="3" t="s">
        <v>875</v>
      </c>
      <c r="B657" s="3" t="s">
        <v>100</v>
      </c>
      <c r="C657" s="3" t="s">
        <v>19</v>
      </c>
      <c r="D657" s="3" t="s">
        <v>553</v>
      </c>
      <c r="E657" s="4">
        <v>36.5</v>
      </c>
      <c r="F657" s="4">
        <v>10</v>
      </c>
      <c r="G657" s="4">
        <v>365</v>
      </c>
      <c r="H657" s="3" t="s">
        <v>48</v>
      </c>
      <c r="I657" s="3" t="s">
        <v>16</v>
      </c>
      <c r="J657" s="5">
        <v>45632</v>
      </c>
      <c r="K657" s="2" t="b">
        <v>0</v>
      </c>
    </row>
    <row r="658" spans="1:11" x14ac:dyDescent="0.3">
      <c r="A658" s="3" t="s">
        <v>876</v>
      </c>
      <c r="B658" s="3" t="s">
        <v>123</v>
      </c>
      <c r="C658" s="3" t="s">
        <v>13</v>
      </c>
      <c r="D658" s="3" t="s">
        <v>133</v>
      </c>
      <c r="E658" s="4">
        <v>20</v>
      </c>
      <c r="F658" s="4">
        <v>1</v>
      </c>
      <c r="G658" s="4">
        <v>20</v>
      </c>
      <c r="H658" s="3" t="s">
        <v>25</v>
      </c>
      <c r="I658" s="3" t="s">
        <v>16</v>
      </c>
      <c r="J658" s="5">
        <v>45660</v>
      </c>
      <c r="K658" s="2" t="b">
        <v>0</v>
      </c>
    </row>
    <row r="659" spans="1:11" x14ac:dyDescent="0.3">
      <c r="A659" s="3" t="s">
        <v>877</v>
      </c>
      <c r="B659" s="3" t="s">
        <v>46</v>
      </c>
      <c r="C659" s="3" t="s">
        <v>28</v>
      </c>
      <c r="D659" s="3" t="s">
        <v>865</v>
      </c>
      <c r="E659" s="4">
        <v>26</v>
      </c>
      <c r="F659" s="4">
        <v>6</v>
      </c>
      <c r="G659" s="4">
        <v>156</v>
      </c>
      <c r="H659" s="3" t="s">
        <v>48</v>
      </c>
      <c r="I659" s="3" t="s">
        <v>38</v>
      </c>
      <c r="J659" s="5">
        <v>45586</v>
      </c>
      <c r="K659" s="2" t="s">
        <v>1233</v>
      </c>
    </row>
    <row r="660" spans="1:11" x14ac:dyDescent="0.3">
      <c r="A660" s="3" t="s">
        <v>878</v>
      </c>
      <c r="B660" s="3" t="s">
        <v>123</v>
      </c>
      <c r="C660" s="3" t="s">
        <v>41</v>
      </c>
      <c r="D660" s="3" t="s">
        <v>197</v>
      </c>
      <c r="E660" s="4">
        <v>35</v>
      </c>
      <c r="F660" s="4">
        <v>10</v>
      </c>
      <c r="G660" s="4">
        <v>350</v>
      </c>
      <c r="H660" s="3" t="s">
        <v>15</v>
      </c>
      <c r="I660" s="3" t="s">
        <v>16</v>
      </c>
      <c r="J660" s="5">
        <v>45096</v>
      </c>
      <c r="K660" s="2" t="b">
        <v>0</v>
      </c>
    </row>
    <row r="661" spans="1:11" x14ac:dyDescent="0.3">
      <c r="A661" s="3" t="s">
        <v>879</v>
      </c>
      <c r="B661" s="3" t="s">
        <v>123</v>
      </c>
      <c r="C661" s="3" t="s">
        <v>13</v>
      </c>
      <c r="D661" s="3" t="s">
        <v>796</v>
      </c>
      <c r="E661" s="4">
        <v>38</v>
      </c>
      <c r="F661" s="4">
        <v>6</v>
      </c>
      <c r="G661" s="4">
        <v>228</v>
      </c>
      <c r="H661" s="3" t="s">
        <v>48</v>
      </c>
      <c r="I661" s="3" t="s">
        <v>38</v>
      </c>
      <c r="J661" s="5">
        <v>45572</v>
      </c>
      <c r="K661" s="2" t="b">
        <v>0</v>
      </c>
    </row>
    <row r="662" spans="1:11" x14ac:dyDescent="0.3">
      <c r="A662" s="3" t="s">
        <v>880</v>
      </c>
      <c r="B662" s="3" t="s">
        <v>168</v>
      </c>
      <c r="C662" s="3" t="s">
        <v>130</v>
      </c>
      <c r="D662" s="3" t="s">
        <v>158</v>
      </c>
      <c r="E662" s="4">
        <v>36.5</v>
      </c>
      <c r="F662" s="4">
        <v>8</v>
      </c>
      <c r="G662" s="4">
        <v>292</v>
      </c>
      <c r="H662" s="3" t="s">
        <v>25</v>
      </c>
      <c r="I662" s="3" t="s">
        <v>16</v>
      </c>
      <c r="J662" s="5">
        <v>45238</v>
      </c>
      <c r="K662" s="2" t="b">
        <v>0</v>
      </c>
    </row>
    <row r="663" spans="1:11" x14ac:dyDescent="0.3">
      <c r="A663" s="3" t="s">
        <v>881</v>
      </c>
      <c r="B663" s="3" t="s">
        <v>89</v>
      </c>
      <c r="C663" s="3" t="s">
        <v>13</v>
      </c>
      <c r="D663" s="3" t="s">
        <v>166</v>
      </c>
      <c r="E663" s="4">
        <v>21.5</v>
      </c>
      <c r="F663" s="4">
        <v>3</v>
      </c>
      <c r="G663" s="4">
        <v>64.5</v>
      </c>
      <c r="H663" s="3" t="s">
        <v>15</v>
      </c>
      <c r="I663" s="3" t="s">
        <v>16</v>
      </c>
      <c r="J663" s="5">
        <v>45177</v>
      </c>
      <c r="K663" s="2" t="b">
        <v>1</v>
      </c>
    </row>
    <row r="664" spans="1:11" x14ac:dyDescent="0.3">
      <c r="A664" s="3" t="s">
        <v>882</v>
      </c>
      <c r="B664" s="3" t="s">
        <v>116</v>
      </c>
      <c r="C664" s="3" t="s">
        <v>28</v>
      </c>
      <c r="D664" s="3" t="s">
        <v>174</v>
      </c>
      <c r="E664" s="4">
        <v>9.5</v>
      </c>
      <c r="F664" s="4">
        <v>6</v>
      </c>
      <c r="G664" s="4">
        <v>57</v>
      </c>
      <c r="H664" s="3" t="s">
        <v>25</v>
      </c>
      <c r="I664" s="3" t="s">
        <v>38</v>
      </c>
      <c r="J664" s="5">
        <v>44901</v>
      </c>
      <c r="K664" s="2" t="b">
        <v>1</v>
      </c>
    </row>
    <row r="665" spans="1:11" x14ac:dyDescent="0.3">
      <c r="A665" s="3" t="s">
        <v>883</v>
      </c>
      <c r="B665" s="3" t="s">
        <v>113</v>
      </c>
      <c r="C665" s="3" t="s">
        <v>28</v>
      </c>
      <c r="D665" s="3" t="s">
        <v>301</v>
      </c>
      <c r="E665" s="4">
        <v>35</v>
      </c>
      <c r="F665" s="4">
        <v>9</v>
      </c>
      <c r="G665" s="4">
        <v>315</v>
      </c>
      <c r="H665" s="3" t="s">
        <v>25</v>
      </c>
      <c r="I665" s="3" t="s">
        <v>16</v>
      </c>
      <c r="J665" s="5">
        <v>45524</v>
      </c>
      <c r="K665" s="2" t="b">
        <v>0</v>
      </c>
    </row>
    <row r="666" spans="1:11" x14ac:dyDescent="0.3">
      <c r="A666" s="3" t="s">
        <v>884</v>
      </c>
      <c r="B666" s="3" t="s">
        <v>113</v>
      </c>
      <c r="C666" s="3" t="s">
        <v>32</v>
      </c>
      <c r="D666" s="3" t="s">
        <v>498</v>
      </c>
      <c r="E666" s="4">
        <v>29</v>
      </c>
      <c r="F666" s="4">
        <v>6</v>
      </c>
      <c r="G666" s="4">
        <v>174</v>
      </c>
      <c r="H666" s="3" t="s">
        <v>15</v>
      </c>
      <c r="I666" s="3" t="s">
        <v>16</v>
      </c>
      <c r="J666" s="5">
        <v>44710</v>
      </c>
      <c r="K666" s="2" t="s">
        <v>1233</v>
      </c>
    </row>
    <row r="667" spans="1:11" x14ac:dyDescent="0.3">
      <c r="A667" s="3" t="s">
        <v>885</v>
      </c>
      <c r="B667" s="3" t="s">
        <v>77</v>
      </c>
      <c r="C667" s="3" t="s">
        <v>41</v>
      </c>
      <c r="D667" s="3" t="s">
        <v>453</v>
      </c>
      <c r="E667" s="4">
        <v>26</v>
      </c>
      <c r="F667" s="4">
        <v>6</v>
      </c>
      <c r="G667" s="4">
        <v>156</v>
      </c>
      <c r="H667" s="3" t="s">
        <v>48</v>
      </c>
      <c r="I667" s="3" t="s">
        <v>38</v>
      </c>
      <c r="J667" s="5">
        <v>44940</v>
      </c>
      <c r="K667" s="2" t="b">
        <v>0</v>
      </c>
    </row>
    <row r="668" spans="1:11" x14ac:dyDescent="0.3">
      <c r="A668" s="3" t="s">
        <v>886</v>
      </c>
      <c r="B668" s="3" t="s">
        <v>84</v>
      </c>
      <c r="C668" s="3" t="s">
        <v>19</v>
      </c>
      <c r="D668" s="3" t="s">
        <v>1233</v>
      </c>
      <c r="E668" s="4" t="s">
        <v>1233</v>
      </c>
      <c r="F668" s="4">
        <v>4</v>
      </c>
      <c r="G668" s="4">
        <v>110</v>
      </c>
      <c r="H668" s="3" t="s">
        <v>15</v>
      </c>
      <c r="I668" s="3" t="s">
        <v>38</v>
      </c>
      <c r="J668" s="5">
        <v>45501</v>
      </c>
      <c r="K668" s="2" t="b">
        <v>1</v>
      </c>
    </row>
    <row r="669" spans="1:11" x14ac:dyDescent="0.3">
      <c r="A669" s="3" t="s">
        <v>887</v>
      </c>
      <c r="B669" s="3" t="s">
        <v>63</v>
      </c>
      <c r="C669" s="3" t="s">
        <v>28</v>
      </c>
      <c r="D669" s="3" t="s">
        <v>174</v>
      </c>
      <c r="E669" s="4">
        <v>9.5</v>
      </c>
      <c r="F669" s="4">
        <v>8</v>
      </c>
      <c r="G669" s="4">
        <v>76</v>
      </c>
      <c r="H669" s="3" t="s">
        <v>15</v>
      </c>
      <c r="I669" s="3" t="s">
        <v>38</v>
      </c>
      <c r="J669" s="5">
        <v>44568</v>
      </c>
      <c r="K669" s="2" t="b">
        <v>0</v>
      </c>
    </row>
    <row r="670" spans="1:11" x14ac:dyDescent="0.3">
      <c r="A670" s="3" t="s">
        <v>888</v>
      </c>
      <c r="B670" s="3" t="s">
        <v>22</v>
      </c>
      <c r="C670" s="3" t="s">
        <v>23</v>
      </c>
      <c r="D670" s="3" t="s">
        <v>1233</v>
      </c>
      <c r="E670" s="4" t="s">
        <v>1233</v>
      </c>
      <c r="F670" s="4">
        <v>10</v>
      </c>
      <c r="G670" s="4">
        <v>380</v>
      </c>
      <c r="H670" s="3" t="s">
        <v>15</v>
      </c>
      <c r="I670" s="3" t="s">
        <v>16</v>
      </c>
      <c r="J670" s="5">
        <v>44841</v>
      </c>
      <c r="K670" s="2" t="b">
        <v>0</v>
      </c>
    </row>
    <row r="671" spans="1:11" x14ac:dyDescent="0.3">
      <c r="A671" s="3" t="s">
        <v>889</v>
      </c>
      <c r="B671" s="3" t="s">
        <v>84</v>
      </c>
      <c r="C671" s="3" t="s">
        <v>130</v>
      </c>
      <c r="D671" s="3" t="s">
        <v>291</v>
      </c>
      <c r="E671" s="4">
        <v>23</v>
      </c>
      <c r="F671" s="4">
        <v>8</v>
      </c>
      <c r="G671" s="4">
        <v>184</v>
      </c>
      <c r="H671" s="3" t="s">
        <v>25</v>
      </c>
      <c r="I671" s="3" t="s">
        <v>16</v>
      </c>
      <c r="J671" s="5">
        <v>45132</v>
      </c>
      <c r="K671" s="2" t="s">
        <v>1233</v>
      </c>
    </row>
    <row r="672" spans="1:11" x14ac:dyDescent="0.3">
      <c r="A672" s="3" t="s">
        <v>890</v>
      </c>
      <c r="B672" s="3" t="s">
        <v>89</v>
      </c>
      <c r="C672" s="3" t="s">
        <v>41</v>
      </c>
      <c r="D672" s="3" t="s">
        <v>197</v>
      </c>
      <c r="E672" s="4">
        <v>35</v>
      </c>
      <c r="F672" s="4">
        <v>10</v>
      </c>
      <c r="G672" s="4">
        <v>350</v>
      </c>
      <c r="H672" s="3" t="s">
        <v>25</v>
      </c>
      <c r="I672" s="3" t="s">
        <v>16</v>
      </c>
      <c r="J672" s="5">
        <v>45512</v>
      </c>
      <c r="K672" s="2" t="b">
        <v>1</v>
      </c>
    </row>
    <row r="673" spans="1:11" x14ac:dyDescent="0.3">
      <c r="A673" s="3" t="s">
        <v>891</v>
      </c>
      <c r="B673" s="3" t="s">
        <v>116</v>
      </c>
      <c r="C673" s="3" t="s">
        <v>130</v>
      </c>
      <c r="D673" s="3" t="s">
        <v>183</v>
      </c>
      <c r="E673" s="4">
        <v>33.5</v>
      </c>
      <c r="F673" s="4">
        <v>5</v>
      </c>
      <c r="G673" s="4">
        <v>167.5</v>
      </c>
      <c r="H673" s="3" t="s">
        <v>48</v>
      </c>
      <c r="I673" s="3" t="s">
        <v>38</v>
      </c>
      <c r="J673" s="5">
        <v>44870</v>
      </c>
      <c r="K673" s="2" t="b">
        <v>1</v>
      </c>
    </row>
    <row r="674" spans="1:11" x14ac:dyDescent="0.3">
      <c r="A674" s="3" t="s">
        <v>892</v>
      </c>
      <c r="B674" s="3" t="s">
        <v>27</v>
      </c>
      <c r="C674" s="3" t="s">
        <v>32</v>
      </c>
      <c r="D674" s="3" t="s">
        <v>160</v>
      </c>
      <c r="E674" s="4">
        <v>36.5</v>
      </c>
      <c r="F674" s="4">
        <v>2</v>
      </c>
      <c r="G674" s="4">
        <v>73</v>
      </c>
      <c r="H674" s="3" t="s">
        <v>48</v>
      </c>
      <c r="I674" s="3" t="s">
        <v>16</v>
      </c>
      <c r="J674" s="5">
        <v>45050</v>
      </c>
      <c r="K674" s="2" t="b">
        <v>0</v>
      </c>
    </row>
    <row r="675" spans="1:11" x14ac:dyDescent="0.3">
      <c r="A675" s="3" t="s">
        <v>893</v>
      </c>
      <c r="B675" s="3" t="s">
        <v>168</v>
      </c>
      <c r="C675" s="3" t="s">
        <v>41</v>
      </c>
      <c r="D675" s="3" t="s">
        <v>594</v>
      </c>
      <c r="E675" s="4">
        <v>33.5</v>
      </c>
      <c r="F675" s="4">
        <v>1</v>
      </c>
      <c r="G675" s="4">
        <v>33.5</v>
      </c>
      <c r="H675" s="3" t="s">
        <v>48</v>
      </c>
      <c r="I675" s="3" t="s">
        <v>16</v>
      </c>
      <c r="J675" s="5">
        <v>45614</v>
      </c>
      <c r="K675" s="2" t="s">
        <v>1233</v>
      </c>
    </row>
    <row r="676" spans="1:11" x14ac:dyDescent="0.3">
      <c r="A676" s="3" t="s">
        <v>894</v>
      </c>
      <c r="B676" s="3" t="s">
        <v>74</v>
      </c>
      <c r="C676" s="3" t="s">
        <v>28</v>
      </c>
      <c r="D676" s="3" t="s">
        <v>570</v>
      </c>
      <c r="E676" s="4">
        <v>29</v>
      </c>
      <c r="F676" s="4">
        <v>5</v>
      </c>
      <c r="G676" s="4">
        <v>145</v>
      </c>
      <c r="H676" s="3" t="s">
        <v>48</v>
      </c>
      <c r="I676" s="3" t="s">
        <v>16</v>
      </c>
      <c r="J676" s="5">
        <v>45063</v>
      </c>
      <c r="K676" s="2" t="s">
        <v>1233</v>
      </c>
    </row>
    <row r="677" spans="1:11" x14ac:dyDescent="0.3">
      <c r="A677" s="3" t="s">
        <v>895</v>
      </c>
      <c r="B677" s="3" t="s">
        <v>31</v>
      </c>
      <c r="C677" s="3" t="s">
        <v>41</v>
      </c>
      <c r="D677" s="3" t="s">
        <v>709</v>
      </c>
      <c r="E677" s="4">
        <v>21.5</v>
      </c>
      <c r="F677" s="4">
        <v>10</v>
      </c>
      <c r="G677" s="4">
        <v>215</v>
      </c>
      <c r="H677" s="3" t="s">
        <v>25</v>
      </c>
      <c r="I677" s="3" t="s">
        <v>16</v>
      </c>
      <c r="J677" s="5">
        <v>45165</v>
      </c>
      <c r="K677" s="2" t="s">
        <v>1233</v>
      </c>
    </row>
    <row r="678" spans="1:11" x14ac:dyDescent="0.3">
      <c r="A678" s="3" t="s">
        <v>896</v>
      </c>
      <c r="B678" s="3" t="s">
        <v>108</v>
      </c>
      <c r="C678" s="3" t="s">
        <v>41</v>
      </c>
      <c r="D678" s="3" t="s">
        <v>233</v>
      </c>
      <c r="E678" s="4">
        <v>11</v>
      </c>
      <c r="F678" s="4">
        <v>4</v>
      </c>
      <c r="G678" s="4">
        <v>44</v>
      </c>
      <c r="H678" s="3" t="s">
        <v>25</v>
      </c>
      <c r="I678" s="3" t="s">
        <v>38</v>
      </c>
      <c r="J678" s="5">
        <v>44896</v>
      </c>
      <c r="K678" s="2" t="s">
        <v>1233</v>
      </c>
    </row>
    <row r="679" spans="1:11" x14ac:dyDescent="0.3">
      <c r="A679" s="3" t="s">
        <v>897</v>
      </c>
      <c r="B679" s="3" t="s">
        <v>116</v>
      </c>
      <c r="C679" s="3" t="s">
        <v>130</v>
      </c>
      <c r="D679" s="3" t="s">
        <v>293</v>
      </c>
      <c r="E679" s="4">
        <v>12.5</v>
      </c>
      <c r="F679" s="4">
        <v>6</v>
      </c>
      <c r="G679" s="4">
        <v>75</v>
      </c>
      <c r="H679" s="3" t="s">
        <v>15</v>
      </c>
      <c r="I679" s="3" t="s">
        <v>16</v>
      </c>
      <c r="J679" s="5">
        <v>44960</v>
      </c>
      <c r="K679" s="2" t="b">
        <v>0</v>
      </c>
    </row>
    <row r="680" spans="1:11" x14ac:dyDescent="0.3">
      <c r="A680" s="3" t="s">
        <v>898</v>
      </c>
      <c r="B680" s="3" t="s">
        <v>43</v>
      </c>
      <c r="C680" s="3" t="s">
        <v>19</v>
      </c>
      <c r="D680" s="3" t="s">
        <v>58</v>
      </c>
      <c r="E680" s="4">
        <v>27.5</v>
      </c>
      <c r="F680" s="4">
        <v>1</v>
      </c>
      <c r="G680" s="4">
        <v>27.5</v>
      </c>
      <c r="H680" s="3" t="s">
        <v>25</v>
      </c>
      <c r="I680" s="3" t="s">
        <v>16</v>
      </c>
      <c r="J680" s="5">
        <v>45160</v>
      </c>
      <c r="K680" s="2" t="b">
        <v>0</v>
      </c>
    </row>
    <row r="681" spans="1:11" x14ac:dyDescent="0.3">
      <c r="A681" s="3" t="s">
        <v>899</v>
      </c>
      <c r="B681" s="3" t="s">
        <v>43</v>
      </c>
      <c r="C681" s="3" t="s">
        <v>19</v>
      </c>
      <c r="D681" s="3" t="s">
        <v>540</v>
      </c>
      <c r="E681" s="4">
        <v>23</v>
      </c>
      <c r="F681" s="4">
        <v>1</v>
      </c>
      <c r="G681" s="4">
        <v>23</v>
      </c>
      <c r="H681" s="3" t="s">
        <v>15</v>
      </c>
      <c r="I681" s="3" t="s">
        <v>38</v>
      </c>
      <c r="J681" s="5">
        <v>45182</v>
      </c>
      <c r="K681" s="2" t="s">
        <v>1233</v>
      </c>
    </row>
    <row r="682" spans="1:11" x14ac:dyDescent="0.3">
      <c r="A682" s="3" t="s">
        <v>900</v>
      </c>
      <c r="B682" s="3" t="s">
        <v>27</v>
      </c>
      <c r="C682" s="3" t="s">
        <v>32</v>
      </c>
      <c r="D682" s="3" t="s">
        <v>482</v>
      </c>
      <c r="E682" s="4">
        <v>23</v>
      </c>
      <c r="F682" s="4">
        <v>5</v>
      </c>
      <c r="G682" s="4">
        <v>115</v>
      </c>
      <c r="H682" s="3" t="s">
        <v>15</v>
      </c>
      <c r="I682" s="3" t="s">
        <v>16</v>
      </c>
      <c r="J682" s="5">
        <v>45673</v>
      </c>
      <c r="K682" s="2" t="s">
        <v>1233</v>
      </c>
    </row>
    <row r="683" spans="1:11" x14ac:dyDescent="0.3">
      <c r="A683" s="3" t="s">
        <v>901</v>
      </c>
      <c r="B683" s="3" t="s">
        <v>65</v>
      </c>
      <c r="C683" s="3" t="s">
        <v>23</v>
      </c>
      <c r="D683" s="3" t="s">
        <v>277</v>
      </c>
      <c r="E683" s="4">
        <v>30.5</v>
      </c>
      <c r="F683" s="4">
        <v>10</v>
      </c>
      <c r="G683" s="4">
        <v>305</v>
      </c>
      <c r="H683" s="3" t="s">
        <v>48</v>
      </c>
      <c r="I683" s="3" t="s">
        <v>16</v>
      </c>
      <c r="J683" s="5">
        <v>44774</v>
      </c>
      <c r="K683" s="2" t="b">
        <v>0</v>
      </c>
    </row>
    <row r="684" spans="1:11" x14ac:dyDescent="0.3">
      <c r="A684" s="3" t="s">
        <v>902</v>
      </c>
      <c r="B684" s="3" t="s">
        <v>84</v>
      </c>
      <c r="C684" s="3" t="s">
        <v>130</v>
      </c>
      <c r="D684" s="3" t="s">
        <v>744</v>
      </c>
      <c r="E684" s="4">
        <v>38</v>
      </c>
      <c r="F684" s="4">
        <v>3</v>
      </c>
      <c r="G684" s="4">
        <v>114</v>
      </c>
      <c r="H684" s="3" t="s">
        <v>48</v>
      </c>
      <c r="I684" s="3" t="s">
        <v>38</v>
      </c>
      <c r="J684" s="5">
        <v>44683</v>
      </c>
      <c r="K684" s="2" t="s">
        <v>1233</v>
      </c>
    </row>
    <row r="685" spans="1:11" x14ac:dyDescent="0.3">
      <c r="A685" s="3" t="s">
        <v>903</v>
      </c>
      <c r="B685" s="3" t="s">
        <v>77</v>
      </c>
      <c r="C685" s="3" t="s">
        <v>23</v>
      </c>
      <c r="D685" s="3" t="s">
        <v>383</v>
      </c>
      <c r="E685" s="4">
        <v>41</v>
      </c>
      <c r="F685" s="4">
        <v>8</v>
      </c>
      <c r="G685" s="4">
        <v>328</v>
      </c>
      <c r="H685" s="3" t="s">
        <v>25</v>
      </c>
      <c r="I685" s="3" t="s">
        <v>16</v>
      </c>
      <c r="J685" s="5">
        <v>45368</v>
      </c>
      <c r="K685" s="2" t="s">
        <v>1233</v>
      </c>
    </row>
    <row r="686" spans="1:11" x14ac:dyDescent="0.3">
      <c r="A686" s="3" t="s">
        <v>904</v>
      </c>
      <c r="B686" s="3" t="s">
        <v>100</v>
      </c>
      <c r="C686" s="3" t="s">
        <v>130</v>
      </c>
      <c r="D686" s="3" t="s">
        <v>326</v>
      </c>
      <c r="E686" s="4">
        <v>30.5</v>
      </c>
      <c r="F686" s="4">
        <v>9</v>
      </c>
      <c r="G686" s="4">
        <v>274.5</v>
      </c>
      <c r="H686" s="3" t="s">
        <v>15</v>
      </c>
      <c r="I686" s="3" t="s">
        <v>38</v>
      </c>
      <c r="J686" s="5">
        <v>44604</v>
      </c>
      <c r="K686" s="2" t="s">
        <v>1233</v>
      </c>
    </row>
    <row r="687" spans="1:11" x14ac:dyDescent="0.3">
      <c r="A687" s="3" t="s">
        <v>905</v>
      </c>
      <c r="B687" s="3" t="s">
        <v>46</v>
      </c>
      <c r="C687" s="3" t="s">
        <v>23</v>
      </c>
      <c r="D687" s="3" t="s">
        <v>217</v>
      </c>
      <c r="E687" s="4">
        <v>35</v>
      </c>
      <c r="F687" s="4">
        <v>6</v>
      </c>
      <c r="G687" s="4">
        <v>210</v>
      </c>
      <c r="H687" s="3" t="s">
        <v>48</v>
      </c>
      <c r="I687" s="3" t="s">
        <v>16</v>
      </c>
      <c r="J687" s="5">
        <v>44742</v>
      </c>
      <c r="K687" s="2" t="s">
        <v>1233</v>
      </c>
    </row>
    <row r="688" spans="1:11" x14ac:dyDescent="0.3">
      <c r="A688" s="3" t="s">
        <v>906</v>
      </c>
      <c r="B688" s="3" t="s">
        <v>43</v>
      </c>
      <c r="C688" s="3" t="s">
        <v>130</v>
      </c>
      <c r="D688" s="3" t="s">
        <v>243</v>
      </c>
      <c r="E688" s="4">
        <v>15.5</v>
      </c>
      <c r="F688" s="4">
        <v>7</v>
      </c>
      <c r="G688" s="4">
        <v>108.5</v>
      </c>
      <c r="H688" s="3" t="s">
        <v>15</v>
      </c>
      <c r="I688" s="3" t="s">
        <v>38</v>
      </c>
      <c r="J688" s="5">
        <v>45070</v>
      </c>
      <c r="K688" s="2" t="b">
        <v>1</v>
      </c>
    </row>
    <row r="689" spans="1:11" x14ac:dyDescent="0.3">
      <c r="A689" s="3" t="s">
        <v>907</v>
      </c>
      <c r="B689" s="3" t="s">
        <v>108</v>
      </c>
      <c r="C689" s="3" t="s">
        <v>23</v>
      </c>
      <c r="D689" s="3" t="s">
        <v>397</v>
      </c>
      <c r="E689" s="4">
        <v>5</v>
      </c>
      <c r="F689" s="4">
        <v>3</v>
      </c>
      <c r="G689" s="4">
        <v>15</v>
      </c>
      <c r="H689" s="3" t="s">
        <v>48</v>
      </c>
      <c r="I689" s="3" t="s">
        <v>16</v>
      </c>
      <c r="J689" s="5">
        <v>45460</v>
      </c>
      <c r="K689" s="2" t="s">
        <v>1233</v>
      </c>
    </row>
    <row r="690" spans="1:11" x14ac:dyDescent="0.3">
      <c r="A690" s="3" t="s">
        <v>908</v>
      </c>
      <c r="B690" s="3" t="s">
        <v>113</v>
      </c>
      <c r="C690" s="3" t="s">
        <v>130</v>
      </c>
      <c r="D690" s="3" t="s">
        <v>225</v>
      </c>
      <c r="E690" s="4">
        <v>41</v>
      </c>
      <c r="F690" s="4">
        <v>6</v>
      </c>
      <c r="G690" s="4">
        <v>246</v>
      </c>
      <c r="H690" s="3" t="s">
        <v>15</v>
      </c>
      <c r="I690" s="3" t="s">
        <v>38</v>
      </c>
      <c r="J690" s="5">
        <v>44780</v>
      </c>
      <c r="K690" s="2" t="s">
        <v>1233</v>
      </c>
    </row>
    <row r="691" spans="1:11" x14ac:dyDescent="0.3">
      <c r="A691" s="3" t="s">
        <v>909</v>
      </c>
      <c r="B691" s="3" t="s">
        <v>18</v>
      </c>
      <c r="C691" s="3" t="s">
        <v>28</v>
      </c>
      <c r="D691" s="3" t="s">
        <v>268</v>
      </c>
      <c r="E691" s="4">
        <v>12.5</v>
      </c>
      <c r="F691" s="4">
        <v>8</v>
      </c>
      <c r="G691" s="4">
        <v>100</v>
      </c>
      <c r="H691" s="3" t="s">
        <v>15</v>
      </c>
      <c r="I691" s="3" t="s">
        <v>16</v>
      </c>
      <c r="J691" s="5">
        <v>45331</v>
      </c>
      <c r="K691" s="2" t="b">
        <v>1</v>
      </c>
    </row>
    <row r="692" spans="1:11" x14ac:dyDescent="0.3">
      <c r="A692" s="3" t="s">
        <v>910</v>
      </c>
      <c r="B692" s="3" t="s">
        <v>168</v>
      </c>
      <c r="C692" s="3" t="s">
        <v>13</v>
      </c>
      <c r="D692" s="3" t="s">
        <v>207</v>
      </c>
      <c r="E692" s="4">
        <v>9.5</v>
      </c>
      <c r="F692" s="4">
        <v>10</v>
      </c>
      <c r="G692" s="4">
        <v>95</v>
      </c>
      <c r="H692" s="3" t="s">
        <v>15</v>
      </c>
      <c r="I692" s="3" t="s">
        <v>38</v>
      </c>
      <c r="J692" s="5">
        <v>44796</v>
      </c>
      <c r="K692" s="2" t="b">
        <v>0</v>
      </c>
    </row>
    <row r="693" spans="1:11" x14ac:dyDescent="0.3">
      <c r="A693" s="3" t="s">
        <v>911</v>
      </c>
      <c r="B693" s="3" t="s">
        <v>31</v>
      </c>
      <c r="C693" s="3" t="s">
        <v>13</v>
      </c>
      <c r="D693" s="3" t="s">
        <v>178</v>
      </c>
      <c r="E693" s="4">
        <v>14</v>
      </c>
      <c r="F693" s="4">
        <v>9</v>
      </c>
      <c r="G693" s="4">
        <v>126</v>
      </c>
      <c r="H693" s="3" t="s">
        <v>15</v>
      </c>
      <c r="I693" s="3" t="s">
        <v>38</v>
      </c>
      <c r="J693" s="5">
        <v>44830</v>
      </c>
      <c r="K693" s="2" t="b">
        <v>0</v>
      </c>
    </row>
    <row r="694" spans="1:11" x14ac:dyDescent="0.3">
      <c r="A694" s="3" t="s">
        <v>912</v>
      </c>
      <c r="B694" s="3" t="s">
        <v>100</v>
      </c>
      <c r="C694" s="3" t="s">
        <v>28</v>
      </c>
      <c r="D694" s="3" t="s">
        <v>308</v>
      </c>
      <c r="E694" s="4">
        <v>6.5</v>
      </c>
      <c r="F694" s="4">
        <v>3</v>
      </c>
      <c r="G694" s="4">
        <v>19.5</v>
      </c>
      <c r="H694" s="3" t="s">
        <v>48</v>
      </c>
      <c r="I694" s="3" t="s">
        <v>16</v>
      </c>
      <c r="J694" s="5">
        <v>45439</v>
      </c>
      <c r="K694" s="2" t="b">
        <v>1</v>
      </c>
    </row>
    <row r="695" spans="1:11" x14ac:dyDescent="0.3">
      <c r="A695" s="3" t="s">
        <v>913</v>
      </c>
      <c r="B695" s="3" t="s">
        <v>22</v>
      </c>
      <c r="C695" s="3" t="s">
        <v>32</v>
      </c>
      <c r="D695" s="3" t="s">
        <v>409</v>
      </c>
      <c r="E695" s="4">
        <v>11</v>
      </c>
      <c r="F695" s="4">
        <v>9</v>
      </c>
      <c r="G695" s="4">
        <v>99</v>
      </c>
      <c r="H695" s="3" t="s">
        <v>15</v>
      </c>
      <c r="I695" s="3" t="s">
        <v>38</v>
      </c>
      <c r="J695" s="5">
        <v>45627</v>
      </c>
      <c r="K695" s="2" t="b">
        <v>1</v>
      </c>
    </row>
    <row r="696" spans="1:11" x14ac:dyDescent="0.3">
      <c r="A696" s="3" t="s">
        <v>914</v>
      </c>
      <c r="B696" s="3" t="s">
        <v>46</v>
      </c>
      <c r="C696" s="3" t="s">
        <v>13</v>
      </c>
      <c r="D696" s="3" t="s">
        <v>503</v>
      </c>
      <c r="E696" s="4">
        <v>33.5</v>
      </c>
      <c r="F696" s="4">
        <v>7</v>
      </c>
      <c r="G696" s="4">
        <v>234.5</v>
      </c>
      <c r="H696" s="3" t="s">
        <v>25</v>
      </c>
      <c r="I696" s="3" t="s">
        <v>38</v>
      </c>
      <c r="J696" s="5">
        <v>44745</v>
      </c>
      <c r="K696" s="2" t="b">
        <v>0</v>
      </c>
    </row>
    <row r="697" spans="1:11" x14ac:dyDescent="0.3">
      <c r="A697" s="3" t="s">
        <v>915</v>
      </c>
      <c r="B697" s="3" t="s">
        <v>55</v>
      </c>
      <c r="C697" s="3" t="s">
        <v>66</v>
      </c>
      <c r="D697" s="3" t="s">
        <v>464</v>
      </c>
      <c r="E697" s="4">
        <v>11</v>
      </c>
      <c r="F697" s="4">
        <v>2</v>
      </c>
      <c r="G697" s="4">
        <v>22</v>
      </c>
      <c r="H697" s="3" t="s">
        <v>15</v>
      </c>
      <c r="I697" s="3" t="s">
        <v>38</v>
      </c>
      <c r="J697" s="5">
        <v>44630</v>
      </c>
      <c r="K697" s="2" t="b">
        <v>1</v>
      </c>
    </row>
    <row r="698" spans="1:11" x14ac:dyDescent="0.3">
      <c r="A698" s="3" t="s">
        <v>916</v>
      </c>
      <c r="B698" s="3" t="s">
        <v>74</v>
      </c>
      <c r="C698" s="3" t="s">
        <v>130</v>
      </c>
      <c r="D698" s="3" t="s">
        <v>621</v>
      </c>
      <c r="E698" s="4">
        <v>21.5</v>
      </c>
      <c r="F698" s="4">
        <v>7</v>
      </c>
      <c r="G698" s="4">
        <v>150.5</v>
      </c>
      <c r="H698" s="3" t="s">
        <v>48</v>
      </c>
      <c r="I698" s="3" t="s">
        <v>16</v>
      </c>
      <c r="J698" s="5">
        <v>44667</v>
      </c>
      <c r="K698" s="2" t="b">
        <v>0</v>
      </c>
    </row>
    <row r="699" spans="1:11" x14ac:dyDescent="0.3">
      <c r="A699" s="3" t="s">
        <v>917</v>
      </c>
      <c r="B699" s="3" t="s">
        <v>43</v>
      </c>
      <c r="C699" s="3" t="s">
        <v>28</v>
      </c>
      <c r="D699" s="3" t="s">
        <v>865</v>
      </c>
      <c r="E699" s="4">
        <v>26</v>
      </c>
      <c r="F699" s="4">
        <v>9</v>
      </c>
      <c r="G699" s="4">
        <v>234</v>
      </c>
      <c r="H699" s="3" t="s">
        <v>25</v>
      </c>
      <c r="I699" s="3" t="s">
        <v>16</v>
      </c>
      <c r="J699" s="5">
        <v>44642</v>
      </c>
      <c r="K699" s="2" t="s">
        <v>1233</v>
      </c>
    </row>
    <row r="700" spans="1:11" x14ac:dyDescent="0.3">
      <c r="A700" s="3" t="s">
        <v>918</v>
      </c>
      <c r="B700" s="3" t="s">
        <v>108</v>
      </c>
      <c r="C700" s="3" t="s">
        <v>66</v>
      </c>
      <c r="D700" s="3" t="s">
        <v>919</v>
      </c>
      <c r="E700" s="4">
        <v>17</v>
      </c>
      <c r="F700" s="4">
        <v>3</v>
      </c>
      <c r="G700" s="4">
        <v>51</v>
      </c>
      <c r="H700" s="3" t="s">
        <v>48</v>
      </c>
      <c r="I700" s="3" t="s">
        <v>16</v>
      </c>
      <c r="J700" s="5">
        <v>44973</v>
      </c>
      <c r="K700" s="2" t="b">
        <v>1</v>
      </c>
    </row>
    <row r="701" spans="1:11" x14ac:dyDescent="0.3">
      <c r="A701" s="3" t="s">
        <v>920</v>
      </c>
      <c r="B701" s="3" t="s">
        <v>116</v>
      </c>
      <c r="C701" s="3" t="s">
        <v>41</v>
      </c>
      <c r="D701" s="3" t="s">
        <v>1233</v>
      </c>
      <c r="E701" s="4" t="s">
        <v>1233</v>
      </c>
      <c r="F701" s="4">
        <v>3</v>
      </c>
      <c r="G701" s="4">
        <v>105</v>
      </c>
      <c r="H701" s="3" t="s">
        <v>48</v>
      </c>
      <c r="I701" s="3" t="s">
        <v>16</v>
      </c>
      <c r="J701" s="5">
        <v>45466</v>
      </c>
      <c r="K701" s="2" t="b">
        <v>0</v>
      </c>
    </row>
    <row r="702" spans="1:11" x14ac:dyDescent="0.3">
      <c r="A702" s="3" t="s">
        <v>921</v>
      </c>
      <c r="B702" s="3" t="s">
        <v>123</v>
      </c>
      <c r="C702" s="3" t="s">
        <v>41</v>
      </c>
      <c r="D702" s="3" t="s">
        <v>1233</v>
      </c>
      <c r="E702" s="4" t="s">
        <v>1233</v>
      </c>
      <c r="F702" s="4">
        <v>2</v>
      </c>
      <c r="G702" s="4">
        <v>10</v>
      </c>
      <c r="H702" s="3" t="s">
        <v>15</v>
      </c>
      <c r="I702" s="3" t="s">
        <v>38</v>
      </c>
      <c r="J702" s="5">
        <v>45121</v>
      </c>
      <c r="K702" s="2" t="b">
        <v>1</v>
      </c>
    </row>
    <row r="703" spans="1:11" x14ac:dyDescent="0.3">
      <c r="A703" s="3" t="s">
        <v>922</v>
      </c>
      <c r="B703" s="3" t="s">
        <v>84</v>
      </c>
      <c r="C703" s="3" t="s">
        <v>13</v>
      </c>
      <c r="D703" s="3" t="s">
        <v>178</v>
      </c>
      <c r="E703" s="4">
        <v>14</v>
      </c>
      <c r="F703" s="4">
        <v>10</v>
      </c>
      <c r="G703" s="4">
        <v>140</v>
      </c>
      <c r="H703" s="3" t="s">
        <v>15</v>
      </c>
      <c r="I703" s="3" t="s">
        <v>38</v>
      </c>
      <c r="J703" s="5">
        <v>44862</v>
      </c>
      <c r="K703" s="2" t="b">
        <v>1</v>
      </c>
    </row>
    <row r="704" spans="1:11" x14ac:dyDescent="0.3">
      <c r="A704" s="3" t="s">
        <v>923</v>
      </c>
      <c r="B704" s="3" t="s">
        <v>123</v>
      </c>
      <c r="C704" s="3" t="s">
        <v>41</v>
      </c>
      <c r="D704" s="3" t="s">
        <v>146</v>
      </c>
      <c r="E704" s="4">
        <v>14</v>
      </c>
      <c r="F704" s="4">
        <v>7</v>
      </c>
      <c r="G704" s="4">
        <v>98</v>
      </c>
      <c r="H704" s="3" t="s">
        <v>25</v>
      </c>
      <c r="I704" s="3" t="s">
        <v>16</v>
      </c>
      <c r="J704" s="5">
        <v>44858</v>
      </c>
      <c r="K704" s="2" t="b">
        <v>1</v>
      </c>
    </row>
    <row r="705" spans="1:11" x14ac:dyDescent="0.3">
      <c r="A705" s="3" t="s">
        <v>924</v>
      </c>
      <c r="B705" s="3" t="s">
        <v>18</v>
      </c>
      <c r="C705" s="3" t="s">
        <v>66</v>
      </c>
      <c r="D705" s="3" t="s">
        <v>367</v>
      </c>
      <c r="E705" s="4">
        <v>21.5</v>
      </c>
      <c r="F705" s="4">
        <v>2</v>
      </c>
      <c r="G705" s="4">
        <v>43</v>
      </c>
      <c r="H705" s="3" t="s">
        <v>25</v>
      </c>
      <c r="I705" s="3" t="s">
        <v>16</v>
      </c>
      <c r="J705" s="5">
        <v>44912</v>
      </c>
      <c r="K705" s="2" t="s">
        <v>1233</v>
      </c>
    </row>
    <row r="706" spans="1:11" x14ac:dyDescent="0.3">
      <c r="A706" s="3" t="s">
        <v>925</v>
      </c>
      <c r="B706" s="3" t="s">
        <v>89</v>
      </c>
      <c r="C706" s="3" t="s">
        <v>19</v>
      </c>
      <c r="D706" s="3" t="s">
        <v>391</v>
      </c>
      <c r="E706" s="4">
        <v>6.5</v>
      </c>
      <c r="F706" s="4">
        <v>8</v>
      </c>
      <c r="G706" s="4">
        <v>52</v>
      </c>
      <c r="H706" s="3" t="s">
        <v>25</v>
      </c>
      <c r="I706" s="3" t="s">
        <v>38</v>
      </c>
      <c r="J706" s="5">
        <v>45481</v>
      </c>
      <c r="K706" s="2" t="b">
        <v>0</v>
      </c>
    </row>
    <row r="707" spans="1:11" x14ac:dyDescent="0.3">
      <c r="A707" s="3" t="s">
        <v>926</v>
      </c>
      <c r="B707" s="3" t="s">
        <v>84</v>
      </c>
      <c r="C707" s="3" t="s">
        <v>66</v>
      </c>
      <c r="D707" s="3" t="s">
        <v>215</v>
      </c>
      <c r="E707" s="4">
        <v>12.5</v>
      </c>
      <c r="F707" s="4">
        <v>6</v>
      </c>
      <c r="G707" s="4">
        <v>75</v>
      </c>
      <c r="H707" s="3" t="s">
        <v>48</v>
      </c>
      <c r="I707" s="3" t="s">
        <v>38</v>
      </c>
      <c r="J707" s="5">
        <v>44878</v>
      </c>
      <c r="K707" s="2" t="b">
        <v>0</v>
      </c>
    </row>
    <row r="708" spans="1:11" x14ac:dyDescent="0.3">
      <c r="A708" s="3" t="s">
        <v>927</v>
      </c>
      <c r="B708" s="3" t="s">
        <v>65</v>
      </c>
      <c r="C708" s="3" t="s">
        <v>41</v>
      </c>
      <c r="D708" s="3" t="s">
        <v>453</v>
      </c>
      <c r="E708" s="4">
        <v>26</v>
      </c>
      <c r="F708" s="4">
        <v>1</v>
      </c>
      <c r="G708" s="4">
        <v>26</v>
      </c>
      <c r="H708" s="3" t="s">
        <v>48</v>
      </c>
      <c r="I708" s="3" t="s">
        <v>16</v>
      </c>
      <c r="J708" s="5">
        <v>44744</v>
      </c>
      <c r="K708" s="2" t="b">
        <v>1</v>
      </c>
    </row>
    <row r="709" spans="1:11" x14ac:dyDescent="0.3">
      <c r="A709" s="3" t="s">
        <v>928</v>
      </c>
      <c r="B709" s="3" t="s">
        <v>46</v>
      </c>
      <c r="C709" s="3" t="s">
        <v>41</v>
      </c>
      <c r="D709" s="3" t="s">
        <v>594</v>
      </c>
      <c r="E709" s="4">
        <v>33.5</v>
      </c>
      <c r="F709" s="4">
        <v>1</v>
      </c>
      <c r="G709" s="4">
        <v>33.5</v>
      </c>
      <c r="H709" s="3" t="s">
        <v>15</v>
      </c>
      <c r="I709" s="3" t="s">
        <v>38</v>
      </c>
      <c r="J709" s="5">
        <v>44717</v>
      </c>
      <c r="K709" s="2" t="b">
        <v>1</v>
      </c>
    </row>
    <row r="710" spans="1:11" x14ac:dyDescent="0.3">
      <c r="A710" s="3" t="s">
        <v>929</v>
      </c>
      <c r="B710" s="3" t="s">
        <v>18</v>
      </c>
      <c r="C710" s="3" t="s">
        <v>28</v>
      </c>
      <c r="D710" s="3" t="s">
        <v>205</v>
      </c>
      <c r="E710" s="4">
        <v>24.5</v>
      </c>
      <c r="F710" s="4">
        <v>2</v>
      </c>
      <c r="G710" s="4">
        <v>49</v>
      </c>
      <c r="H710" s="3" t="s">
        <v>15</v>
      </c>
      <c r="I710" s="3" t="s">
        <v>38</v>
      </c>
      <c r="J710" s="5">
        <v>44918</v>
      </c>
      <c r="K710" s="2" t="b">
        <v>1</v>
      </c>
    </row>
    <row r="711" spans="1:11" x14ac:dyDescent="0.3">
      <c r="A711" s="3" t="s">
        <v>930</v>
      </c>
      <c r="B711" s="3" t="s">
        <v>100</v>
      </c>
      <c r="C711" s="3" t="s">
        <v>19</v>
      </c>
      <c r="D711" s="3" t="s">
        <v>271</v>
      </c>
      <c r="E711" s="4">
        <v>5</v>
      </c>
      <c r="F711" s="4">
        <v>5</v>
      </c>
      <c r="G711" s="4">
        <v>25</v>
      </c>
      <c r="H711" s="3" t="s">
        <v>25</v>
      </c>
      <c r="I711" s="3" t="s">
        <v>16</v>
      </c>
      <c r="J711" s="5">
        <v>45378</v>
      </c>
      <c r="K711" s="2" t="s">
        <v>1233</v>
      </c>
    </row>
    <row r="712" spans="1:11" x14ac:dyDescent="0.3">
      <c r="A712" s="3" t="s">
        <v>931</v>
      </c>
      <c r="B712" s="3" t="s">
        <v>40</v>
      </c>
      <c r="C712" s="3" t="s">
        <v>130</v>
      </c>
      <c r="D712" s="3" t="s">
        <v>275</v>
      </c>
      <c r="E712" s="4">
        <v>6.5</v>
      </c>
      <c r="F712" s="4">
        <v>6</v>
      </c>
      <c r="G712" s="4">
        <v>39</v>
      </c>
      <c r="H712" s="3" t="s">
        <v>15</v>
      </c>
      <c r="I712" s="3" t="s">
        <v>38</v>
      </c>
      <c r="J712" s="5">
        <v>44580</v>
      </c>
      <c r="K712" s="2" t="s">
        <v>1233</v>
      </c>
    </row>
    <row r="713" spans="1:11" x14ac:dyDescent="0.3">
      <c r="A713" s="3" t="s">
        <v>932</v>
      </c>
      <c r="B713" s="3" t="s">
        <v>98</v>
      </c>
      <c r="C713" s="3" t="s">
        <v>41</v>
      </c>
      <c r="D713" s="3" t="s">
        <v>190</v>
      </c>
      <c r="E713" s="4">
        <v>20</v>
      </c>
      <c r="F713" s="4">
        <v>9</v>
      </c>
      <c r="G713" s="4">
        <v>180</v>
      </c>
      <c r="H713" s="3" t="s">
        <v>48</v>
      </c>
      <c r="I713" s="3" t="s">
        <v>38</v>
      </c>
      <c r="J713" s="5">
        <v>45139</v>
      </c>
      <c r="K713" s="2" t="b">
        <v>0</v>
      </c>
    </row>
    <row r="714" spans="1:11" x14ac:dyDescent="0.3">
      <c r="A714" s="3" t="s">
        <v>933</v>
      </c>
      <c r="B714" s="3" t="s">
        <v>18</v>
      </c>
      <c r="C714" s="3" t="s">
        <v>130</v>
      </c>
      <c r="D714" s="3" t="s">
        <v>1233</v>
      </c>
      <c r="E714" s="4">
        <v>30.5</v>
      </c>
      <c r="F714" s="4" t="s">
        <v>1233</v>
      </c>
      <c r="G714" s="4" t="s">
        <v>1233</v>
      </c>
      <c r="H714" s="3" t="s">
        <v>25</v>
      </c>
      <c r="I714" s="3" t="s">
        <v>38</v>
      </c>
      <c r="J714" s="5">
        <v>45598</v>
      </c>
      <c r="K714" s="2" t="b">
        <v>1</v>
      </c>
    </row>
    <row r="715" spans="1:11" x14ac:dyDescent="0.3">
      <c r="A715" s="3" t="s">
        <v>934</v>
      </c>
      <c r="B715" s="3" t="s">
        <v>108</v>
      </c>
      <c r="C715" s="3" t="s">
        <v>23</v>
      </c>
      <c r="D715" s="3" t="s">
        <v>306</v>
      </c>
      <c r="E715" s="4">
        <v>23</v>
      </c>
      <c r="F715" s="4">
        <v>3</v>
      </c>
      <c r="G715" s="4">
        <v>69</v>
      </c>
      <c r="H715" s="3" t="s">
        <v>15</v>
      </c>
      <c r="I715" s="3" t="s">
        <v>38</v>
      </c>
      <c r="J715" s="5">
        <v>45481</v>
      </c>
      <c r="K715" s="2" t="b">
        <v>0</v>
      </c>
    </row>
    <row r="716" spans="1:11" x14ac:dyDescent="0.3">
      <c r="A716" s="3" t="s">
        <v>935</v>
      </c>
      <c r="B716" s="3" t="s">
        <v>36</v>
      </c>
      <c r="C716" s="3" t="s">
        <v>41</v>
      </c>
      <c r="D716" s="3" t="s">
        <v>87</v>
      </c>
      <c r="E716" s="4">
        <v>41</v>
      </c>
      <c r="F716" s="4">
        <v>9</v>
      </c>
      <c r="G716" s="4">
        <v>369</v>
      </c>
      <c r="H716" s="3" t="s">
        <v>15</v>
      </c>
      <c r="I716" s="3" t="s">
        <v>38</v>
      </c>
      <c r="J716" s="5">
        <v>45480</v>
      </c>
      <c r="K716" s="2" t="s">
        <v>1233</v>
      </c>
    </row>
    <row r="717" spans="1:11" x14ac:dyDescent="0.3">
      <c r="A717" s="3" t="s">
        <v>936</v>
      </c>
      <c r="B717" s="3" t="s">
        <v>77</v>
      </c>
      <c r="C717" s="3" t="s">
        <v>66</v>
      </c>
      <c r="D717" s="3" t="s">
        <v>352</v>
      </c>
      <c r="E717" s="4">
        <v>38</v>
      </c>
      <c r="F717" s="4">
        <v>4</v>
      </c>
      <c r="G717" s="4">
        <v>152</v>
      </c>
      <c r="H717" s="3" t="s">
        <v>15</v>
      </c>
      <c r="I717" s="3" t="s">
        <v>16</v>
      </c>
      <c r="J717" s="5">
        <v>44781</v>
      </c>
      <c r="K717" s="2" t="b">
        <v>0</v>
      </c>
    </row>
    <row r="718" spans="1:11" x14ac:dyDescent="0.3">
      <c r="A718" s="3" t="s">
        <v>937</v>
      </c>
      <c r="B718" s="3" t="s">
        <v>36</v>
      </c>
      <c r="C718" s="3" t="s">
        <v>23</v>
      </c>
      <c r="D718" s="3" t="s">
        <v>938</v>
      </c>
      <c r="E718" s="4">
        <v>20</v>
      </c>
      <c r="F718" s="4">
        <v>10</v>
      </c>
      <c r="G718" s="4">
        <v>200</v>
      </c>
      <c r="H718" s="3" t="s">
        <v>15</v>
      </c>
      <c r="I718" s="3" t="s">
        <v>16</v>
      </c>
      <c r="J718" s="5">
        <v>45619</v>
      </c>
      <c r="K718" s="2" t="s">
        <v>1233</v>
      </c>
    </row>
    <row r="719" spans="1:11" x14ac:dyDescent="0.3">
      <c r="A719" s="3" t="s">
        <v>939</v>
      </c>
      <c r="B719" s="3" t="s">
        <v>12</v>
      </c>
      <c r="C719" s="3" t="s">
        <v>23</v>
      </c>
      <c r="D719" s="3" t="s">
        <v>47</v>
      </c>
      <c r="E719" s="4">
        <v>36.5</v>
      </c>
      <c r="F719" s="4">
        <v>2</v>
      </c>
      <c r="G719" s="4">
        <v>73</v>
      </c>
      <c r="H719" s="3" t="s">
        <v>48</v>
      </c>
      <c r="I719" s="3" t="s">
        <v>16</v>
      </c>
      <c r="J719" s="5">
        <v>45035</v>
      </c>
      <c r="K719" s="2" t="b">
        <v>1</v>
      </c>
    </row>
    <row r="720" spans="1:11" x14ac:dyDescent="0.3">
      <c r="A720" s="3" t="s">
        <v>940</v>
      </c>
      <c r="B720" s="3" t="s">
        <v>108</v>
      </c>
      <c r="C720" s="3" t="s">
        <v>13</v>
      </c>
      <c r="D720" s="3" t="s">
        <v>92</v>
      </c>
      <c r="E720" s="4">
        <v>36.5</v>
      </c>
      <c r="F720" s="4">
        <v>10</v>
      </c>
      <c r="G720" s="4">
        <v>365</v>
      </c>
      <c r="H720" s="3" t="s">
        <v>48</v>
      </c>
      <c r="I720" s="3" t="s">
        <v>38</v>
      </c>
      <c r="J720" s="5">
        <v>44869</v>
      </c>
      <c r="K720" s="2" t="b">
        <v>1</v>
      </c>
    </row>
    <row r="721" spans="1:11" x14ac:dyDescent="0.3">
      <c r="A721" s="3" t="s">
        <v>941</v>
      </c>
      <c r="B721" s="3" t="s">
        <v>123</v>
      </c>
      <c r="C721" s="3" t="s">
        <v>66</v>
      </c>
      <c r="D721" s="3" t="s">
        <v>643</v>
      </c>
      <c r="E721" s="4">
        <v>26</v>
      </c>
      <c r="F721" s="4">
        <v>3</v>
      </c>
      <c r="G721" s="4">
        <v>78</v>
      </c>
      <c r="H721" s="3" t="s">
        <v>48</v>
      </c>
      <c r="I721" s="3" t="s">
        <v>38</v>
      </c>
      <c r="J721" s="5">
        <v>45654</v>
      </c>
      <c r="K721" s="2" t="b">
        <v>1</v>
      </c>
    </row>
    <row r="722" spans="1:11" x14ac:dyDescent="0.3">
      <c r="A722" s="3" t="s">
        <v>942</v>
      </c>
      <c r="B722" s="3" t="s">
        <v>74</v>
      </c>
      <c r="C722" s="3" t="s">
        <v>28</v>
      </c>
      <c r="D722" s="3" t="s">
        <v>71</v>
      </c>
      <c r="E722" s="4">
        <v>14</v>
      </c>
      <c r="F722" s="4">
        <v>1</v>
      </c>
      <c r="G722" s="4">
        <v>14</v>
      </c>
      <c r="H722" s="3" t="s">
        <v>48</v>
      </c>
      <c r="I722" s="3" t="s">
        <v>38</v>
      </c>
      <c r="J722" s="5">
        <v>44782</v>
      </c>
      <c r="K722" s="2" t="s">
        <v>1233</v>
      </c>
    </row>
    <row r="723" spans="1:11" x14ac:dyDescent="0.3">
      <c r="A723" s="3" t="s">
        <v>943</v>
      </c>
      <c r="B723" s="3" t="s">
        <v>36</v>
      </c>
      <c r="C723" s="3" t="s">
        <v>28</v>
      </c>
      <c r="D723" s="3" t="s">
        <v>205</v>
      </c>
      <c r="E723" s="4">
        <v>24.5</v>
      </c>
      <c r="F723" s="4">
        <v>2</v>
      </c>
      <c r="G723" s="4">
        <v>49</v>
      </c>
      <c r="H723" s="3" t="s">
        <v>25</v>
      </c>
      <c r="I723" s="3" t="s">
        <v>38</v>
      </c>
      <c r="J723" s="5">
        <v>44696</v>
      </c>
      <c r="K723" s="2" t="b">
        <v>1</v>
      </c>
    </row>
    <row r="724" spans="1:11" x14ac:dyDescent="0.3">
      <c r="A724" s="3" t="s">
        <v>944</v>
      </c>
      <c r="B724" s="3" t="s">
        <v>31</v>
      </c>
      <c r="C724" s="3" t="s">
        <v>28</v>
      </c>
      <c r="D724" s="3" t="s">
        <v>676</v>
      </c>
      <c r="E724" s="4">
        <v>39.5</v>
      </c>
      <c r="F724" s="4">
        <v>6</v>
      </c>
      <c r="G724" s="4">
        <v>237</v>
      </c>
      <c r="H724" s="3" t="s">
        <v>25</v>
      </c>
      <c r="I724" s="3" t="s">
        <v>38</v>
      </c>
      <c r="J724" s="5">
        <v>44929</v>
      </c>
      <c r="K724" s="2" t="b">
        <v>1</v>
      </c>
    </row>
    <row r="725" spans="1:11" x14ac:dyDescent="0.3">
      <c r="A725" s="3" t="s">
        <v>945</v>
      </c>
      <c r="B725" s="3" t="s">
        <v>22</v>
      </c>
      <c r="C725" s="3" t="s">
        <v>13</v>
      </c>
      <c r="D725" s="3" t="s">
        <v>207</v>
      </c>
      <c r="E725" s="4">
        <v>9.5</v>
      </c>
      <c r="F725" s="4">
        <v>9</v>
      </c>
      <c r="G725" s="4">
        <v>85.5</v>
      </c>
      <c r="H725" s="3" t="s">
        <v>48</v>
      </c>
      <c r="I725" s="3" t="s">
        <v>38</v>
      </c>
      <c r="J725" s="5">
        <v>44757</v>
      </c>
      <c r="K725" s="2" t="s">
        <v>1233</v>
      </c>
    </row>
    <row r="726" spans="1:11" x14ac:dyDescent="0.3">
      <c r="A726" s="3" t="s">
        <v>946</v>
      </c>
      <c r="B726" s="3" t="s">
        <v>55</v>
      </c>
      <c r="C726" s="3" t="s">
        <v>19</v>
      </c>
      <c r="D726" s="3" t="s">
        <v>152</v>
      </c>
      <c r="E726" s="4">
        <v>12.5</v>
      </c>
      <c r="F726" s="4">
        <v>6</v>
      </c>
      <c r="G726" s="4">
        <v>75</v>
      </c>
      <c r="H726" s="3" t="s">
        <v>25</v>
      </c>
      <c r="I726" s="3" t="s">
        <v>16</v>
      </c>
      <c r="J726" s="5">
        <v>45198</v>
      </c>
      <c r="K726" s="2" t="b">
        <v>0</v>
      </c>
    </row>
    <row r="727" spans="1:11" x14ac:dyDescent="0.3">
      <c r="A727" s="3" t="s">
        <v>947</v>
      </c>
      <c r="B727" s="3" t="s">
        <v>65</v>
      </c>
      <c r="C727" s="3" t="s">
        <v>41</v>
      </c>
      <c r="D727" s="3" t="s">
        <v>190</v>
      </c>
      <c r="E727" s="4">
        <v>20</v>
      </c>
      <c r="F727" s="4">
        <v>8</v>
      </c>
      <c r="G727" s="4">
        <v>160</v>
      </c>
      <c r="H727" s="3" t="s">
        <v>25</v>
      </c>
      <c r="I727" s="3" t="s">
        <v>38</v>
      </c>
      <c r="J727" s="5">
        <v>45166</v>
      </c>
      <c r="K727" s="2" t="b">
        <v>0</v>
      </c>
    </row>
    <row r="728" spans="1:11" x14ac:dyDescent="0.3">
      <c r="A728" s="3" t="s">
        <v>948</v>
      </c>
      <c r="B728" s="3" t="s">
        <v>100</v>
      </c>
      <c r="C728" s="3" t="s">
        <v>23</v>
      </c>
      <c r="D728" s="3" t="s">
        <v>85</v>
      </c>
      <c r="E728" s="4">
        <v>33.5</v>
      </c>
      <c r="F728" s="4">
        <v>8</v>
      </c>
      <c r="G728" s="4">
        <v>268</v>
      </c>
      <c r="H728" s="3" t="s">
        <v>25</v>
      </c>
      <c r="I728" s="3" t="s">
        <v>16</v>
      </c>
      <c r="J728" s="5">
        <v>44797</v>
      </c>
      <c r="K728" s="2" t="s">
        <v>1233</v>
      </c>
    </row>
    <row r="729" spans="1:11" x14ac:dyDescent="0.3">
      <c r="A729" s="3" t="s">
        <v>949</v>
      </c>
      <c r="B729" s="3" t="s">
        <v>80</v>
      </c>
      <c r="C729" s="3" t="s">
        <v>32</v>
      </c>
      <c r="D729" s="3" t="s">
        <v>33</v>
      </c>
      <c r="E729" s="4">
        <v>12.5</v>
      </c>
      <c r="F729" s="4">
        <v>10</v>
      </c>
      <c r="G729" s="4">
        <v>125</v>
      </c>
      <c r="H729" s="3" t="s">
        <v>25</v>
      </c>
      <c r="I729" s="3" t="s">
        <v>38</v>
      </c>
      <c r="J729" s="5">
        <v>44960</v>
      </c>
      <c r="K729" s="2" t="s">
        <v>1233</v>
      </c>
    </row>
    <row r="730" spans="1:11" x14ac:dyDescent="0.3">
      <c r="A730" s="3" t="s">
        <v>950</v>
      </c>
      <c r="B730" s="3" t="s">
        <v>27</v>
      </c>
      <c r="C730" s="3" t="s">
        <v>66</v>
      </c>
      <c r="D730" s="3" t="s">
        <v>367</v>
      </c>
      <c r="E730" s="4">
        <v>21.5</v>
      </c>
      <c r="F730" s="4">
        <v>8</v>
      </c>
      <c r="G730" s="4">
        <v>172</v>
      </c>
      <c r="H730" s="3" t="s">
        <v>15</v>
      </c>
      <c r="I730" s="3" t="s">
        <v>16</v>
      </c>
      <c r="J730" s="5">
        <v>44890</v>
      </c>
      <c r="K730" s="2" t="s">
        <v>1233</v>
      </c>
    </row>
    <row r="731" spans="1:11" x14ac:dyDescent="0.3">
      <c r="A731" s="3" t="s">
        <v>951</v>
      </c>
      <c r="B731" s="3" t="s">
        <v>46</v>
      </c>
      <c r="C731" s="3" t="s">
        <v>19</v>
      </c>
      <c r="D731" s="3" t="s">
        <v>540</v>
      </c>
      <c r="E731" s="4">
        <v>23</v>
      </c>
      <c r="F731" s="4">
        <v>3</v>
      </c>
      <c r="G731" s="4">
        <v>69</v>
      </c>
      <c r="H731" s="3" t="s">
        <v>15</v>
      </c>
      <c r="I731" s="3" t="s">
        <v>16</v>
      </c>
      <c r="J731" s="5">
        <v>45528</v>
      </c>
      <c r="K731" s="2" t="s">
        <v>1233</v>
      </c>
    </row>
    <row r="732" spans="1:11" x14ac:dyDescent="0.3">
      <c r="A732" s="3" t="s">
        <v>952</v>
      </c>
      <c r="B732" s="3" t="s">
        <v>43</v>
      </c>
      <c r="C732" s="3" t="s">
        <v>13</v>
      </c>
      <c r="D732" s="3" t="s">
        <v>1233</v>
      </c>
      <c r="E732" s="4">
        <v>20</v>
      </c>
      <c r="F732" s="4" t="s">
        <v>1233</v>
      </c>
      <c r="G732" s="4" t="s">
        <v>1233</v>
      </c>
      <c r="H732" s="3" t="s">
        <v>48</v>
      </c>
      <c r="I732" s="3" t="s">
        <v>16</v>
      </c>
      <c r="J732" s="5">
        <v>44566</v>
      </c>
      <c r="K732" s="2" t="s">
        <v>1233</v>
      </c>
    </row>
    <row r="733" spans="1:11" x14ac:dyDescent="0.3">
      <c r="A733" s="3" t="s">
        <v>953</v>
      </c>
      <c r="B733" s="3" t="s">
        <v>12</v>
      </c>
      <c r="C733" s="3" t="s">
        <v>41</v>
      </c>
      <c r="D733" s="3" t="s">
        <v>44</v>
      </c>
      <c r="E733" s="4">
        <v>27.5</v>
      </c>
      <c r="F733" s="4">
        <v>8</v>
      </c>
      <c r="G733" s="4">
        <v>220</v>
      </c>
      <c r="H733" s="3" t="s">
        <v>48</v>
      </c>
      <c r="I733" s="3" t="s">
        <v>16</v>
      </c>
      <c r="J733" s="5">
        <v>45038</v>
      </c>
      <c r="K733" s="2" t="b">
        <v>0</v>
      </c>
    </row>
    <row r="734" spans="1:11" x14ac:dyDescent="0.3">
      <c r="A734" s="3" t="s">
        <v>954</v>
      </c>
      <c r="B734" s="3" t="s">
        <v>108</v>
      </c>
      <c r="C734" s="3" t="s">
        <v>66</v>
      </c>
      <c r="D734" s="3" t="s">
        <v>955</v>
      </c>
      <c r="E734" s="4">
        <v>30.5</v>
      </c>
      <c r="F734" s="4">
        <v>2</v>
      </c>
      <c r="G734" s="4">
        <v>61</v>
      </c>
      <c r="H734" s="3" t="s">
        <v>15</v>
      </c>
      <c r="I734" s="3" t="s">
        <v>16</v>
      </c>
      <c r="J734" s="5">
        <v>44887</v>
      </c>
      <c r="K734" s="2" t="b">
        <v>0</v>
      </c>
    </row>
    <row r="735" spans="1:11" x14ac:dyDescent="0.3">
      <c r="A735" s="3" t="s">
        <v>956</v>
      </c>
      <c r="B735" s="3" t="s">
        <v>69</v>
      </c>
      <c r="C735" s="3" t="s">
        <v>32</v>
      </c>
      <c r="D735" s="3" t="s">
        <v>498</v>
      </c>
      <c r="E735" s="4">
        <v>29</v>
      </c>
      <c r="F735" s="4">
        <v>3</v>
      </c>
      <c r="G735" s="4">
        <v>87</v>
      </c>
      <c r="H735" s="3" t="s">
        <v>15</v>
      </c>
      <c r="I735" s="3" t="s">
        <v>38</v>
      </c>
      <c r="J735" s="5">
        <v>44714</v>
      </c>
      <c r="K735" s="2" t="b">
        <v>0</v>
      </c>
    </row>
    <row r="736" spans="1:11" x14ac:dyDescent="0.3">
      <c r="A736" s="3" t="s">
        <v>957</v>
      </c>
      <c r="B736" s="3" t="s">
        <v>63</v>
      </c>
      <c r="C736" s="3" t="s">
        <v>13</v>
      </c>
      <c r="D736" s="3" t="s">
        <v>96</v>
      </c>
      <c r="E736" s="4">
        <v>12.5</v>
      </c>
      <c r="F736" s="4">
        <v>10</v>
      </c>
      <c r="G736" s="4">
        <v>125</v>
      </c>
      <c r="H736" s="3" t="s">
        <v>25</v>
      </c>
      <c r="I736" s="3" t="s">
        <v>16</v>
      </c>
      <c r="J736" s="5">
        <v>45624</v>
      </c>
      <c r="K736" s="2" t="b">
        <v>0</v>
      </c>
    </row>
    <row r="737" spans="1:11" x14ac:dyDescent="0.3">
      <c r="A737" s="3" t="s">
        <v>958</v>
      </c>
      <c r="B737" s="3" t="s">
        <v>98</v>
      </c>
      <c r="C737" s="3" t="s">
        <v>130</v>
      </c>
      <c r="D737" s="3" t="s">
        <v>320</v>
      </c>
      <c r="E737" s="4">
        <v>24.5</v>
      </c>
      <c r="F737" s="4">
        <v>9</v>
      </c>
      <c r="G737" s="4">
        <v>220.5</v>
      </c>
      <c r="H737" s="3" t="s">
        <v>25</v>
      </c>
      <c r="I737" s="3" t="s">
        <v>38</v>
      </c>
      <c r="J737" s="5">
        <v>45170</v>
      </c>
      <c r="K737" s="2" t="b">
        <v>0</v>
      </c>
    </row>
    <row r="738" spans="1:11" x14ac:dyDescent="0.3">
      <c r="A738" s="3" t="s">
        <v>959</v>
      </c>
      <c r="B738" s="3" t="s">
        <v>65</v>
      </c>
      <c r="C738" s="3" t="s">
        <v>23</v>
      </c>
      <c r="D738" s="3" t="s">
        <v>135</v>
      </c>
      <c r="E738" s="4">
        <v>27.5</v>
      </c>
      <c r="F738" s="4">
        <v>7</v>
      </c>
      <c r="G738" s="4">
        <v>192.5</v>
      </c>
      <c r="H738" s="3" t="s">
        <v>15</v>
      </c>
      <c r="I738" s="3" t="s">
        <v>16</v>
      </c>
      <c r="J738" s="5">
        <v>44817</v>
      </c>
      <c r="K738" s="2" t="b">
        <v>1</v>
      </c>
    </row>
    <row r="739" spans="1:11" x14ac:dyDescent="0.3">
      <c r="A739" s="3" t="s">
        <v>960</v>
      </c>
      <c r="B739" s="3" t="s">
        <v>36</v>
      </c>
      <c r="C739" s="3" t="s">
        <v>32</v>
      </c>
      <c r="D739" s="3" t="s">
        <v>33</v>
      </c>
      <c r="E739" s="4">
        <v>12.5</v>
      </c>
      <c r="F739" s="4">
        <v>10</v>
      </c>
      <c r="G739" s="4">
        <v>125</v>
      </c>
      <c r="H739" s="3" t="s">
        <v>48</v>
      </c>
      <c r="I739" s="3" t="s">
        <v>38</v>
      </c>
      <c r="J739" s="5">
        <v>44587</v>
      </c>
      <c r="K739" s="2" t="b">
        <v>0</v>
      </c>
    </row>
    <row r="740" spans="1:11" x14ac:dyDescent="0.3">
      <c r="A740" s="3" t="s">
        <v>961</v>
      </c>
      <c r="B740" s="3" t="s">
        <v>98</v>
      </c>
      <c r="C740" s="3" t="s">
        <v>41</v>
      </c>
      <c r="D740" s="3" t="s">
        <v>453</v>
      </c>
      <c r="E740" s="4">
        <v>26</v>
      </c>
      <c r="F740" s="4">
        <v>8</v>
      </c>
      <c r="G740" s="4">
        <v>208</v>
      </c>
      <c r="H740" s="3" t="s">
        <v>25</v>
      </c>
      <c r="I740" s="3" t="s">
        <v>38</v>
      </c>
      <c r="J740" s="5">
        <v>45273</v>
      </c>
      <c r="K740" s="2" t="s">
        <v>1233</v>
      </c>
    </row>
    <row r="741" spans="1:11" x14ac:dyDescent="0.3">
      <c r="A741" s="3" t="s">
        <v>962</v>
      </c>
      <c r="B741" s="3" t="s">
        <v>55</v>
      </c>
      <c r="C741" s="3" t="s">
        <v>19</v>
      </c>
      <c r="D741" s="3" t="s">
        <v>488</v>
      </c>
      <c r="E741" s="4">
        <v>17</v>
      </c>
      <c r="F741" s="4">
        <v>8</v>
      </c>
      <c r="G741" s="4">
        <v>136</v>
      </c>
      <c r="H741" s="3" t="s">
        <v>48</v>
      </c>
      <c r="I741" s="3" t="s">
        <v>16</v>
      </c>
      <c r="J741" s="5">
        <v>45165</v>
      </c>
      <c r="K741" s="2" t="b">
        <v>1</v>
      </c>
    </row>
    <row r="742" spans="1:11" x14ac:dyDescent="0.3">
      <c r="A742" s="3" t="s">
        <v>963</v>
      </c>
      <c r="B742" s="3" t="s">
        <v>69</v>
      </c>
      <c r="C742" s="3" t="s">
        <v>19</v>
      </c>
      <c r="D742" s="3" t="s">
        <v>210</v>
      </c>
      <c r="E742" s="4">
        <v>9.5</v>
      </c>
      <c r="F742" s="4">
        <v>1</v>
      </c>
      <c r="G742" s="4">
        <v>9.5</v>
      </c>
      <c r="H742" s="3" t="s">
        <v>25</v>
      </c>
      <c r="I742" s="3" t="s">
        <v>38</v>
      </c>
      <c r="J742" s="5">
        <v>45096</v>
      </c>
      <c r="K742" s="2" t="b">
        <v>1</v>
      </c>
    </row>
    <row r="743" spans="1:11" x14ac:dyDescent="0.3">
      <c r="A743" s="3" t="s">
        <v>964</v>
      </c>
      <c r="B743" s="3" t="s">
        <v>31</v>
      </c>
      <c r="C743" s="3" t="s">
        <v>41</v>
      </c>
      <c r="D743" s="3" t="s">
        <v>190</v>
      </c>
      <c r="E743" s="4">
        <v>20</v>
      </c>
      <c r="F743" s="4">
        <v>2</v>
      </c>
      <c r="G743" s="4">
        <v>40</v>
      </c>
      <c r="H743" s="3" t="s">
        <v>25</v>
      </c>
      <c r="I743" s="3" t="s">
        <v>16</v>
      </c>
      <c r="J743" s="5">
        <v>45296</v>
      </c>
      <c r="K743" s="2" t="b">
        <v>1</v>
      </c>
    </row>
    <row r="744" spans="1:11" x14ac:dyDescent="0.3">
      <c r="A744" s="3" t="s">
        <v>965</v>
      </c>
      <c r="B744" s="3" t="s">
        <v>74</v>
      </c>
      <c r="C744" s="3" t="s">
        <v>66</v>
      </c>
      <c r="D744" s="3" t="s">
        <v>377</v>
      </c>
      <c r="E744" s="4">
        <v>29</v>
      </c>
      <c r="F744" s="4">
        <v>1</v>
      </c>
      <c r="G744" s="4">
        <v>29</v>
      </c>
      <c r="H744" s="3" t="s">
        <v>25</v>
      </c>
      <c r="I744" s="3" t="s">
        <v>38</v>
      </c>
      <c r="J744" s="5">
        <v>45350</v>
      </c>
      <c r="K744" s="2" t="b">
        <v>1</v>
      </c>
    </row>
    <row r="745" spans="1:11" x14ac:dyDescent="0.3">
      <c r="A745" s="3" t="s">
        <v>966</v>
      </c>
      <c r="B745" s="3" t="s">
        <v>74</v>
      </c>
      <c r="C745" s="3" t="s">
        <v>13</v>
      </c>
      <c r="D745" s="3" t="s">
        <v>164</v>
      </c>
      <c r="E745" s="4">
        <v>24.5</v>
      </c>
      <c r="F745" s="4">
        <v>7</v>
      </c>
      <c r="G745" s="4">
        <v>171.5</v>
      </c>
      <c r="H745" s="3" t="s">
        <v>48</v>
      </c>
      <c r="I745" s="3" t="s">
        <v>38</v>
      </c>
      <c r="J745" s="5">
        <v>44752</v>
      </c>
      <c r="K745" s="2" t="s">
        <v>1233</v>
      </c>
    </row>
    <row r="746" spans="1:11" x14ac:dyDescent="0.3">
      <c r="A746" s="3" t="s">
        <v>967</v>
      </c>
      <c r="B746" s="3" t="s">
        <v>18</v>
      </c>
      <c r="C746" s="3" t="s">
        <v>23</v>
      </c>
      <c r="D746" s="3" t="s">
        <v>50</v>
      </c>
      <c r="E746" s="4">
        <v>8</v>
      </c>
      <c r="F746" s="4">
        <v>9</v>
      </c>
      <c r="G746" s="4">
        <v>72</v>
      </c>
      <c r="H746" s="3" t="s">
        <v>15</v>
      </c>
      <c r="I746" s="3" t="s">
        <v>38</v>
      </c>
      <c r="J746" s="5">
        <v>44753</v>
      </c>
      <c r="K746" s="2" t="b">
        <v>0</v>
      </c>
    </row>
    <row r="747" spans="1:11" x14ac:dyDescent="0.3">
      <c r="A747" s="3" t="s">
        <v>968</v>
      </c>
      <c r="B747" s="3" t="s">
        <v>113</v>
      </c>
      <c r="C747" s="3" t="s">
        <v>41</v>
      </c>
      <c r="D747" s="3" t="s">
        <v>556</v>
      </c>
      <c r="E747" s="4">
        <v>9.5</v>
      </c>
      <c r="F747" s="4">
        <v>2</v>
      </c>
      <c r="G747" s="4">
        <v>19</v>
      </c>
      <c r="H747" s="3" t="s">
        <v>48</v>
      </c>
      <c r="I747" s="3" t="s">
        <v>16</v>
      </c>
      <c r="J747" s="5">
        <v>44670</v>
      </c>
      <c r="K747" s="2" t="s">
        <v>1233</v>
      </c>
    </row>
    <row r="748" spans="1:11" x14ac:dyDescent="0.3">
      <c r="A748" s="3" t="s">
        <v>969</v>
      </c>
      <c r="B748" s="3" t="s">
        <v>31</v>
      </c>
      <c r="C748" s="3" t="s">
        <v>28</v>
      </c>
      <c r="D748" s="3" t="s">
        <v>478</v>
      </c>
      <c r="E748" s="4">
        <v>8</v>
      </c>
      <c r="F748" s="4">
        <v>2</v>
      </c>
      <c r="G748" s="4">
        <v>16</v>
      </c>
      <c r="H748" s="3" t="s">
        <v>48</v>
      </c>
      <c r="I748" s="3" t="s">
        <v>16</v>
      </c>
      <c r="J748" s="5">
        <v>45252</v>
      </c>
      <c r="K748" s="2" t="b">
        <v>0</v>
      </c>
    </row>
    <row r="749" spans="1:11" x14ac:dyDescent="0.3">
      <c r="A749" s="3" t="s">
        <v>970</v>
      </c>
      <c r="B749" s="3" t="s">
        <v>113</v>
      </c>
      <c r="C749" s="3" t="s">
        <v>23</v>
      </c>
      <c r="D749" s="3" t="s">
        <v>383</v>
      </c>
      <c r="E749" s="4">
        <v>41</v>
      </c>
      <c r="F749" s="4">
        <v>5</v>
      </c>
      <c r="G749" s="4">
        <v>205</v>
      </c>
      <c r="H749" s="3" t="s">
        <v>25</v>
      </c>
      <c r="I749" s="3" t="s">
        <v>16</v>
      </c>
      <c r="J749" s="5">
        <v>45198</v>
      </c>
      <c r="K749" s="2" t="b">
        <v>0</v>
      </c>
    </row>
    <row r="750" spans="1:11" x14ac:dyDescent="0.3">
      <c r="A750" s="3" t="s">
        <v>971</v>
      </c>
      <c r="B750" s="3" t="s">
        <v>77</v>
      </c>
      <c r="C750" s="3" t="s">
        <v>19</v>
      </c>
      <c r="D750" s="3" t="s">
        <v>972</v>
      </c>
      <c r="E750" s="4">
        <v>11</v>
      </c>
      <c r="F750" s="4">
        <v>1</v>
      </c>
      <c r="G750" s="4">
        <v>11</v>
      </c>
      <c r="H750" s="3" t="s">
        <v>48</v>
      </c>
      <c r="I750" s="3" t="s">
        <v>38</v>
      </c>
      <c r="J750" s="5">
        <v>44710</v>
      </c>
      <c r="K750" s="2" t="s">
        <v>1233</v>
      </c>
    </row>
    <row r="751" spans="1:11" x14ac:dyDescent="0.3">
      <c r="A751" s="3" t="s">
        <v>973</v>
      </c>
      <c r="B751" s="3" t="s">
        <v>84</v>
      </c>
      <c r="C751" s="3" t="s">
        <v>19</v>
      </c>
      <c r="D751" s="3" t="s">
        <v>142</v>
      </c>
      <c r="E751" s="4">
        <v>32</v>
      </c>
      <c r="F751" s="4">
        <v>2</v>
      </c>
      <c r="G751" s="4">
        <v>64</v>
      </c>
      <c r="H751" s="3" t="s">
        <v>25</v>
      </c>
      <c r="I751" s="3" t="s">
        <v>38</v>
      </c>
      <c r="J751" s="5">
        <v>45636</v>
      </c>
      <c r="K751" s="2" t="b">
        <v>0</v>
      </c>
    </row>
    <row r="752" spans="1:11" x14ac:dyDescent="0.3">
      <c r="A752" s="3" t="s">
        <v>974</v>
      </c>
      <c r="B752" s="3" t="s">
        <v>80</v>
      </c>
      <c r="C752" s="3" t="s">
        <v>32</v>
      </c>
      <c r="D752" s="3" t="s">
        <v>128</v>
      </c>
      <c r="E752" s="4">
        <v>21.5</v>
      </c>
      <c r="F752" s="4">
        <v>10</v>
      </c>
      <c r="G752" s="4">
        <v>215</v>
      </c>
      <c r="H752" s="3" t="s">
        <v>48</v>
      </c>
      <c r="I752" s="3" t="s">
        <v>16</v>
      </c>
      <c r="J752" s="5">
        <v>45543</v>
      </c>
      <c r="K752" s="2" t="b">
        <v>0</v>
      </c>
    </row>
    <row r="753" spans="1:11" x14ac:dyDescent="0.3">
      <c r="A753" s="3" t="s">
        <v>975</v>
      </c>
      <c r="B753" s="3" t="s">
        <v>55</v>
      </c>
      <c r="C753" s="3" t="s">
        <v>28</v>
      </c>
      <c r="D753" s="3" t="s">
        <v>205</v>
      </c>
      <c r="E753" s="4">
        <v>24.5</v>
      </c>
      <c r="F753" s="4">
        <v>7</v>
      </c>
      <c r="G753" s="4">
        <v>171.5</v>
      </c>
      <c r="H753" s="3" t="s">
        <v>25</v>
      </c>
      <c r="I753" s="3" t="s">
        <v>38</v>
      </c>
      <c r="J753" s="5">
        <v>44570</v>
      </c>
      <c r="K753" s="2" t="s">
        <v>1233</v>
      </c>
    </row>
    <row r="754" spans="1:11" x14ac:dyDescent="0.3">
      <c r="A754" s="3" t="s">
        <v>976</v>
      </c>
      <c r="B754" s="3" t="s">
        <v>89</v>
      </c>
      <c r="C754" s="3" t="s">
        <v>13</v>
      </c>
      <c r="D754" s="3" t="s">
        <v>92</v>
      </c>
      <c r="E754" s="4">
        <v>36.5</v>
      </c>
      <c r="F754" s="4">
        <v>1</v>
      </c>
      <c r="G754" s="4">
        <v>36.5</v>
      </c>
      <c r="H754" s="3" t="s">
        <v>15</v>
      </c>
      <c r="I754" s="3" t="s">
        <v>38</v>
      </c>
      <c r="J754" s="5">
        <v>45391</v>
      </c>
      <c r="K754" s="2" t="b">
        <v>1</v>
      </c>
    </row>
    <row r="755" spans="1:11" x14ac:dyDescent="0.3">
      <c r="A755" s="3" t="s">
        <v>977</v>
      </c>
      <c r="B755" s="3" t="s">
        <v>116</v>
      </c>
      <c r="C755" s="3" t="s">
        <v>66</v>
      </c>
      <c r="D755" s="3" t="s">
        <v>377</v>
      </c>
      <c r="E755" s="4">
        <v>29</v>
      </c>
      <c r="F755" s="4">
        <v>1</v>
      </c>
      <c r="G755" s="4">
        <v>29</v>
      </c>
      <c r="H755" s="3" t="s">
        <v>48</v>
      </c>
      <c r="I755" s="3" t="s">
        <v>38</v>
      </c>
      <c r="J755" s="5">
        <v>44917</v>
      </c>
      <c r="K755" s="2" t="b">
        <v>0</v>
      </c>
    </row>
    <row r="756" spans="1:11" x14ac:dyDescent="0.3">
      <c r="A756" s="3" t="s">
        <v>978</v>
      </c>
      <c r="B756" s="3" t="s">
        <v>69</v>
      </c>
      <c r="C756" s="3" t="s">
        <v>41</v>
      </c>
      <c r="D756" s="3" t="s">
        <v>303</v>
      </c>
      <c r="E756" s="4">
        <v>15.5</v>
      </c>
      <c r="F756" s="4">
        <v>4</v>
      </c>
      <c r="G756" s="4">
        <v>62</v>
      </c>
      <c r="H756" s="3" t="s">
        <v>25</v>
      </c>
      <c r="I756" s="3" t="s">
        <v>16</v>
      </c>
      <c r="J756" s="5">
        <v>45165</v>
      </c>
      <c r="K756" s="2" t="s">
        <v>1233</v>
      </c>
    </row>
    <row r="757" spans="1:11" x14ac:dyDescent="0.3">
      <c r="A757" s="3" t="s">
        <v>979</v>
      </c>
      <c r="B757" s="3" t="s">
        <v>40</v>
      </c>
      <c r="C757" s="3" t="s">
        <v>66</v>
      </c>
      <c r="D757" s="3" t="s">
        <v>643</v>
      </c>
      <c r="E757" s="4">
        <v>26</v>
      </c>
      <c r="F757" s="4">
        <v>6</v>
      </c>
      <c r="G757" s="4">
        <v>156</v>
      </c>
      <c r="H757" s="3" t="s">
        <v>15</v>
      </c>
      <c r="I757" s="3" t="s">
        <v>16</v>
      </c>
      <c r="J757" s="5">
        <v>45347</v>
      </c>
      <c r="K757" s="2" t="b">
        <v>0</v>
      </c>
    </row>
    <row r="758" spans="1:11" x14ac:dyDescent="0.3">
      <c r="A758" s="3" t="s">
        <v>980</v>
      </c>
      <c r="B758" s="3" t="s">
        <v>123</v>
      </c>
      <c r="C758" s="3" t="s">
        <v>23</v>
      </c>
      <c r="D758" s="3" t="s">
        <v>306</v>
      </c>
      <c r="E758" s="4">
        <v>23</v>
      </c>
      <c r="F758" s="4">
        <v>4</v>
      </c>
      <c r="G758" s="4">
        <v>92</v>
      </c>
      <c r="H758" s="3" t="s">
        <v>25</v>
      </c>
      <c r="I758" s="3" t="s">
        <v>16</v>
      </c>
      <c r="J758" s="5">
        <v>44867</v>
      </c>
      <c r="K758" s="2" t="b">
        <v>1</v>
      </c>
    </row>
    <row r="759" spans="1:11" x14ac:dyDescent="0.3">
      <c r="A759" s="3" t="s">
        <v>981</v>
      </c>
      <c r="B759" s="3" t="s">
        <v>31</v>
      </c>
      <c r="C759" s="3" t="s">
        <v>41</v>
      </c>
      <c r="D759" s="3" t="s">
        <v>982</v>
      </c>
      <c r="E759" s="4">
        <v>8</v>
      </c>
      <c r="F759" s="4">
        <v>9</v>
      </c>
      <c r="G759" s="4">
        <v>72</v>
      </c>
      <c r="H759" s="3" t="s">
        <v>48</v>
      </c>
      <c r="I759" s="3" t="s">
        <v>38</v>
      </c>
      <c r="J759" s="5">
        <v>45635</v>
      </c>
      <c r="K759" s="2" t="b">
        <v>1</v>
      </c>
    </row>
    <row r="760" spans="1:11" x14ac:dyDescent="0.3">
      <c r="A760" s="3" t="s">
        <v>983</v>
      </c>
      <c r="B760" s="3" t="s">
        <v>46</v>
      </c>
      <c r="C760" s="3" t="s">
        <v>13</v>
      </c>
      <c r="D760" s="3" t="s">
        <v>579</v>
      </c>
      <c r="E760" s="4">
        <v>32</v>
      </c>
      <c r="F760" s="4">
        <v>6</v>
      </c>
      <c r="G760" s="4">
        <v>192</v>
      </c>
      <c r="H760" s="3" t="s">
        <v>48</v>
      </c>
      <c r="I760" s="3" t="s">
        <v>38</v>
      </c>
      <c r="J760" s="5">
        <v>45331</v>
      </c>
      <c r="K760" s="2" t="b">
        <v>0</v>
      </c>
    </row>
    <row r="761" spans="1:11" x14ac:dyDescent="0.3">
      <c r="A761" s="3" t="s">
        <v>984</v>
      </c>
      <c r="B761" s="3" t="s">
        <v>98</v>
      </c>
      <c r="C761" s="3" t="s">
        <v>130</v>
      </c>
      <c r="D761" s="3" t="s">
        <v>149</v>
      </c>
      <c r="E761" s="4">
        <v>26</v>
      </c>
      <c r="F761" s="4">
        <v>10</v>
      </c>
      <c r="G761" s="4">
        <v>260</v>
      </c>
      <c r="H761" s="3" t="s">
        <v>48</v>
      </c>
      <c r="I761" s="3" t="s">
        <v>16</v>
      </c>
      <c r="J761" s="5">
        <v>44845</v>
      </c>
      <c r="K761" s="2" t="b">
        <v>0</v>
      </c>
    </row>
    <row r="762" spans="1:11" x14ac:dyDescent="0.3">
      <c r="A762" s="3" t="s">
        <v>985</v>
      </c>
      <c r="B762" s="3" t="s">
        <v>116</v>
      </c>
      <c r="C762" s="3" t="s">
        <v>32</v>
      </c>
      <c r="D762" s="3" t="s">
        <v>90</v>
      </c>
      <c r="E762" s="4">
        <v>24.5</v>
      </c>
      <c r="F762" s="4">
        <v>10</v>
      </c>
      <c r="G762" s="4">
        <v>245</v>
      </c>
      <c r="H762" s="3" t="s">
        <v>48</v>
      </c>
      <c r="I762" s="3" t="s">
        <v>38</v>
      </c>
      <c r="J762" s="5">
        <v>45293</v>
      </c>
      <c r="K762" s="2" t="b">
        <v>1</v>
      </c>
    </row>
    <row r="763" spans="1:11" x14ac:dyDescent="0.3">
      <c r="A763" s="3" t="s">
        <v>986</v>
      </c>
      <c r="B763" s="3" t="s">
        <v>27</v>
      </c>
      <c r="C763" s="3" t="s">
        <v>130</v>
      </c>
      <c r="D763" s="3" t="s">
        <v>335</v>
      </c>
      <c r="E763" s="4">
        <v>20</v>
      </c>
      <c r="F763" s="4">
        <v>3</v>
      </c>
      <c r="G763" s="4">
        <v>60</v>
      </c>
      <c r="H763" s="3" t="s">
        <v>25</v>
      </c>
      <c r="I763" s="3" t="s">
        <v>16</v>
      </c>
      <c r="J763" s="5">
        <v>45273</v>
      </c>
      <c r="K763" s="2" t="s">
        <v>1233</v>
      </c>
    </row>
    <row r="764" spans="1:11" x14ac:dyDescent="0.3">
      <c r="A764" s="3" t="s">
        <v>987</v>
      </c>
      <c r="B764" s="3" t="s">
        <v>22</v>
      </c>
      <c r="C764" s="3" t="s">
        <v>13</v>
      </c>
      <c r="D764" s="3" t="s">
        <v>509</v>
      </c>
      <c r="E764" s="4">
        <v>17</v>
      </c>
      <c r="F764" s="4">
        <v>7</v>
      </c>
      <c r="G764" s="4">
        <v>119</v>
      </c>
      <c r="H764" s="3" t="s">
        <v>25</v>
      </c>
      <c r="I764" s="3" t="s">
        <v>38</v>
      </c>
      <c r="J764" s="5">
        <v>45194</v>
      </c>
      <c r="K764" s="2" t="b">
        <v>0</v>
      </c>
    </row>
    <row r="765" spans="1:11" x14ac:dyDescent="0.3">
      <c r="A765" s="3" t="s">
        <v>988</v>
      </c>
      <c r="B765" s="3" t="s">
        <v>12</v>
      </c>
      <c r="C765" s="3" t="s">
        <v>41</v>
      </c>
      <c r="D765" s="3" t="s">
        <v>453</v>
      </c>
      <c r="E765" s="4">
        <v>26</v>
      </c>
      <c r="F765" s="4">
        <v>8</v>
      </c>
      <c r="G765" s="4">
        <v>208</v>
      </c>
      <c r="H765" s="3" t="s">
        <v>48</v>
      </c>
      <c r="I765" s="3" t="s">
        <v>38</v>
      </c>
      <c r="J765" s="5">
        <v>45275</v>
      </c>
      <c r="K765" s="2" t="b">
        <v>1</v>
      </c>
    </row>
    <row r="766" spans="1:11" x14ac:dyDescent="0.3">
      <c r="A766" s="3" t="s">
        <v>989</v>
      </c>
      <c r="B766" s="3" t="s">
        <v>46</v>
      </c>
      <c r="C766" s="3" t="s">
        <v>13</v>
      </c>
      <c r="D766" s="3" t="s">
        <v>455</v>
      </c>
      <c r="E766" s="4">
        <v>26</v>
      </c>
      <c r="F766" s="4">
        <v>3</v>
      </c>
      <c r="G766" s="4">
        <v>78</v>
      </c>
      <c r="H766" s="3" t="s">
        <v>48</v>
      </c>
      <c r="I766" s="3" t="s">
        <v>16</v>
      </c>
      <c r="J766" s="5">
        <v>45017</v>
      </c>
      <c r="K766" s="2" t="b">
        <v>1</v>
      </c>
    </row>
    <row r="767" spans="1:11" x14ac:dyDescent="0.3">
      <c r="A767" s="3" t="s">
        <v>990</v>
      </c>
      <c r="B767" s="3" t="s">
        <v>40</v>
      </c>
      <c r="C767" s="3" t="s">
        <v>32</v>
      </c>
      <c r="D767" s="3" t="s">
        <v>78</v>
      </c>
      <c r="E767" s="4">
        <v>18.5</v>
      </c>
      <c r="F767" s="4">
        <v>9</v>
      </c>
      <c r="G767" s="4">
        <v>166.5</v>
      </c>
      <c r="H767" s="3" t="s">
        <v>48</v>
      </c>
      <c r="I767" s="3" t="s">
        <v>16</v>
      </c>
      <c r="J767" s="5">
        <v>45672</v>
      </c>
      <c r="K767" s="2" t="s">
        <v>1233</v>
      </c>
    </row>
    <row r="768" spans="1:11" x14ac:dyDescent="0.3">
      <c r="A768" s="3" t="s">
        <v>991</v>
      </c>
      <c r="B768" s="3" t="s">
        <v>12</v>
      </c>
      <c r="C768" s="3" t="s">
        <v>19</v>
      </c>
      <c r="D768" s="3" t="s">
        <v>287</v>
      </c>
      <c r="E768" s="4">
        <v>20</v>
      </c>
      <c r="F768" s="4">
        <v>10</v>
      </c>
      <c r="G768" s="4">
        <v>200</v>
      </c>
      <c r="H768" s="3" t="s">
        <v>48</v>
      </c>
      <c r="I768" s="3" t="s">
        <v>16</v>
      </c>
      <c r="J768" s="5">
        <v>45585</v>
      </c>
      <c r="K768" s="2" t="s">
        <v>1233</v>
      </c>
    </row>
    <row r="769" spans="1:11" x14ac:dyDescent="0.3">
      <c r="A769" s="3" t="s">
        <v>992</v>
      </c>
      <c r="B769" s="3" t="s">
        <v>108</v>
      </c>
      <c r="C769" s="3" t="s">
        <v>41</v>
      </c>
      <c r="D769" s="3" t="s">
        <v>295</v>
      </c>
      <c r="E769" s="4">
        <v>6.5</v>
      </c>
      <c r="F769" s="4">
        <v>9</v>
      </c>
      <c r="G769" s="4">
        <v>58.5</v>
      </c>
      <c r="H769" s="3" t="s">
        <v>25</v>
      </c>
      <c r="I769" s="3" t="s">
        <v>16</v>
      </c>
      <c r="J769" s="5">
        <v>45353</v>
      </c>
      <c r="K769" s="2" t="b">
        <v>1</v>
      </c>
    </row>
    <row r="770" spans="1:11" x14ac:dyDescent="0.3">
      <c r="A770" s="3" t="s">
        <v>993</v>
      </c>
      <c r="B770" s="3" t="s">
        <v>40</v>
      </c>
      <c r="C770" s="3" t="s">
        <v>41</v>
      </c>
      <c r="D770" s="3" t="s">
        <v>295</v>
      </c>
      <c r="E770" s="4">
        <v>6.5</v>
      </c>
      <c r="F770" s="4">
        <v>1</v>
      </c>
      <c r="G770" s="4">
        <v>6.5</v>
      </c>
      <c r="H770" s="3" t="s">
        <v>15</v>
      </c>
      <c r="I770" s="3" t="s">
        <v>16</v>
      </c>
      <c r="J770" s="5">
        <v>44762</v>
      </c>
      <c r="K770" s="2" t="s">
        <v>1233</v>
      </c>
    </row>
    <row r="771" spans="1:11" x14ac:dyDescent="0.3">
      <c r="A771" s="3" t="s">
        <v>994</v>
      </c>
      <c r="B771" s="3" t="s">
        <v>69</v>
      </c>
      <c r="C771" s="3" t="s">
        <v>41</v>
      </c>
      <c r="D771" s="3" t="s">
        <v>109</v>
      </c>
      <c r="E771" s="4">
        <v>18.5</v>
      </c>
      <c r="F771" s="4">
        <v>3</v>
      </c>
      <c r="G771" s="4">
        <v>55.5</v>
      </c>
      <c r="H771" s="3" t="s">
        <v>25</v>
      </c>
      <c r="I771" s="3" t="s">
        <v>16</v>
      </c>
      <c r="J771" s="5">
        <v>45546</v>
      </c>
      <c r="K771" s="2" t="b">
        <v>0</v>
      </c>
    </row>
    <row r="772" spans="1:11" x14ac:dyDescent="0.3">
      <c r="A772" s="3" t="s">
        <v>995</v>
      </c>
      <c r="B772" s="3" t="s">
        <v>89</v>
      </c>
      <c r="C772" s="3" t="s">
        <v>19</v>
      </c>
      <c r="D772" s="3" t="s">
        <v>344</v>
      </c>
      <c r="E772" s="4">
        <v>26</v>
      </c>
      <c r="F772" s="4">
        <v>1</v>
      </c>
      <c r="G772" s="4">
        <v>26</v>
      </c>
      <c r="H772" s="3" t="s">
        <v>48</v>
      </c>
      <c r="I772" s="3" t="s">
        <v>16</v>
      </c>
      <c r="J772" s="5">
        <v>44723</v>
      </c>
      <c r="K772" s="2" t="b">
        <v>1</v>
      </c>
    </row>
    <row r="773" spans="1:11" x14ac:dyDescent="0.3">
      <c r="A773" s="3" t="s">
        <v>996</v>
      </c>
      <c r="B773" s="3" t="s">
        <v>123</v>
      </c>
      <c r="C773" s="3" t="s">
        <v>66</v>
      </c>
      <c r="D773" s="3" t="s">
        <v>464</v>
      </c>
      <c r="E773" s="4">
        <v>11</v>
      </c>
      <c r="F773" s="4">
        <v>10</v>
      </c>
      <c r="G773" s="4">
        <v>110</v>
      </c>
      <c r="H773" s="3" t="s">
        <v>48</v>
      </c>
      <c r="I773" s="3" t="s">
        <v>16</v>
      </c>
      <c r="J773" s="5">
        <v>44839</v>
      </c>
      <c r="K773" s="2" t="s">
        <v>1233</v>
      </c>
    </row>
    <row r="774" spans="1:11" x14ac:dyDescent="0.3">
      <c r="A774" s="3" t="s">
        <v>997</v>
      </c>
      <c r="B774" s="3" t="s">
        <v>77</v>
      </c>
      <c r="C774" s="3" t="s">
        <v>23</v>
      </c>
      <c r="D774" s="3" t="s">
        <v>998</v>
      </c>
      <c r="E774" s="4">
        <v>32</v>
      </c>
      <c r="F774" s="4">
        <v>9</v>
      </c>
      <c r="G774" s="4">
        <v>288</v>
      </c>
      <c r="H774" s="3" t="s">
        <v>15</v>
      </c>
      <c r="I774" s="3" t="s">
        <v>16</v>
      </c>
      <c r="J774" s="5">
        <v>44699</v>
      </c>
      <c r="K774" s="2" t="b">
        <v>1</v>
      </c>
    </row>
    <row r="775" spans="1:11" x14ac:dyDescent="0.3">
      <c r="A775" s="3" t="s">
        <v>999</v>
      </c>
      <c r="B775" s="3" t="s">
        <v>74</v>
      </c>
      <c r="C775" s="3" t="s">
        <v>32</v>
      </c>
      <c r="D775" s="3" t="s">
        <v>33</v>
      </c>
      <c r="E775" s="4">
        <v>12.5</v>
      </c>
      <c r="F775" s="4">
        <v>3</v>
      </c>
      <c r="G775" s="4">
        <v>37.5</v>
      </c>
      <c r="H775" s="3" t="s">
        <v>48</v>
      </c>
      <c r="I775" s="3" t="s">
        <v>38</v>
      </c>
      <c r="J775" s="5">
        <v>45427</v>
      </c>
      <c r="K775" s="2" t="b">
        <v>0</v>
      </c>
    </row>
    <row r="776" spans="1:11" x14ac:dyDescent="0.3">
      <c r="A776" s="3" t="s">
        <v>1000</v>
      </c>
      <c r="B776" s="3" t="s">
        <v>84</v>
      </c>
      <c r="C776" s="3" t="s">
        <v>28</v>
      </c>
      <c r="D776" s="3" t="s">
        <v>258</v>
      </c>
      <c r="E776" s="4">
        <v>33.5</v>
      </c>
      <c r="F776" s="4">
        <v>1</v>
      </c>
      <c r="G776" s="4">
        <v>33.5</v>
      </c>
      <c r="H776" s="3" t="s">
        <v>48</v>
      </c>
      <c r="I776" s="3" t="s">
        <v>16</v>
      </c>
      <c r="J776" s="5">
        <v>45656</v>
      </c>
      <c r="K776" s="2" t="s">
        <v>1233</v>
      </c>
    </row>
    <row r="777" spans="1:11" x14ac:dyDescent="0.3">
      <c r="A777" s="3" t="s">
        <v>1001</v>
      </c>
      <c r="B777" s="3" t="s">
        <v>27</v>
      </c>
      <c r="C777" s="3" t="s">
        <v>28</v>
      </c>
      <c r="D777" s="3" t="s">
        <v>124</v>
      </c>
      <c r="E777" s="4">
        <v>15.5</v>
      </c>
      <c r="F777" s="4">
        <v>3</v>
      </c>
      <c r="G777" s="4">
        <v>46.5</v>
      </c>
      <c r="H777" s="3" t="s">
        <v>25</v>
      </c>
      <c r="I777" s="3" t="s">
        <v>16</v>
      </c>
      <c r="J777" s="5">
        <v>45138</v>
      </c>
      <c r="K777" s="2" t="b">
        <v>1</v>
      </c>
    </row>
    <row r="778" spans="1:11" x14ac:dyDescent="0.3">
      <c r="A778" s="3" t="s">
        <v>1002</v>
      </c>
      <c r="B778" s="3" t="s">
        <v>65</v>
      </c>
      <c r="C778" s="3" t="s">
        <v>19</v>
      </c>
      <c r="D778" s="3" t="s">
        <v>271</v>
      </c>
      <c r="E778" s="4">
        <v>5</v>
      </c>
      <c r="F778" s="4">
        <v>2</v>
      </c>
      <c r="G778" s="4">
        <v>10</v>
      </c>
      <c r="H778" s="3" t="s">
        <v>48</v>
      </c>
      <c r="I778" s="3" t="s">
        <v>38</v>
      </c>
      <c r="J778" s="5">
        <v>45118</v>
      </c>
      <c r="K778" s="2" t="s">
        <v>1233</v>
      </c>
    </row>
    <row r="779" spans="1:11" x14ac:dyDescent="0.3">
      <c r="A779" s="3" t="s">
        <v>1003</v>
      </c>
      <c r="B779" s="3" t="s">
        <v>18</v>
      </c>
      <c r="C779" s="3" t="s">
        <v>32</v>
      </c>
      <c r="D779" s="3" t="s">
        <v>203</v>
      </c>
      <c r="E779" s="4">
        <v>9.5</v>
      </c>
      <c r="F779" s="4">
        <v>3</v>
      </c>
      <c r="G779" s="4">
        <v>28.5</v>
      </c>
      <c r="H779" s="3" t="s">
        <v>25</v>
      </c>
      <c r="I779" s="3" t="s">
        <v>16</v>
      </c>
      <c r="J779" s="5">
        <v>45260</v>
      </c>
      <c r="K779" s="2" t="s">
        <v>1233</v>
      </c>
    </row>
    <row r="780" spans="1:11" x14ac:dyDescent="0.3">
      <c r="A780" s="3" t="s">
        <v>1004</v>
      </c>
      <c r="B780" s="3" t="s">
        <v>98</v>
      </c>
      <c r="C780" s="3" t="s">
        <v>13</v>
      </c>
      <c r="D780" s="3" t="s">
        <v>133</v>
      </c>
      <c r="E780" s="4">
        <v>20</v>
      </c>
      <c r="F780" s="4">
        <v>5</v>
      </c>
      <c r="G780" s="4">
        <v>100</v>
      </c>
      <c r="H780" s="3" t="s">
        <v>48</v>
      </c>
      <c r="I780" s="3" t="s">
        <v>38</v>
      </c>
      <c r="J780" s="5">
        <v>45419</v>
      </c>
      <c r="K780" s="2" t="b">
        <v>0</v>
      </c>
    </row>
    <row r="781" spans="1:11" x14ac:dyDescent="0.3">
      <c r="A781" s="3" t="s">
        <v>1005</v>
      </c>
      <c r="B781" s="3" t="s">
        <v>36</v>
      </c>
      <c r="C781" s="3" t="s">
        <v>130</v>
      </c>
      <c r="D781" s="3" t="s">
        <v>320</v>
      </c>
      <c r="E781" s="4">
        <v>24.5</v>
      </c>
      <c r="F781" s="4">
        <v>10</v>
      </c>
      <c r="G781" s="4">
        <v>245</v>
      </c>
      <c r="H781" s="3" t="s">
        <v>25</v>
      </c>
      <c r="I781" s="3" t="s">
        <v>38</v>
      </c>
      <c r="J781" s="5">
        <v>44594</v>
      </c>
      <c r="K781" s="2" t="b">
        <v>1</v>
      </c>
    </row>
    <row r="782" spans="1:11" x14ac:dyDescent="0.3">
      <c r="A782" s="3" t="s">
        <v>1006</v>
      </c>
      <c r="B782" s="3" t="s">
        <v>89</v>
      </c>
      <c r="C782" s="3" t="s">
        <v>13</v>
      </c>
      <c r="D782" s="3" t="s">
        <v>585</v>
      </c>
      <c r="E782" s="4">
        <v>6.5</v>
      </c>
      <c r="F782" s="4">
        <v>4</v>
      </c>
      <c r="G782" s="4">
        <v>26</v>
      </c>
      <c r="H782" s="3" t="s">
        <v>25</v>
      </c>
      <c r="I782" s="3" t="s">
        <v>38</v>
      </c>
      <c r="J782" s="5">
        <v>45444</v>
      </c>
      <c r="K782" s="2" t="b">
        <v>0</v>
      </c>
    </row>
    <row r="783" spans="1:11" x14ac:dyDescent="0.3">
      <c r="A783" s="3" t="s">
        <v>1007</v>
      </c>
      <c r="B783" s="3" t="s">
        <v>74</v>
      </c>
      <c r="C783" s="3" t="s">
        <v>23</v>
      </c>
      <c r="D783" s="3" t="s">
        <v>114</v>
      </c>
      <c r="E783" s="4">
        <v>38</v>
      </c>
      <c r="F783" s="4">
        <v>5</v>
      </c>
      <c r="G783" s="4">
        <v>190</v>
      </c>
      <c r="H783" s="3" t="s">
        <v>15</v>
      </c>
      <c r="I783" s="3" t="s">
        <v>16</v>
      </c>
      <c r="J783" s="5">
        <v>44654</v>
      </c>
      <c r="K783" s="2" t="b">
        <v>1</v>
      </c>
    </row>
    <row r="784" spans="1:11" x14ac:dyDescent="0.3">
      <c r="A784" s="3" t="s">
        <v>1008</v>
      </c>
      <c r="B784" s="3" t="s">
        <v>108</v>
      </c>
      <c r="C784" s="3" t="s">
        <v>28</v>
      </c>
      <c r="D784" s="3" t="s">
        <v>570</v>
      </c>
      <c r="E784" s="4">
        <v>29</v>
      </c>
      <c r="F784" s="4">
        <v>8</v>
      </c>
      <c r="G784" s="4">
        <v>232</v>
      </c>
      <c r="H784" s="3" t="s">
        <v>25</v>
      </c>
      <c r="I784" s="3" t="s">
        <v>38</v>
      </c>
      <c r="J784" s="5">
        <v>44600</v>
      </c>
      <c r="K784" s="2" t="b">
        <v>0</v>
      </c>
    </row>
    <row r="785" spans="1:11" x14ac:dyDescent="0.3">
      <c r="A785" s="3" t="s">
        <v>1009</v>
      </c>
      <c r="B785" s="3" t="s">
        <v>100</v>
      </c>
      <c r="C785" s="3" t="s">
        <v>41</v>
      </c>
      <c r="D785" s="3" t="s">
        <v>146</v>
      </c>
      <c r="E785" s="4">
        <v>14</v>
      </c>
      <c r="F785" s="4">
        <v>7</v>
      </c>
      <c r="G785" s="4">
        <v>98</v>
      </c>
      <c r="H785" s="3" t="s">
        <v>25</v>
      </c>
      <c r="I785" s="3" t="s">
        <v>16</v>
      </c>
      <c r="J785" s="5">
        <v>44710</v>
      </c>
      <c r="K785" s="2" t="b">
        <v>1</v>
      </c>
    </row>
    <row r="786" spans="1:11" x14ac:dyDescent="0.3">
      <c r="A786" s="3" t="s">
        <v>1010</v>
      </c>
      <c r="B786" s="3" t="s">
        <v>43</v>
      </c>
      <c r="C786" s="3" t="s">
        <v>130</v>
      </c>
      <c r="D786" s="3" t="s">
        <v>1233</v>
      </c>
      <c r="E786" s="4">
        <v>23</v>
      </c>
      <c r="F786" s="4" t="s">
        <v>1233</v>
      </c>
      <c r="G786" s="4" t="s">
        <v>1233</v>
      </c>
      <c r="H786" s="3" t="s">
        <v>15</v>
      </c>
      <c r="I786" s="3" t="s">
        <v>38</v>
      </c>
      <c r="J786" s="5">
        <v>44905</v>
      </c>
      <c r="K786" s="2" t="s">
        <v>1233</v>
      </c>
    </row>
    <row r="787" spans="1:11" x14ac:dyDescent="0.3">
      <c r="A787" s="3" t="s">
        <v>1011</v>
      </c>
      <c r="B787" s="3" t="s">
        <v>27</v>
      </c>
      <c r="C787" s="3" t="s">
        <v>130</v>
      </c>
      <c r="D787" s="3" t="s">
        <v>621</v>
      </c>
      <c r="E787" s="4">
        <v>21.5</v>
      </c>
      <c r="F787" s="4">
        <v>8</v>
      </c>
      <c r="G787" s="4">
        <v>172</v>
      </c>
      <c r="H787" s="3" t="s">
        <v>15</v>
      </c>
      <c r="I787" s="3" t="s">
        <v>38</v>
      </c>
      <c r="J787" s="5">
        <v>45397</v>
      </c>
      <c r="K787" s="2" t="b">
        <v>0</v>
      </c>
    </row>
    <row r="788" spans="1:11" x14ac:dyDescent="0.3">
      <c r="A788" s="3" t="s">
        <v>1012</v>
      </c>
      <c r="B788" s="3" t="s">
        <v>43</v>
      </c>
      <c r="C788" s="3" t="s">
        <v>32</v>
      </c>
      <c r="D788" s="3" t="s">
        <v>203</v>
      </c>
      <c r="E788" s="4">
        <v>9.5</v>
      </c>
      <c r="F788" s="4">
        <v>6</v>
      </c>
      <c r="G788" s="4">
        <v>57</v>
      </c>
      <c r="H788" s="3" t="s">
        <v>25</v>
      </c>
      <c r="I788" s="3" t="s">
        <v>16</v>
      </c>
      <c r="J788" s="5">
        <v>45333</v>
      </c>
      <c r="K788" s="2" t="s">
        <v>1233</v>
      </c>
    </row>
    <row r="789" spans="1:11" x14ac:dyDescent="0.3">
      <c r="A789" s="3" t="s">
        <v>1013</v>
      </c>
      <c r="B789" s="3" t="s">
        <v>80</v>
      </c>
      <c r="C789" s="3" t="s">
        <v>32</v>
      </c>
      <c r="D789" s="3" t="s">
        <v>33</v>
      </c>
      <c r="E789" s="4">
        <v>12.5</v>
      </c>
      <c r="F789" s="4">
        <v>9</v>
      </c>
      <c r="G789" s="4">
        <v>112.5</v>
      </c>
      <c r="H789" s="3" t="s">
        <v>25</v>
      </c>
      <c r="I789" s="3" t="s">
        <v>38</v>
      </c>
      <c r="J789" s="5">
        <v>45293</v>
      </c>
      <c r="K789" s="2" t="b">
        <v>1</v>
      </c>
    </row>
    <row r="790" spans="1:11" x14ac:dyDescent="0.3">
      <c r="A790" s="3" t="s">
        <v>1014</v>
      </c>
      <c r="B790" s="3" t="s">
        <v>116</v>
      </c>
      <c r="C790" s="3" t="s">
        <v>28</v>
      </c>
      <c r="D790" s="3" t="s">
        <v>676</v>
      </c>
      <c r="E790" s="4">
        <v>39.5</v>
      </c>
      <c r="F790" s="4">
        <v>3</v>
      </c>
      <c r="G790" s="4">
        <v>118.5</v>
      </c>
      <c r="H790" s="3" t="s">
        <v>15</v>
      </c>
      <c r="I790" s="3" t="s">
        <v>16</v>
      </c>
      <c r="J790" s="5">
        <v>44744</v>
      </c>
      <c r="K790" s="2" t="b">
        <v>1</v>
      </c>
    </row>
    <row r="791" spans="1:11" x14ac:dyDescent="0.3">
      <c r="A791" s="3" t="s">
        <v>1015</v>
      </c>
      <c r="B791" s="3" t="s">
        <v>123</v>
      </c>
      <c r="C791" s="3" t="s">
        <v>28</v>
      </c>
      <c r="D791" s="3" t="s">
        <v>256</v>
      </c>
      <c r="E791" s="4">
        <v>32</v>
      </c>
      <c r="F791" s="4">
        <v>7</v>
      </c>
      <c r="G791" s="4">
        <v>224</v>
      </c>
      <c r="H791" s="3" t="s">
        <v>15</v>
      </c>
      <c r="I791" s="3" t="s">
        <v>16</v>
      </c>
      <c r="J791" s="5">
        <v>44843</v>
      </c>
      <c r="K791" s="2" t="b">
        <v>1</v>
      </c>
    </row>
    <row r="792" spans="1:11" x14ac:dyDescent="0.3">
      <c r="A792" s="3" t="s">
        <v>1016</v>
      </c>
      <c r="B792" s="3" t="s">
        <v>27</v>
      </c>
      <c r="C792" s="3" t="s">
        <v>66</v>
      </c>
      <c r="D792" s="3" t="s">
        <v>486</v>
      </c>
      <c r="E792" s="4">
        <v>20</v>
      </c>
      <c r="F792" s="4">
        <v>2</v>
      </c>
      <c r="G792" s="4">
        <v>40</v>
      </c>
      <c r="H792" s="3" t="s">
        <v>25</v>
      </c>
      <c r="I792" s="3" t="s">
        <v>38</v>
      </c>
      <c r="J792" s="5">
        <v>44600</v>
      </c>
      <c r="K792" s="2" t="b">
        <v>1</v>
      </c>
    </row>
    <row r="793" spans="1:11" x14ac:dyDescent="0.3">
      <c r="A793" s="3" t="s">
        <v>1017</v>
      </c>
      <c r="B793" s="3" t="s">
        <v>36</v>
      </c>
      <c r="C793" s="3" t="s">
        <v>19</v>
      </c>
      <c r="D793" s="3" t="s">
        <v>284</v>
      </c>
      <c r="E793" s="4">
        <v>8</v>
      </c>
      <c r="F793" s="4">
        <v>6</v>
      </c>
      <c r="G793" s="4">
        <v>48</v>
      </c>
      <c r="H793" s="3" t="s">
        <v>48</v>
      </c>
      <c r="I793" s="3" t="s">
        <v>38</v>
      </c>
      <c r="J793" s="5">
        <v>45453</v>
      </c>
      <c r="K793" s="2" t="b">
        <v>0</v>
      </c>
    </row>
    <row r="794" spans="1:11" x14ac:dyDescent="0.3">
      <c r="A794" s="3" t="s">
        <v>1018</v>
      </c>
      <c r="B794" s="3" t="s">
        <v>113</v>
      </c>
      <c r="C794" s="3" t="s">
        <v>23</v>
      </c>
      <c r="D794" s="3" t="s">
        <v>114</v>
      </c>
      <c r="E794" s="4">
        <v>38</v>
      </c>
      <c r="F794" s="4">
        <v>2</v>
      </c>
      <c r="G794" s="4">
        <v>76</v>
      </c>
      <c r="H794" s="3" t="s">
        <v>48</v>
      </c>
      <c r="I794" s="3" t="s">
        <v>38</v>
      </c>
      <c r="J794" s="5">
        <v>45503</v>
      </c>
      <c r="K794" s="2" t="b">
        <v>1</v>
      </c>
    </row>
    <row r="795" spans="1:11" x14ac:dyDescent="0.3">
      <c r="A795" s="3" t="s">
        <v>1019</v>
      </c>
      <c r="B795" s="3" t="s">
        <v>63</v>
      </c>
      <c r="C795" s="3" t="s">
        <v>41</v>
      </c>
      <c r="D795" s="3" t="s">
        <v>44</v>
      </c>
      <c r="E795" s="4">
        <v>27.5</v>
      </c>
      <c r="F795" s="4">
        <v>5</v>
      </c>
      <c r="G795" s="4">
        <v>137.5</v>
      </c>
      <c r="H795" s="3" t="s">
        <v>25</v>
      </c>
      <c r="I795" s="3" t="s">
        <v>16</v>
      </c>
      <c r="J795" s="5">
        <v>45397</v>
      </c>
      <c r="K795" s="2" t="b">
        <v>0</v>
      </c>
    </row>
    <row r="796" spans="1:11" x14ac:dyDescent="0.3">
      <c r="A796" s="3" t="s">
        <v>1020</v>
      </c>
      <c r="B796" s="3" t="s">
        <v>36</v>
      </c>
      <c r="C796" s="3" t="s">
        <v>19</v>
      </c>
      <c r="D796" s="3" t="s">
        <v>152</v>
      </c>
      <c r="E796" s="4">
        <v>12.5</v>
      </c>
      <c r="F796" s="4">
        <v>4</v>
      </c>
      <c r="G796" s="4">
        <v>50</v>
      </c>
      <c r="H796" s="3" t="s">
        <v>48</v>
      </c>
      <c r="I796" s="3" t="s">
        <v>38</v>
      </c>
      <c r="J796" s="5">
        <v>44980</v>
      </c>
      <c r="K796" s="2" t="b">
        <v>1</v>
      </c>
    </row>
    <row r="797" spans="1:11" x14ac:dyDescent="0.3">
      <c r="A797" s="3" t="s">
        <v>1021</v>
      </c>
      <c r="B797" s="3" t="s">
        <v>22</v>
      </c>
      <c r="C797" s="3" t="s">
        <v>19</v>
      </c>
      <c r="D797" s="3" t="s">
        <v>540</v>
      </c>
      <c r="E797" s="4">
        <v>23</v>
      </c>
      <c r="F797" s="4">
        <v>7</v>
      </c>
      <c r="G797" s="4">
        <v>161</v>
      </c>
      <c r="H797" s="3" t="s">
        <v>25</v>
      </c>
      <c r="I797" s="3" t="s">
        <v>16</v>
      </c>
      <c r="J797" s="5">
        <v>45370</v>
      </c>
      <c r="K797" s="2" t="b">
        <v>1</v>
      </c>
    </row>
    <row r="798" spans="1:11" x14ac:dyDescent="0.3">
      <c r="A798" s="3" t="s">
        <v>1022</v>
      </c>
      <c r="B798" s="3" t="s">
        <v>100</v>
      </c>
      <c r="C798" s="3" t="s">
        <v>23</v>
      </c>
      <c r="D798" s="3" t="s">
        <v>383</v>
      </c>
      <c r="E798" s="4">
        <v>41</v>
      </c>
      <c r="F798" s="4">
        <v>5</v>
      </c>
      <c r="G798" s="4">
        <v>205</v>
      </c>
      <c r="H798" s="3" t="s">
        <v>48</v>
      </c>
      <c r="I798" s="3" t="s">
        <v>16</v>
      </c>
      <c r="J798" s="5">
        <v>44978</v>
      </c>
      <c r="K798" s="2" t="b">
        <v>1</v>
      </c>
    </row>
    <row r="799" spans="1:11" x14ac:dyDescent="0.3">
      <c r="A799" s="3" t="s">
        <v>1023</v>
      </c>
      <c r="B799" s="3" t="s">
        <v>89</v>
      </c>
      <c r="C799" s="3" t="s">
        <v>41</v>
      </c>
      <c r="D799" s="3" t="s">
        <v>594</v>
      </c>
      <c r="E799" s="4">
        <v>33.5</v>
      </c>
      <c r="F799" s="4">
        <v>9</v>
      </c>
      <c r="G799" s="4">
        <v>301.5</v>
      </c>
      <c r="H799" s="3" t="s">
        <v>15</v>
      </c>
      <c r="I799" s="3" t="s">
        <v>38</v>
      </c>
      <c r="J799" s="5">
        <v>45563</v>
      </c>
      <c r="K799" s="2" t="b">
        <v>0</v>
      </c>
    </row>
    <row r="800" spans="1:11" x14ac:dyDescent="0.3">
      <c r="A800" s="3" t="s">
        <v>1024</v>
      </c>
      <c r="B800" s="3" t="s">
        <v>36</v>
      </c>
      <c r="C800" s="3" t="s">
        <v>41</v>
      </c>
      <c r="D800" s="3" t="s">
        <v>190</v>
      </c>
      <c r="E800" s="4">
        <v>20</v>
      </c>
      <c r="F800" s="4">
        <v>6</v>
      </c>
      <c r="G800" s="4">
        <v>120</v>
      </c>
      <c r="H800" s="3" t="s">
        <v>15</v>
      </c>
      <c r="I800" s="3" t="s">
        <v>16</v>
      </c>
      <c r="J800" s="5">
        <v>44598</v>
      </c>
      <c r="K800" s="2" t="b">
        <v>0</v>
      </c>
    </row>
    <row r="801" spans="1:11" x14ac:dyDescent="0.3">
      <c r="A801" s="3" t="s">
        <v>1025</v>
      </c>
      <c r="B801" s="3" t="s">
        <v>36</v>
      </c>
      <c r="C801" s="3" t="s">
        <v>66</v>
      </c>
      <c r="D801" s="3" t="s">
        <v>352</v>
      </c>
      <c r="E801" s="4">
        <v>38</v>
      </c>
      <c r="F801" s="4">
        <v>3</v>
      </c>
      <c r="G801" s="4">
        <v>114</v>
      </c>
      <c r="H801" s="3" t="s">
        <v>48</v>
      </c>
      <c r="I801" s="3" t="s">
        <v>16</v>
      </c>
      <c r="J801" s="5">
        <v>44855</v>
      </c>
      <c r="K801" s="2" t="b">
        <v>1</v>
      </c>
    </row>
    <row r="802" spans="1:11" x14ac:dyDescent="0.3">
      <c r="A802" s="3" t="s">
        <v>1026</v>
      </c>
      <c r="B802" s="3" t="s">
        <v>108</v>
      </c>
      <c r="C802" s="3" t="s">
        <v>32</v>
      </c>
      <c r="D802" s="3" t="s">
        <v>185</v>
      </c>
      <c r="E802" s="4">
        <v>33.5</v>
      </c>
      <c r="F802" s="4">
        <v>4</v>
      </c>
      <c r="G802" s="4">
        <v>134</v>
      </c>
      <c r="H802" s="3" t="s">
        <v>48</v>
      </c>
      <c r="I802" s="3" t="s">
        <v>16</v>
      </c>
      <c r="J802" s="5">
        <v>44644</v>
      </c>
      <c r="K802" s="2" t="s">
        <v>1233</v>
      </c>
    </row>
    <row r="803" spans="1:11" x14ac:dyDescent="0.3">
      <c r="A803" s="3" t="s">
        <v>1027</v>
      </c>
      <c r="B803" s="3" t="s">
        <v>80</v>
      </c>
      <c r="C803" s="3" t="s">
        <v>32</v>
      </c>
      <c r="D803" s="3" t="s">
        <v>203</v>
      </c>
      <c r="E803" s="4">
        <v>9.5</v>
      </c>
      <c r="F803" s="4">
        <v>4</v>
      </c>
      <c r="G803" s="4">
        <v>38</v>
      </c>
      <c r="H803" s="3" t="s">
        <v>25</v>
      </c>
      <c r="I803" s="3" t="s">
        <v>16</v>
      </c>
      <c r="J803" s="5">
        <v>45592</v>
      </c>
      <c r="K803" s="2" t="b">
        <v>1</v>
      </c>
    </row>
    <row r="804" spans="1:11" x14ac:dyDescent="0.3">
      <c r="A804" s="3" t="s">
        <v>1028</v>
      </c>
      <c r="B804" s="3" t="s">
        <v>18</v>
      </c>
      <c r="C804" s="3" t="s">
        <v>130</v>
      </c>
      <c r="D804" s="3" t="s">
        <v>1233</v>
      </c>
      <c r="E804" s="4">
        <v>20</v>
      </c>
      <c r="F804" s="4" t="s">
        <v>1233</v>
      </c>
      <c r="G804" s="4" t="s">
        <v>1233</v>
      </c>
      <c r="H804" s="3" t="s">
        <v>25</v>
      </c>
      <c r="I804" s="3" t="s">
        <v>38</v>
      </c>
      <c r="J804" s="5">
        <v>45296</v>
      </c>
      <c r="K804" s="2" t="b">
        <v>0</v>
      </c>
    </row>
    <row r="805" spans="1:11" x14ac:dyDescent="0.3">
      <c r="A805" s="3" t="s">
        <v>1029</v>
      </c>
      <c r="B805" s="3" t="s">
        <v>36</v>
      </c>
      <c r="C805" s="3" t="s">
        <v>41</v>
      </c>
      <c r="D805" s="3" t="s">
        <v>709</v>
      </c>
      <c r="E805" s="4">
        <v>21.5</v>
      </c>
      <c r="F805" s="4">
        <v>4</v>
      </c>
      <c r="G805" s="4">
        <v>86</v>
      </c>
      <c r="H805" s="3" t="s">
        <v>25</v>
      </c>
      <c r="I805" s="3" t="s">
        <v>16</v>
      </c>
      <c r="J805" s="5">
        <v>44932</v>
      </c>
      <c r="K805" s="2" t="b">
        <v>1</v>
      </c>
    </row>
    <row r="806" spans="1:11" x14ac:dyDescent="0.3">
      <c r="A806" s="3" t="s">
        <v>1030</v>
      </c>
      <c r="B806" s="3" t="s">
        <v>27</v>
      </c>
      <c r="C806" s="3" t="s">
        <v>23</v>
      </c>
      <c r="D806" s="3" t="s">
        <v>227</v>
      </c>
      <c r="E806" s="4">
        <v>15.5</v>
      </c>
      <c r="F806" s="4">
        <v>3</v>
      </c>
      <c r="G806" s="4">
        <v>46.5</v>
      </c>
      <c r="H806" s="3" t="s">
        <v>48</v>
      </c>
      <c r="I806" s="3" t="s">
        <v>38</v>
      </c>
      <c r="J806" s="5">
        <v>45259</v>
      </c>
      <c r="K806" s="2" t="b">
        <v>0</v>
      </c>
    </row>
    <row r="807" spans="1:11" x14ac:dyDescent="0.3">
      <c r="A807" s="3" t="s">
        <v>1031</v>
      </c>
      <c r="B807" s="3" t="s">
        <v>46</v>
      </c>
      <c r="C807" s="3" t="s">
        <v>28</v>
      </c>
      <c r="D807" s="3" t="s">
        <v>1233</v>
      </c>
      <c r="E807" s="4">
        <v>27.5</v>
      </c>
      <c r="F807" s="4" t="s">
        <v>1233</v>
      </c>
      <c r="G807" s="4" t="s">
        <v>1233</v>
      </c>
      <c r="H807" s="3" t="s">
        <v>48</v>
      </c>
      <c r="I807" s="3" t="s">
        <v>38</v>
      </c>
      <c r="J807" s="5">
        <v>45619</v>
      </c>
      <c r="K807" s="2" t="b">
        <v>1</v>
      </c>
    </row>
    <row r="808" spans="1:11" x14ac:dyDescent="0.3">
      <c r="A808" s="3" t="s">
        <v>1032</v>
      </c>
      <c r="B808" s="3" t="s">
        <v>63</v>
      </c>
      <c r="C808" s="3" t="s">
        <v>41</v>
      </c>
      <c r="D808" s="3" t="s">
        <v>295</v>
      </c>
      <c r="E808" s="4">
        <v>6.5</v>
      </c>
      <c r="F808" s="4">
        <v>3</v>
      </c>
      <c r="G808" s="4">
        <v>19.5</v>
      </c>
      <c r="H808" s="3" t="s">
        <v>15</v>
      </c>
      <c r="I808" s="3" t="s">
        <v>16</v>
      </c>
      <c r="J808" s="5">
        <v>44670</v>
      </c>
      <c r="K808" s="2" t="b">
        <v>0</v>
      </c>
    </row>
    <row r="809" spans="1:11" x14ac:dyDescent="0.3">
      <c r="A809" s="3" t="s">
        <v>1033</v>
      </c>
      <c r="B809" s="3" t="s">
        <v>77</v>
      </c>
      <c r="C809" s="3" t="s">
        <v>41</v>
      </c>
      <c r="D809" s="3" t="s">
        <v>594</v>
      </c>
      <c r="E809" s="4">
        <v>33.5</v>
      </c>
      <c r="F809" s="4">
        <v>2</v>
      </c>
      <c r="G809" s="4">
        <v>67</v>
      </c>
      <c r="H809" s="3" t="s">
        <v>48</v>
      </c>
      <c r="I809" s="3" t="s">
        <v>16</v>
      </c>
      <c r="J809" s="5">
        <v>45271</v>
      </c>
      <c r="K809" s="2" t="s">
        <v>1233</v>
      </c>
    </row>
    <row r="810" spans="1:11" x14ac:dyDescent="0.3">
      <c r="A810" s="3" t="s">
        <v>1034</v>
      </c>
      <c r="B810" s="3" t="s">
        <v>40</v>
      </c>
      <c r="C810" s="3" t="s">
        <v>23</v>
      </c>
      <c r="D810" s="3" t="s">
        <v>85</v>
      </c>
      <c r="E810" s="4">
        <v>33.5</v>
      </c>
      <c r="F810" s="4">
        <v>7</v>
      </c>
      <c r="G810" s="4">
        <v>234.5</v>
      </c>
      <c r="H810" s="3" t="s">
        <v>48</v>
      </c>
      <c r="I810" s="3" t="s">
        <v>16</v>
      </c>
      <c r="J810" s="5">
        <v>44906</v>
      </c>
      <c r="K810" s="2" t="s">
        <v>1233</v>
      </c>
    </row>
    <row r="811" spans="1:11" x14ac:dyDescent="0.3">
      <c r="A811" s="3" t="s">
        <v>1035</v>
      </c>
      <c r="B811" s="3" t="s">
        <v>108</v>
      </c>
      <c r="C811" s="3" t="s">
        <v>23</v>
      </c>
      <c r="D811" s="3" t="s">
        <v>355</v>
      </c>
      <c r="E811" s="4">
        <v>14</v>
      </c>
      <c r="F811" s="4">
        <v>9</v>
      </c>
      <c r="G811" s="4">
        <v>126</v>
      </c>
      <c r="H811" s="3" t="s">
        <v>25</v>
      </c>
      <c r="I811" s="3" t="s">
        <v>38</v>
      </c>
      <c r="J811" s="5">
        <v>44812</v>
      </c>
      <c r="K811" s="2" t="s">
        <v>1233</v>
      </c>
    </row>
    <row r="812" spans="1:11" x14ac:dyDescent="0.3">
      <c r="A812" s="3" t="s">
        <v>1036</v>
      </c>
      <c r="B812" s="3" t="s">
        <v>108</v>
      </c>
      <c r="C812" s="3" t="s">
        <v>130</v>
      </c>
      <c r="D812" s="3" t="s">
        <v>225</v>
      </c>
      <c r="E812" s="4">
        <v>41</v>
      </c>
      <c r="F812" s="4">
        <v>7</v>
      </c>
      <c r="G812" s="4">
        <v>287</v>
      </c>
      <c r="H812" s="3" t="s">
        <v>25</v>
      </c>
      <c r="I812" s="3" t="s">
        <v>38</v>
      </c>
      <c r="J812" s="5">
        <v>45491</v>
      </c>
      <c r="K812" s="2" t="s">
        <v>1233</v>
      </c>
    </row>
    <row r="813" spans="1:11" x14ac:dyDescent="0.3">
      <c r="A813" s="3" t="s">
        <v>1037</v>
      </c>
      <c r="B813" s="3" t="s">
        <v>63</v>
      </c>
      <c r="C813" s="3" t="s">
        <v>32</v>
      </c>
      <c r="D813" s="3" t="s">
        <v>160</v>
      </c>
      <c r="E813" s="4">
        <v>36.5</v>
      </c>
      <c r="F813" s="4">
        <v>10</v>
      </c>
      <c r="G813" s="4">
        <v>365</v>
      </c>
      <c r="H813" s="3" t="s">
        <v>25</v>
      </c>
      <c r="I813" s="3" t="s">
        <v>16</v>
      </c>
      <c r="J813" s="5">
        <v>45488</v>
      </c>
      <c r="K813" s="2" t="s">
        <v>1233</v>
      </c>
    </row>
    <row r="814" spans="1:11" x14ac:dyDescent="0.3">
      <c r="A814" s="3" t="s">
        <v>1038</v>
      </c>
      <c r="B814" s="3" t="s">
        <v>108</v>
      </c>
      <c r="C814" s="3" t="s">
        <v>130</v>
      </c>
      <c r="D814" s="3" t="s">
        <v>427</v>
      </c>
      <c r="E814" s="4">
        <v>17</v>
      </c>
      <c r="F814" s="4">
        <v>8</v>
      </c>
      <c r="G814" s="4">
        <v>136</v>
      </c>
      <c r="H814" s="3" t="s">
        <v>25</v>
      </c>
      <c r="I814" s="3" t="s">
        <v>16</v>
      </c>
      <c r="J814" s="5">
        <v>44795</v>
      </c>
      <c r="K814" s="2" t="b">
        <v>1</v>
      </c>
    </row>
    <row r="815" spans="1:11" x14ac:dyDescent="0.3">
      <c r="A815" s="3" t="s">
        <v>1039</v>
      </c>
      <c r="B815" s="3" t="s">
        <v>43</v>
      </c>
      <c r="C815" s="3" t="s">
        <v>13</v>
      </c>
      <c r="D815" s="3" t="s">
        <v>1233</v>
      </c>
      <c r="E815" s="4" t="s">
        <v>1233</v>
      </c>
      <c r="F815" s="4">
        <v>10</v>
      </c>
      <c r="G815" s="4">
        <v>80</v>
      </c>
      <c r="H815" s="3" t="s">
        <v>25</v>
      </c>
      <c r="I815" s="3" t="s">
        <v>38</v>
      </c>
      <c r="J815" s="5">
        <v>45589</v>
      </c>
      <c r="K815" s="2" t="s">
        <v>1233</v>
      </c>
    </row>
    <row r="816" spans="1:11" x14ac:dyDescent="0.3">
      <c r="A816" s="3" t="s">
        <v>1040</v>
      </c>
      <c r="B816" s="3" t="s">
        <v>69</v>
      </c>
      <c r="C816" s="3" t="s">
        <v>19</v>
      </c>
      <c r="D816" s="3" t="s">
        <v>271</v>
      </c>
      <c r="E816" s="4">
        <v>5</v>
      </c>
      <c r="F816" s="4">
        <v>1</v>
      </c>
      <c r="G816" s="4">
        <v>5</v>
      </c>
      <c r="H816" s="3" t="s">
        <v>25</v>
      </c>
      <c r="I816" s="3" t="s">
        <v>38</v>
      </c>
      <c r="J816" s="5">
        <v>45132</v>
      </c>
      <c r="K816" s="2" t="s">
        <v>1233</v>
      </c>
    </row>
    <row r="817" spans="1:11" x14ac:dyDescent="0.3">
      <c r="A817" s="3" t="s">
        <v>1041</v>
      </c>
      <c r="B817" s="3" t="s">
        <v>55</v>
      </c>
      <c r="C817" s="3" t="s">
        <v>13</v>
      </c>
      <c r="D817" s="3" t="s">
        <v>61</v>
      </c>
      <c r="E817" s="4">
        <v>29</v>
      </c>
      <c r="F817" s="4">
        <v>3</v>
      </c>
      <c r="G817" s="4">
        <v>87</v>
      </c>
      <c r="H817" s="3" t="s">
        <v>48</v>
      </c>
      <c r="I817" s="3" t="s">
        <v>16</v>
      </c>
      <c r="J817" s="5">
        <v>45220</v>
      </c>
      <c r="K817" s="2" t="b">
        <v>0</v>
      </c>
    </row>
    <row r="818" spans="1:11" x14ac:dyDescent="0.3">
      <c r="A818" s="3" t="s">
        <v>1042</v>
      </c>
      <c r="B818" s="3" t="s">
        <v>98</v>
      </c>
      <c r="C818" s="3" t="s">
        <v>28</v>
      </c>
      <c r="D818" s="3" t="s">
        <v>111</v>
      </c>
      <c r="E818" s="4">
        <v>20</v>
      </c>
      <c r="F818" s="4">
        <v>8</v>
      </c>
      <c r="G818" s="4">
        <v>160</v>
      </c>
      <c r="H818" s="3" t="s">
        <v>48</v>
      </c>
      <c r="I818" s="3" t="s">
        <v>16</v>
      </c>
      <c r="J818" s="5">
        <v>44633</v>
      </c>
      <c r="K818" s="2" t="s">
        <v>1233</v>
      </c>
    </row>
    <row r="819" spans="1:11" x14ac:dyDescent="0.3">
      <c r="A819" s="3" t="s">
        <v>1043</v>
      </c>
      <c r="B819" s="3" t="s">
        <v>98</v>
      </c>
      <c r="C819" s="3" t="s">
        <v>13</v>
      </c>
      <c r="D819" s="3" t="s">
        <v>207</v>
      </c>
      <c r="E819" s="4">
        <v>9.5</v>
      </c>
      <c r="F819" s="4">
        <v>8</v>
      </c>
      <c r="G819" s="4">
        <v>76</v>
      </c>
      <c r="H819" s="3" t="s">
        <v>15</v>
      </c>
      <c r="I819" s="3" t="s">
        <v>38</v>
      </c>
      <c r="J819" s="5">
        <v>45652</v>
      </c>
      <c r="K819" s="2" t="b">
        <v>0</v>
      </c>
    </row>
    <row r="820" spans="1:11" x14ac:dyDescent="0.3">
      <c r="A820" s="3" t="s">
        <v>1044</v>
      </c>
      <c r="B820" s="3" t="s">
        <v>36</v>
      </c>
      <c r="C820" s="3" t="s">
        <v>23</v>
      </c>
      <c r="D820" s="3" t="s">
        <v>598</v>
      </c>
      <c r="E820" s="4">
        <v>12.5</v>
      </c>
      <c r="F820" s="4">
        <v>1</v>
      </c>
      <c r="G820" s="4">
        <v>12.5</v>
      </c>
      <c r="H820" s="3" t="s">
        <v>25</v>
      </c>
      <c r="I820" s="3" t="s">
        <v>38</v>
      </c>
      <c r="J820" s="5">
        <v>45641</v>
      </c>
      <c r="K820" s="2" t="b">
        <v>1</v>
      </c>
    </row>
    <row r="821" spans="1:11" x14ac:dyDescent="0.3">
      <c r="A821" s="3" t="s">
        <v>1045</v>
      </c>
      <c r="B821" s="3" t="s">
        <v>36</v>
      </c>
      <c r="C821" s="3" t="s">
        <v>13</v>
      </c>
      <c r="D821" s="3" t="s">
        <v>172</v>
      </c>
      <c r="E821" s="4">
        <v>5</v>
      </c>
      <c r="F821" s="4">
        <v>9</v>
      </c>
      <c r="G821" s="4">
        <v>45</v>
      </c>
      <c r="H821" s="3" t="s">
        <v>25</v>
      </c>
      <c r="I821" s="3" t="s">
        <v>16</v>
      </c>
      <c r="J821" s="5">
        <v>44969</v>
      </c>
      <c r="K821" s="2" t="b">
        <v>1</v>
      </c>
    </row>
    <row r="822" spans="1:11" x14ac:dyDescent="0.3">
      <c r="A822" s="3" t="s">
        <v>1046</v>
      </c>
      <c r="B822" s="3" t="s">
        <v>84</v>
      </c>
      <c r="C822" s="3" t="s">
        <v>130</v>
      </c>
      <c r="D822" s="3" t="s">
        <v>1233</v>
      </c>
      <c r="E822" s="4" t="s">
        <v>1233</v>
      </c>
      <c r="F822" s="4">
        <v>4</v>
      </c>
      <c r="G822" s="4">
        <v>44</v>
      </c>
      <c r="H822" s="3" t="s">
        <v>15</v>
      </c>
      <c r="I822" s="3" t="s">
        <v>16</v>
      </c>
      <c r="J822" s="5">
        <v>44961</v>
      </c>
      <c r="K822" s="2" t="s">
        <v>1233</v>
      </c>
    </row>
    <row r="823" spans="1:11" x14ac:dyDescent="0.3">
      <c r="A823" s="3" t="s">
        <v>1047</v>
      </c>
      <c r="B823" s="3" t="s">
        <v>98</v>
      </c>
      <c r="C823" s="3" t="s">
        <v>130</v>
      </c>
      <c r="D823" s="3" t="s">
        <v>1048</v>
      </c>
      <c r="E823" s="4">
        <v>8</v>
      </c>
      <c r="F823" s="4">
        <v>5</v>
      </c>
      <c r="G823" s="4">
        <v>40</v>
      </c>
      <c r="H823" s="3" t="s">
        <v>15</v>
      </c>
      <c r="I823" s="3" t="s">
        <v>38</v>
      </c>
      <c r="J823" s="5">
        <v>44913</v>
      </c>
      <c r="K823" s="2" t="b">
        <v>1</v>
      </c>
    </row>
    <row r="824" spans="1:11" x14ac:dyDescent="0.3">
      <c r="A824" s="3" t="s">
        <v>1049</v>
      </c>
      <c r="B824" s="3" t="s">
        <v>89</v>
      </c>
      <c r="C824" s="3" t="s">
        <v>13</v>
      </c>
      <c r="D824" s="3" t="s">
        <v>193</v>
      </c>
      <c r="E824" s="4">
        <v>41</v>
      </c>
      <c r="F824" s="4">
        <v>6</v>
      </c>
      <c r="G824" s="4">
        <v>246</v>
      </c>
      <c r="H824" s="3" t="s">
        <v>25</v>
      </c>
      <c r="I824" s="3" t="s">
        <v>16</v>
      </c>
      <c r="J824" s="5">
        <v>45198</v>
      </c>
      <c r="K824" s="2" t="b">
        <v>1</v>
      </c>
    </row>
    <row r="825" spans="1:11" x14ac:dyDescent="0.3">
      <c r="A825" s="3" t="s">
        <v>1050</v>
      </c>
      <c r="B825" s="3" t="s">
        <v>46</v>
      </c>
      <c r="C825" s="3" t="s">
        <v>13</v>
      </c>
      <c r="D825" s="3" t="s">
        <v>585</v>
      </c>
      <c r="E825" s="4">
        <v>6.5</v>
      </c>
      <c r="F825" s="4">
        <v>3</v>
      </c>
      <c r="G825" s="4">
        <v>19.5</v>
      </c>
      <c r="H825" s="3" t="s">
        <v>48</v>
      </c>
      <c r="I825" s="3" t="s">
        <v>16</v>
      </c>
      <c r="J825" s="5">
        <v>44593</v>
      </c>
      <c r="K825" s="2" t="b">
        <v>0</v>
      </c>
    </row>
    <row r="826" spans="1:11" x14ac:dyDescent="0.3">
      <c r="A826" s="3" t="s">
        <v>1051</v>
      </c>
      <c r="B826" s="3" t="s">
        <v>89</v>
      </c>
      <c r="C826" s="3" t="s">
        <v>41</v>
      </c>
      <c r="D826" s="3" t="s">
        <v>146</v>
      </c>
      <c r="E826" s="4">
        <v>14</v>
      </c>
      <c r="F826" s="4">
        <v>8</v>
      </c>
      <c r="G826" s="4">
        <v>112</v>
      </c>
      <c r="H826" s="3" t="s">
        <v>25</v>
      </c>
      <c r="I826" s="3" t="s">
        <v>16</v>
      </c>
      <c r="J826" s="5">
        <v>45004</v>
      </c>
      <c r="K826" s="2" t="b">
        <v>0</v>
      </c>
    </row>
    <row r="827" spans="1:11" x14ac:dyDescent="0.3">
      <c r="A827" s="3" t="s">
        <v>1052</v>
      </c>
      <c r="B827" s="3" t="s">
        <v>27</v>
      </c>
      <c r="C827" s="3" t="s">
        <v>23</v>
      </c>
      <c r="D827" s="3" t="s">
        <v>227</v>
      </c>
      <c r="E827" s="4">
        <v>15.5</v>
      </c>
      <c r="F827" s="4">
        <v>10</v>
      </c>
      <c r="G827" s="4">
        <v>155</v>
      </c>
      <c r="H827" s="3" t="s">
        <v>48</v>
      </c>
      <c r="I827" s="3" t="s">
        <v>38</v>
      </c>
      <c r="J827" s="5">
        <v>45478</v>
      </c>
      <c r="K827" s="2" t="s">
        <v>1233</v>
      </c>
    </row>
    <row r="828" spans="1:11" x14ac:dyDescent="0.3">
      <c r="A828" s="3" t="s">
        <v>1053</v>
      </c>
      <c r="B828" s="3" t="s">
        <v>43</v>
      </c>
      <c r="C828" s="3" t="s">
        <v>13</v>
      </c>
      <c r="D828" s="3" t="s">
        <v>520</v>
      </c>
      <c r="E828" s="4">
        <v>15.5</v>
      </c>
      <c r="F828" s="4">
        <v>9</v>
      </c>
      <c r="G828" s="4">
        <v>139.5</v>
      </c>
      <c r="H828" s="3" t="s">
        <v>15</v>
      </c>
      <c r="I828" s="3" t="s">
        <v>16</v>
      </c>
      <c r="J828" s="5">
        <v>45546</v>
      </c>
      <c r="K828" s="2" t="b">
        <v>1</v>
      </c>
    </row>
    <row r="829" spans="1:11" x14ac:dyDescent="0.3">
      <c r="A829" s="3" t="s">
        <v>1054</v>
      </c>
      <c r="B829" s="3" t="s">
        <v>80</v>
      </c>
      <c r="C829" s="3" t="s">
        <v>23</v>
      </c>
      <c r="D829" s="3" t="s">
        <v>277</v>
      </c>
      <c r="E829" s="4">
        <v>30.5</v>
      </c>
      <c r="F829" s="4">
        <v>8</v>
      </c>
      <c r="G829" s="4">
        <v>244</v>
      </c>
      <c r="H829" s="3" t="s">
        <v>15</v>
      </c>
      <c r="I829" s="3" t="s">
        <v>16</v>
      </c>
      <c r="J829" s="5">
        <v>45024</v>
      </c>
      <c r="K829" s="2" t="b">
        <v>0</v>
      </c>
    </row>
    <row r="830" spans="1:11" x14ac:dyDescent="0.3">
      <c r="A830" s="3" t="s">
        <v>1055</v>
      </c>
      <c r="B830" s="3" t="s">
        <v>77</v>
      </c>
      <c r="C830" s="3" t="s">
        <v>23</v>
      </c>
      <c r="D830" s="3" t="s">
        <v>162</v>
      </c>
      <c r="E830" s="4">
        <v>6.5</v>
      </c>
      <c r="F830" s="4">
        <v>1</v>
      </c>
      <c r="G830" s="4">
        <v>6.5</v>
      </c>
      <c r="H830" s="3" t="s">
        <v>25</v>
      </c>
      <c r="I830" s="3" t="s">
        <v>16</v>
      </c>
      <c r="J830" s="5">
        <v>45662</v>
      </c>
      <c r="K830" s="2" t="s">
        <v>1233</v>
      </c>
    </row>
    <row r="831" spans="1:11" x14ac:dyDescent="0.3">
      <c r="A831" s="3" t="s">
        <v>1056</v>
      </c>
      <c r="B831" s="3" t="s">
        <v>63</v>
      </c>
      <c r="C831" s="3" t="s">
        <v>13</v>
      </c>
      <c r="D831" s="3" t="s">
        <v>1233</v>
      </c>
      <c r="E831" s="4" t="s">
        <v>1233</v>
      </c>
      <c r="F831" s="4">
        <v>4</v>
      </c>
      <c r="G831" s="4">
        <v>164</v>
      </c>
      <c r="H831" s="3" t="s">
        <v>25</v>
      </c>
      <c r="I831" s="3" t="s">
        <v>38</v>
      </c>
      <c r="J831" s="5">
        <v>45225</v>
      </c>
      <c r="K831" s="2" t="s">
        <v>1233</v>
      </c>
    </row>
    <row r="832" spans="1:11" x14ac:dyDescent="0.3">
      <c r="A832" s="3" t="s">
        <v>1057</v>
      </c>
      <c r="B832" s="3" t="s">
        <v>113</v>
      </c>
      <c r="C832" s="3" t="s">
        <v>41</v>
      </c>
      <c r="D832" s="3" t="s">
        <v>1058</v>
      </c>
      <c r="E832" s="4">
        <v>32</v>
      </c>
      <c r="F832" s="4">
        <v>3</v>
      </c>
      <c r="G832" s="4">
        <v>96</v>
      </c>
      <c r="H832" s="3" t="s">
        <v>48</v>
      </c>
      <c r="I832" s="3" t="s">
        <v>38</v>
      </c>
      <c r="J832" s="5">
        <v>45177</v>
      </c>
      <c r="K832" s="2" t="b">
        <v>1</v>
      </c>
    </row>
    <row r="833" spans="1:11" x14ac:dyDescent="0.3">
      <c r="A833" s="3" t="s">
        <v>1059</v>
      </c>
      <c r="B833" s="3" t="s">
        <v>27</v>
      </c>
      <c r="C833" s="3" t="s">
        <v>32</v>
      </c>
      <c r="D833" s="3" t="s">
        <v>33</v>
      </c>
      <c r="E833" s="4">
        <v>12.5</v>
      </c>
      <c r="F833" s="4">
        <v>4</v>
      </c>
      <c r="G833" s="4">
        <v>50</v>
      </c>
      <c r="H833" s="3" t="s">
        <v>15</v>
      </c>
      <c r="I833" s="3" t="s">
        <v>16</v>
      </c>
      <c r="J833" s="5">
        <v>45417</v>
      </c>
      <c r="K833" s="2" t="b">
        <v>1</v>
      </c>
    </row>
    <row r="834" spans="1:11" x14ac:dyDescent="0.3">
      <c r="A834" s="3" t="s">
        <v>1060</v>
      </c>
      <c r="B834" s="3" t="s">
        <v>116</v>
      </c>
      <c r="C834" s="3" t="s">
        <v>19</v>
      </c>
      <c r="D834" s="3" t="s">
        <v>271</v>
      </c>
      <c r="E834" s="4">
        <v>5</v>
      </c>
      <c r="F834" s="4">
        <v>7</v>
      </c>
      <c r="G834" s="4">
        <v>35</v>
      </c>
      <c r="H834" s="3" t="s">
        <v>48</v>
      </c>
      <c r="I834" s="3" t="s">
        <v>38</v>
      </c>
      <c r="J834" s="5">
        <v>45074</v>
      </c>
      <c r="K834" s="2" t="b">
        <v>1</v>
      </c>
    </row>
    <row r="835" spans="1:11" x14ac:dyDescent="0.3">
      <c r="A835" s="3" t="s">
        <v>1061</v>
      </c>
      <c r="B835" s="3" t="s">
        <v>18</v>
      </c>
      <c r="C835" s="3" t="s">
        <v>41</v>
      </c>
      <c r="D835" s="3" t="s">
        <v>197</v>
      </c>
      <c r="E835" s="4">
        <v>35</v>
      </c>
      <c r="F835" s="4">
        <v>2</v>
      </c>
      <c r="G835" s="4">
        <v>70</v>
      </c>
      <c r="H835" s="3" t="s">
        <v>15</v>
      </c>
      <c r="I835" s="3" t="s">
        <v>16</v>
      </c>
      <c r="J835" s="5">
        <v>44706</v>
      </c>
      <c r="K835" s="2" t="b">
        <v>1</v>
      </c>
    </row>
    <row r="836" spans="1:11" x14ac:dyDescent="0.3">
      <c r="A836" s="3" t="s">
        <v>1062</v>
      </c>
      <c r="B836" s="3" t="s">
        <v>18</v>
      </c>
      <c r="C836" s="3" t="s">
        <v>19</v>
      </c>
      <c r="D836" s="3" t="s">
        <v>540</v>
      </c>
      <c r="E836" s="4">
        <v>23</v>
      </c>
      <c r="F836" s="4">
        <v>1</v>
      </c>
      <c r="G836" s="4">
        <v>23</v>
      </c>
      <c r="H836" s="3" t="s">
        <v>25</v>
      </c>
      <c r="I836" s="3" t="s">
        <v>16</v>
      </c>
      <c r="J836" s="5">
        <v>45118</v>
      </c>
      <c r="K836" s="2" t="b">
        <v>1</v>
      </c>
    </row>
    <row r="837" spans="1:11" x14ac:dyDescent="0.3">
      <c r="A837" s="3" t="s">
        <v>1063</v>
      </c>
      <c r="B837" s="3" t="s">
        <v>40</v>
      </c>
      <c r="C837" s="3" t="s">
        <v>19</v>
      </c>
      <c r="D837" s="3" t="s">
        <v>284</v>
      </c>
      <c r="E837" s="4">
        <v>8</v>
      </c>
      <c r="F837" s="4">
        <v>6</v>
      </c>
      <c r="G837" s="4">
        <v>48</v>
      </c>
      <c r="H837" s="3" t="s">
        <v>48</v>
      </c>
      <c r="I837" s="3" t="s">
        <v>38</v>
      </c>
      <c r="J837" s="5">
        <v>44713</v>
      </c>
      <c r="K837" s="2" t="s">
        <v>1233</v>
      </c>
    </row>
    <row r="838" spans="1:11" x14ac:dyDescent="0.3">
      <c r="A838" s="3" t="s">
        <v>1064</v>
      </c>
      <c r="B838" s="3" t="s">
        <v>98</v>
      </c>
      <c r="C838" s="3" t="s">
        <v>130</v>
      </c>
      <c r="D838" s="3" t="s">
        <v>229</v>
      </c>
      <c r="E838" s="4">
        <v>18.5</v>
      </c>
      <c r="F838" s="4">
        <v>5</v>
      </c>
      <c r="G838" s="4">
        <v>92.5</v>
      </c>
      <c r="H838" s="3" t="s">
        <v>25</v>
      </c>
      <c r="I838" s="3" t="s">
        <v>16</v>
      </c>
      <c r="J838" s="5">
        <v>45621</v>
      </c>
      <c r="K838" s="2" t="b">
        <v>1</v>
      </c>
    </row>
    <row r="839" spans="1:11" x14ac:dyDescent="0.3">
      <c r="A839" s="3" t="s">
        <v>1065</v>
      </c>
      <c r="B839" s="3" t="s">
        <v>43</v>
      </c>
      <c r="C839" s="3" t="s">
        <v>130</v>
      </c>
      <c r="D839" s="3" t="s">
        <v>1233</v>
      </c>
      <c r="E839" s="4" t="s">
        <v>1233</v>
      </c>
      <c r="F839" s="4">
        <v>2</v>
      </c>
      <c r="G839" s="4">
        <v>46</v>
      </c>
      <c r="H839" s="3" t="s">
        <v>25</v>
      </c>
      <c r="I839" s="3" t="s">
        <v>38</v>
      </c>
      <c r="J839" s="5">
        <v>45365</v>
      </c>
      <c r="K839" s="2" t="b">
        <v>1</v>
      </c>
    </row>
    <row r="840" spans="1:11" x14ac:dyDescent="0.3">
      <c r="A840" s="3" t="s">
        <v>1066</v>
      </c>
      <c r="B840" s="3" t="s">
        <v>36</v>
      </c>
      <c r="C840" s="3" t="s">
        <v>130</v>
      </c>
      <c r="D840" s="3" t="s">
        <v>361</v>
      </c>
      <c r="E840" s="4">
        <v>32</v>
      </c>
      <c r="F840" s="4">
        <v>5</v>
      </c>
      <c r="G840" s="4">
        <v>160</v>
      </c>
      <c r="H840" s="3" t="s">
        <v>25</v>
      </c>
      <c r="I840" s="3" t="s">
        <v>38</v>
      </c>
      <c r="J840" s="5">
        <v>44645</v>
      </c>
      <c r="K840" s="2" t="b">
        <v>0</v>
      </c>
    </row>
    <row r="841" spans="1:11" x14ac:dyDescent="0.3">
      <c r="A841" s="3" t="s">
        <v>1067</v>
      </c>
      <c r="B841" s="3" t="s">
        <v>12</v>
      </c>
      <c r="C841" s="3" t="s">
        <v>13</v>
      </c>
      <c r="D841" s="3" t="s">
        <v>133</v>
      </c>
      <c r="E841" s="4">
        <v>20</v>
      </c>
      <c r="F841" s="4">
        <v>10</v>
      </c>
      <c r="G841" s="4">
        <v>200</v>
      </c>
      <c r="H841" s="3" t="s">
        <v>48</v>
      </c>
      <c r="I841" s="3" t="s">
        <v>38</v>
      </c>
      <c r="J841" s="5">
        <v>45635</v>
      </c>
      <c r="K841" s="2" t="b">
        <v>0</v>
      </c>
    </row>
    <row r="842" spans="1:11" x14ac:dyDescent="0.3">
      <c r="A842" s="3" t="s">
        <v>1068</v>
      </c>
      <c r="B842" s="3" t="s">
        <v>27</v>
      </c>
      <c r="C842" s="3" t="s">
        <v>66</v>
      </c>
      <c r="D842" s="3" t="s">
        <v>246</v>
      </c>
      <c r="E842" s="4">
        <v>15.5</v>
      </c>
      <c r="F842" s="4">
        <v>7</v>
      </c>
      <c r="G842" s="4">
        <v>108.5</v>
      </c>
      <c r="H842" s="3" t="s">
        <v>48</v>
      </c>
      <c r="I842" s="3" t="s">
        <v>38</v>
      </c>
      <c r="J842" s="5">
        <v>44681</v>
      </c>
      <c r="K842" s="2" t="s">
        <v>1233</v>
      </c>
    </row>
    <row r="843" spans="1:11" x14ac:dyDescent="0.3">
      <c r="A843" s="3" t="s">
        <v>1069</v>
      </c>
      <c r="B843" s="3" t="s">
        <v>123</v>
      </c>
      <c r="C843" s="3" t="s">
        <v>19</v>
      </c>
      <c r="D843" s="3" t="s">
        <v>1070</v>
      </c>
      <c r="E843" s="4">
        <v>14</v>
      </c>
      <c r="F843" s="4">
        <v>7</v>
      </c>
      <c r="G843" s="4">
        <v>98</v>
      </c>
      <c r="H843" s="3" t="s">
        <v>48</v>
      </c>
      <c r="I843" s="3" t="s">
        <v>38</v>
      </c>
      <c r="J843" s="5">
        <v>45521</v>
      </c>
      <c r="K843" s="2" t="s">
        <v>1233</v>
      </c>
    </row>
    <row r="844" spans="1:11" x14ac:dyDescent="0.3">
      <c r="A844" s="3" t="s">
        <v>1071</v>
      </c>
      <c r="B844" s="3" t="s">
        <v>116</v>
      </c>
      <c r="C844" s="3" t="s">
        <v>13</v>
      </c>
      <c r="D844" s="3" t="s">
        <v>579</v>
      </c>
      <c r="E844" s="4">
        <v>32</v>
      </c>
      <c r="F844" s="4">
        <v>10</v>
      </c>
      <c r="G844" s="4">
        <v>320</v>
      </c>
      <c r="H844" s="3" t="s">
        <v>25</v>
      </c>
      <c r="I844" s="3" t="s">
        <v>38</v>
      </c>
      <c r="J844" s="5">
        <v>45010</v>
      </c>
      <c r="K844" s="2" t="b">
        <v>1</v>
      </c>
    </row>
    <row r="845" spans="1:11" x14ac:dyDescent="0.3">
      <c r="A845" s="3" t="s">
        <v>1072</v>
      </c>
      <c r="B845" s="3" t="s">
        <v>27</v>
      </c>
      <c r="C845" s="3" t="s">
        <v>23</v>
      </c>
      <c r="D845" s="3" t="s">
        <v>306</v>
      </c>
      <c r="E845" s="4">
        <v>23</v>
      </c>
      <c r="F845" s="4">
        <v>10</v>
      </c>
      <c r="G845" s="4">
        <v>230</v>
      </c>
      <c r="H845" s="3" t="s">
        <v>48</v>
      </c>
      <c r="I845" s="3" t="s">
        <v>16</v>
      </c>
      <c r="J845" s="5">
        <v>45031</v>
      </c>
      <c r="K845" s="2" t="s">
        <v>1233</v>
      </c>
    </row>
    <row r="846" spans="1:11" x14ac:dyDescent="0.3">
      <c r="A846" s="3" t="s">
        <v>1073</v>
      </c>
      <c r="B846" s="3" t="s">
        <v>43</v>
      </c>
      <c r="C846" s="3" t="s">
        <v>23</v>
      </c>
      <c r="D846" s="3" t="s">
        <v>598</v>
      </c>
      <c r="E846" s="4">
        <v>12.5</v>
      </c>
      <c r="F846" s="4">
        <v>9</v>
      </c>
      <c r="G846" s="4">
        <v>112.5</v>
      </c>
      <c r="H846" s="3" t="s">
        <v>48</v>
      </c>
      <c r="I846" s="3" t="s">
        <v>38</v>
      </c>
      <c r="J846" s="5">
        <v>44817</v>
      </c>
      <c r="K846" s="2" t="b">
        <v>0</v>
      </c>
    </row>
    <row r="847" spans="1:11" x14ac:dyDescent="0.3">
      <c r="A847" s="3" t="s">
        <v>1074</v>
      </c>
      <c r="B847" s="3" t="s">
        <v>113</v>
      </c>
      <c r="C847" s="3" t="s">
        <v>13</v>
      </c>
      <c r="D847" s="3" t="s">
        <v>172</v>
      </c>
      <c r="E847" s="4">
        <v>5</v>
      </c>
      <c r="F847" s="4">
        <v>4</v>
      </c>
      <c r="G847" s="4">
        <v>20</v>
      </c>
      <c r="H847" s="3" t="s">
        <v>48</v>
      </c>
      <c r="I847" s="3" t="s">
        <v>38</v>
      </c>
      <c r="J847" s="5">
        <v>45661</v>
      </c>
      <c r="K847" s="2" t="s">
        <v>1233</v>
      </c>
    </row>
    <row r="848" spans="1:11" x14ac:dyDescent="0.3">
      <c r="A848" s="3" t="s">
        <v>1075</v>
      </c>
      <c r="B848" s="3" t="s">
        <v>31</v>
      </c>
      <c r="C848" s="3" t="s">
        <v>66</v>
      </c>
      <c r="D848" s="3" t="s">
        <v>67</v>
      </c>
      <c r="E848" s="4">
        <v>23</v>
      </c>
      <c r="F848" s="4">
        <v>5</v>
      </c>
      <c r="G848" s="4">
        <v>115</v>
      </c>
      <c r="H848" s="3" t="s">
        <v>48</v>
      </c>
      <c r="I848" s="3" t="s">
        <v>38</v>
      </c>
      <c r="J848" s="5">
        <v>45300</v>
      </c>
      <c r="K848" s="2" t="b">
        <v>0</v>
      </c>
    </row>
    <row r="849" spans="1:11" x14ac:dyDescent="0.3">
      <c r="A849" s="3" t="s">
        <v>1076</v>
      </c>
      <c r="B849" s="3" t="s">
        <v>36</v>
      </c>
      <c r="C849" s="3" t="s">
        <v>28</v>
      </c>
      <c r="D849" s="3" t="s">
        <v>205</v>
      </c>
      <c r="E849" s="4">
        <v>24.5</v>
      </c>
      <c r="F849" s="4">
        <v>5</v>
      </c>
      <c r="G849" s="4">
        <v>122.5</v>
      </c>
      <c r="H849" s="3" t="s">
        <v>25</v>
      </c>
      <c r="I849" s="3" t="s">
        <v>16</v>
      </c>
      <c r="J849" s="5">
        <v>44714</v>
      </c>
      <c r="K849" s="2" t="b">
        <v>1</v>
      </c>
    </row>
    <row r="850" spans="1:11" x14ac:dyDescent="0.3">
      <c r="A850" s="3" t="s">
        <v>1077</v>
      </c>
      <c r="B850" s="3" t="s">
        <v>84</v>
      </c>
      <c r="C850" s="3" t="s">
        <v>66</v>
      </c>
      <c r="D850" s="3" t="s">
        <v>349</v>
      </c>
      <c r="E850" s="4">
        <v>27.5</v>
      </c>
      <c r="F850" s="4">
        <v>7</v>
      </c>
      <c r="G850" s="4">
        <v>192.5</v>
      </c>
      <c r="H850" s="3" t="s">
        <v>25</v>
      </c>
      <c r="I850" s="3" t="s">
        <v>16</v>
      </c>
      <c r="J850" s="5">
        <v>45357</v>
      </c>
      <c r="K850" s="2" t="b">
        <v>1</v>
      </c>
    </row>
    <row r="851" spans="1:11" x14ac:dyDescent="0.3">
      <c r="A851" s="3" t="s">
        <v>1078</v>
      </c>
      <c r="B851" s="3" t="s">
        <v>46</v>
      </c>
      <c r="C851" s="3" t="s">
        <v>66</v>
      </c>
      <c r="D851" s="3" t="s">
        <v>643</v>
      </c>
      <c r="E851" s="4">
        <v>26</v>
      </c>
      <c r="F851" s="4">
        <v>9</v>
      </c>
      <c r="G851" s="4">
        <v>234</v>
      </c>
      <c r="H851" s="3" t="s">
        <v>15</v>
      </c>
      <c r="I851" s="3" t="s">
        <v>16</v>
      </c>
      <c r="J851" s="5">
        <v>45182</v>
      </c>
      <c r="K851" s="2" t="s">
        <v>1233</v>
      </c>
    </row>
    <row r="852" spans="1:11" x14ac:dyDescent="0.3">
      <c r="A852" s="3" t="s">
        <v>1079</v>
      </c>
      <c r="B852" s="3" t="s">
        <v>46</v>
      </c>
      <c r="C852" s="3" t="s">
        <v>19</v>
      </c>
      <c r="D852" s="3" t="s">
        <v>1233</v>
      </c>
      <c r="E852" s="4">
        <v>26</v>
      </c>
      <c r="F852" s="4" t="s">
        <v>1233</v>
      </c>
      <c r="G852" s="4" t="s">
        <v>1233</v>
      </c>
      <c r="H852" s="3" t="s">
        <v>15</v>
      </c>
      <c r="I852" s="3" t="s">
        <v>16</v>
      </c>
      <c r="J852" s="5">
        <v>44619</v>
      </c>
      <c r="K852" s="2" t="b">
        <v>0</v>
      </c>
    </row>
    <row r="853" spans="1:11" x14ac:dyDescent="0.3">
      <c r="A853" s="3" t="s">
        <v>1080</v>
      </c>
      <c r="B853" s="3" t="s">
        <v>113</v>
      </c>
      <c r="C853" s="3" t="s">
        <v>130</v>
      </c>
      <c r="D853" s="3" t="s">
        <v>293</v>
      </c>
      <c r="E853" s="4">
        <v>12.5</v>
      </c>
      <c r="F853" s="4">
        <v>2</v>
      </c>
      <c r="G853" s="4">
        <v>25</v>
      </c>
      <c r="H853" s="3" t="s">
        <v>25</v>
      </c>
      <c r="I853" s="3" t="s">
        <v>16</v>
      </c>
      <c r="J853" s="5">
        <v>44921</v>
      </c>
      <c r="K853" s="2" t="b">
        <v>1</v>
      </c>
    </row>
    <row r="854" spans="1:11" x14ac:dyDescent="0.3">
      <c r="A854" s="3" t="s">
        <v>1081</v>
      </c>
      <c r="B854" s="3" t="s">
        <v>113</v>
      </c>
      <c r="C854" s="3" t="s">
        <v>32</v>
      </c>
      <c r="D854" s="3" t="s">
        <v>1233</v>
      </c>
      <c r="E854" s="4" t="s">
        <v>1233</v>
      </c>
      <c r="F854" s="4">
        <v>9</v>
      </c>
      <c r="G854" s="4">
        <v>207</v>
      </c>
      <c r="H854" s="3" t="s">
        <v>48</v>
      </c>
      <c r="I854" s="3" t="s">
        <v>38</v>
      </c>
      <c r="J854" s="5">
        <v>45184</v>
      </c>
      <c r="K854" s="2" t="b">
        <v>1</v>
      </c>
    </row>
    <row r="855" spans="1:11" x14ac:dyDescent="0.3">
      <c r="A855" s="3" t="s">
        <v>1082</v>
      </c>
      <c r="B855" s="3" t="s">
        <v>84</v>
      </c>
      <c r="C855" s="3" t="s">
        <v>28</v>
      </c>
      <c r="D855" s="3" t="s">
        <v>1083</v>
      </c>
      <c r="E855" s="4">
        <v>17</v>
      </c>
      <c r="F855" s="4">
        <v>7</v>
      </c>
      <c r="G855" s="4">
        <v>119</v>
      </c>
      <c r="H855" s="3" t="s">
        <v>15</v>
      </c>
      <c r="I855" s="3" t="s">
        <v>16</v>
      </c>
      <c r="J855" s="5">
        <v>45435</v>
      </c>
      <c r="K855" s="2" t="s">
        <v>1233</v>
      </c>
    </row>
    <row r="856" spans="1:11" x14ac:dyDescent="0.3">
      <c r="A856" s="3" t="s">
        <v>1084</v>
      </c>
      <c r="B856" s="3" t="s">
        <v>108</v>
      </c>
      <c r="C856" s="3" t="s">
        <v>41</v>
      </c>
      <c r="D856" s="3" t="s">
        <v>594</v>
      </c>
      <c r="E856" s="4">
        <v>33.5</v>
      </c>
      <c r="F856" s="4">
        <v>8</v>
      </c>
      <c r="G856" s="4">
        <v>268</v>
      </c>
      <c r="H856" s="3" t="s">
        <v>25</v>
      </c>
      <c r="I856" s="3" t="s">
        <v>16</v>
      </c>
      <c r="J856" s="5">
        <v>44655</v>
      </c>
      <c r="K856" s="2" t="s">
        <v>1233</v>
      </c>
    </row>
    <row r="857" spans="1:11" x14ac:dyDescent="0.3">
      <c r="A857" s="3" t="s">
        <v>1085</v>
      </c>
      <c r="B857" s="3" t="s">
        <v>113</v>
      </c>
      <c r="C857" s="3" t="s">
        <v>66</v>
      </c>
      <c r="D857" s="3" t="s">
        <v>1233</v>
      </c>
      <c r="E857" s="4">
        <v>21.5</v>
      </c>
      <c r="F857" s="4" t="s">
        <v>1233</v>
      </c>
      <c r="G857" s="4" t="s">
        <v>1233</v>
      </c>
      <c r="H857" s="3" t="s">
        <v>48</v>
      </c>
      <c r="I857" s="3" t="s">
        <v>16</v>
      </c>
      <c r="J857" s="5">
        <v>45539</v>
      </c>
      <c r="K857" s="2" t="s">
        <v>1233</v>
      </c>
    </row>
    <row r="858" spans="1:11" x14ac:dyDescent="0.3">
      <c r="A858" s="3" t="s">
        <v>1086</v>
      </c>
      <c r="B858" s="3" t="s">
        <v>65</v>
      </c>
      <c r="C858" s="3" t="s">
        <v>32</v>
      </c>
      <c r="D858" s="3" t="s">
        <v>237</v>
      </c>
      <c r="E858" s="4">
        <v>17</v>
      </c>
      <c r="F858" s="4">
        <v>7</v>
      </c>
      <c r="G858" s="4">
        <v>119</v>
      </c>
      <c r="H858" s="3" t="s">
        <v>15</v>
      </c>
      <c r="I858" s="3" t="s">
        <v>38</v>
      </c>
      <c r="J858" s="5">
        <v>44590</v>
      </c>
      <c r="K858" s="2" t="b">
        <v>0</v>
      </c>
    </row>
    <row r="859" spans="1:11" x14ac:dyDescent="0.3">
      <c r="A859" s="3" t="s">
        <v>1087</v>
      </c>
      <c r="B859" s="3" t="s">
        <v>65</v>
      </c>
      <c r="C859" s="3" t="s">
        <v>66</v>
      </c>
      <c r="D859" s="3" t="s">
        <v>358</v>
      </c>
      <c r="E859" s="4">
        <v>5</v>
      </c>
      <c r="F859" s="4">
        <v>10</v>
      </c>
      <c r="G859" s="4">
        <v>50</v>
      </c>
      <c r="H859" s="3" t="s">
        <v>48</v>
      </c>
      <c r="I859" s="3" t="s">
        <v>38</v>
      </c>
      <c r="J859" s="5">
        <v>44803</v>
      </c>
      <c r="K859" s="2" t="b">
        <v>1</v>
      </c>
    </row>
    <row r="860" spans="1:11" x14ac:dyDescent="0.3">
      <c r="A860" s="3" t="s">
        <v>1088</v>
      </c>
      <c r="B860" s="3" t="s">
        <v>22</v>
      </c>
      <c r="C860" s="3" t="s">
        <v>66</v>
      </c>
      <c r="D860" s="3" t="s">
        <v>352</v>
      </c>
      <c r="E860" s="4">
        <v>38</v>
      </c>
      <c r="F860" s="4">
        <v>1</v>
      </c>
      <c r="G860" s="4">
        <v>38</v>
      </c>
      <c r="H860" s="3" t="s">
        <v>25</v>
      </c>
      <c r="I860" s="3" t="s">
        <v>38</v>
      </c>
      <c r="J860" s="5">
        <v>45413</v>
      </c>
      <c r="K860" s="2" t="b">
        <v>0</v>
      </c>
    </row>
    <row r="861" spans="1:11" x14ac:dyDescent="0.3">
      <c r="A861" s="3" t="s">
        <v>1089</v>
      </c>
      <c r="B861" s="3" t="s">
        <v>46</v>
      </c>
      <c r="C861" s="3" t="s">
        <v>41</v>
      </c>
      <c r="D861" s="3" t="s">
        <v>281</v>
      </c>
      <c r="E861" s="4">
        <v>5</v>
      </c>
      <c r="F861" s="4">
        <v>5</v>
      </c>
      <c r="G861" s="4">
        <v>25</v>
      </c>
      <c r="H861" s="3" t="s">
        <v>25</v>
      </c>
      <c r="I861" s="3" t="s">
        <v>16</v>
      </c>
      <c r="J861" s="5">
        <v>44632</v>
      </c>
      <c r="K861" s="2" t="s">
        <v>1233</v>
      </c>
    </row>
    <row r="862" spans="1:11" x14ac:dyDescent="0.3">
      <c r="A862" s="3" t="s">
        <v>1090</v>
      </c>
      <c r="B862" s="3" t="s">
        <v>77</v>
      </c>
      <c r="C862" s="3" t="s">
        <v>41</v>
      </c>
      <c r="D862" s="3" t="s">
        <v>281</v>
      </c>
      <c r="E862" s="4">
        <v>5</v>
      </c>
      <c r="F862" s="4">
        <v>3</v>
      </c>
      <c r="G862" s="4">
        <v>15</v>
      </c>
      <c r="H862" s="3" t="s">
        <v>15</v>
      </c>
      <c r="I862" s="3" t="s">
        <v>16</v>
      </c>
      <c r="J862" s="5">
        <v>44754</v>
      </c>
      <c r="K862" s="2" t="b">
        <v>1</v>
      </c>
    </row>
    <row r="863" spans="1:11" x14ac:dyDescent="0.3">
      <c r="A863" s="3" t="s">
        <v>1091</v>
      </c>
      <c r="B863" s="3" t="s">
        <v>31</v>
      </c>
      <c r="C863" s="3" t="s">
        <v>23</v>
      </c>
      <c r="D863" s="3" t="s">
        <v>85</v>
      </c>
      <c r="E863" s="4">
        <v>33.5</v>
      </c>
      <c r="F863" s="4">
        <v>4</v>
      </c>
      <c r="G863" s="4">
        <v>134</v>
      </c>
      <c r="H863" s="3" t="s">
        <v>48</v>
      </c>
      <c r="I863" s="3" t="s">
        <v>38</v>
      </c>
      <c r="J863" s="5">
        <v>44880</v>
      </c>
      <c r="K863" s="2" t="b">
        <v>0</v>
      </c>
    </row>
    <row r="864" spans="1:11" x14ac:dyDescent="0.3">
      <c r="A864" s="3" t="s">
        <v>1092</v>
      </c>
      <c r="B864" s="3" t="s">
        <v>69</v>
      </c>
      <c r="C864" s="3" t="s">
        <v>23</v>
      </c>
      <c r="D864" s="3" t="s">
        <v>50</v>
      </c>
      <c r="E864" s="4">
        <v>8</v>
      </c>
      <c r="F864" s="4">
        <v>9</v>
      </c>
      <c r="G864" s="4">
        <v>72</v>
      </c>
      <c r="H864" s="3" t="s">
        <v>15</v>
      </c>
      <c r="I864" s="3" t="s">
        <v>38</v>
      </c>
      <c r="J864" s="5">
        <v>44922</v>
      </c>
      <c r="K864" s="2" t="s">
        <v>1233</v>
      </c>
    </row>
    <row r="865" spans="1:11" x14ac:dyDescent="0.3">
      <c r="A865" s="3" t="s">
        <v>1093</v>
      </c>
      <c r="B865" s="3" t="s">
        <v>123</v>
      </c>
      <c r="C865" s="3" t="s">
        <v>66</v>
      </c>
      <c r="D865" s="3" t="s">
        <v>349</v>
      </c>
      <c r="E865" s="4">
        <v>27.5</v>
      </c>
      <c r="F865" s="4">
        <v>1</v>
      </c>
      <c r="G865" s="4">
        <v>27.5</v>
      </c>
      <c r="H865" s="3" t="s">
        <v>15</v>
      </c>
      <c r="I865" s="3" t="s">
        <v>16</v>
      </c>
      <c r="J865" s="5">
        <v>45549</v>
      </c>
      <c r="K865" s="2" t="b">
        <v>1</v>
      </c>
    </row>
    <row r="866" spans="1:11" x14ac:dyDescent="0.3">
      <c r="A866" s="3" t="s">
        <v>1094</v>
      </c>
      <c r="B866" s="3" t="s">
        <v>123</v>
      </c>
      <c r="C866" s="3" t="s">
        <v>13</v>
      </c>
      <c r="D866" s="3" t="s">
        <v>1233</v>
      </c>
      <c r="E866" s="4" t="s">
        <v>1233</v>
      </c>
      <c r="F866" s="4">
        <v>1</v>
      </c>
      <c r="G866" s="4">
        <v>27.5</v>
      </c>
      <c r="H866" s="3" t="s">
        <v>15</v>
      </c>
      <c r="I866" s="3" t="s">
        <v>38</v>
      </c>
      <c r="J866" s="5">
        <v>45010</v>
      </c>
      <c r="K866" s="2" t="b">
        <v>1</v>
      </c>
    </row>
    <row r="867" spans="1:11" x14ac:dyDescent="0.3">
      <c r="A867" s="3" t="s">
        <v>1095</v>
      </c>
      <c r="B867" s="3" t="s">
        <v>116</v>
      </c>
      <c r="C867" s="3" t="s">
        <v>23</v>
      </c>
      <c r="D867" s="3" t="s">
        <v>114</v>
      </c>
      <c r="E867" s="4">
        <v>38</v>
      </c>
      <c r="F867" s="4">
        <v>7</v>
      </c>
      <c r="G867" s="4">
        <v>266</v>
      </c>
      <c r="H867" s="3" t="s">
        <v>48</v>
      </c>
      <c r="I867" s="3" t="s">
        <v>16</v>
      </c>
      <c r="J867" s="5">
        <v>45432</v>
      </c>
      <c r="K867" s="2" t="s">
        <v>1233</v>
      </c>
    </row>
    <row r="868" spans="1:11" x14ac:dyDescent="0.3">
      <c r="A868" s="3" t="s">
        <v>1096</v>
      </c>
      <c r="B868" s="3" t="s">
        <v>63</v>
      </c>
      <c r="C868" s="3" t="s">
        <v>13</v>
      </c>
      <c r="D868" s="3" t="s">
        <v>579</v>
      </c>
      <c r="E868" s="4">
        <v>32</v>
      </c>
      <c r="F868" s="4">
        <v>2</v>
      </c>
      <c r="G868" s="4">
        <v>64</v>
      </c>
      <c r="H868" s="3" t="s">
        <v>15</v>
      </c>
      <c r="I868" s="3" t="s">
        <v>38</v>
      </c>
      <c r="J868" s="5">
        <v>45320</v>
      </c>
      <c r="K868" s="2" t="b">
        <v>0</v>
      </c>
    </row>
    <row r="869" spans="1:11" x14ac:dyDescent="0.3">
      <c r="A869" s="3" t="s">
        <v>1097</v>
      </c>
      <c r="B869" s="3" t="s">
        <v>12</v>
      </c>
      <c r="C869" s="3" t="s">
        <v>23</v>
      </c>
      <c r="D869" s="3" t="s">
        <v>1098</v>
      </c>
      <c r="E869" s="4">
        <v>18.5</v>
      </c>
      <c r="F869" s="4">
        <v>4</v>
      </c>
      <c r="G869" s="4">
        <v>74</v>
      </c>
      <c r="H869" s="3" t="s">
        <v>48</v>
      </c>
      <c r="I869" s="3" t="s">
        <v>16</v>
      </c>
      <c r="J869" s="5">
        <v>44929</v>
      </c>
      <c r="K869" s="2" t="s">
        <v>1233</v>
      </c>
    </row>
    <row r="870" spans="1:11" x14ac:dyDescent="0.3">
      <c r="A870" s="3" t="s">
        <v>1099</v>
      </c>
      <c r="B870" s="3" t="s">
        <v>108</v>
      </c>
      <c r="C870" s="3" t="s">
        <v>66</v>
      </c>
      <c r="D870" s="3" t="s">
        <v>919</v>
      </c>
      <c r="E870" s="4">
        <v>17</v>
      </c>
      <c r="F870" s="4">
        <v>9</v>
      </c>
      <c r="G870" s="4">
        <v>153</v>
      </c>
      <c r="H870" s="3" t="s">
        <v>25</v>
      </c>
      <c r="I870" s="3" t="s">
        <v>38</v>
      </c>
      <c r="J870" s="5">
        <v>45229</v>
      </c>
      <c r="K870" s="2" t="s">
        <v>1233</v>
      </c>
    </row>
    <row r="871" spans="1:11" x14ac:dyDescent="0.3">
      <c r="A871" s="3" t="s">
        <v>1100</v>
      </c>
      <c r="B871" s="3" t="s">
        <v>27</v>
      </c>
      <c r="C871" s="3" t="s">
        <v>28</v>
      </c>
      <c r="D871" s="3" t="s">
        <v>104</v>
      </c>
      <c r="E871" s="4">
        <v>41</v>
      </c>
      <c r="F871" s="4">
        <v>10</v>
      </c>
      <c r="G871" s="4">
        <v>410</v>
      </c>
      <c r="H871" s="3" t="s">
        <v>25</v>
      </c>
      <c r="I871" s="3" t="s">
        <v>38</v>
      </c>
      <c r="J871" s="5">
        <v>45612</v>
      </c>
      <c r="K871" s="2" t="s">
        <v>1233</v>
      </c>
    </row>
    <row r="872" spans="1:11" x14ac:dyDescent="0.3">
      <c r="A872" s="3" t="s">
        <v>1101</v>
      </c>
      <c r="B872" s="3" t="s">
        <v>36</v>
      </c>
      <c r="C872" s="3" t="s">
        <v>41</v>
      </c>
      <c r="D872" s="3" t="s">
        <v>1233</v>
      </c>
      <c r="E872" s="4" t="s">
        <v>1233</v>
      </c>
      <c r="F872" s="4">
        <v>9</v>
      </c>
      <c r="G872" s="4">
        <v>247.5</v>
      </c>
      <c r="H872" s="3" t="s">
        <v>48</v>
      </c>
      <c r="I872" s="3" t="s">
        <v>38</v>
      </c>
      <c r="J872" s="5">
        <v>45669</v>
      </c>
      <c r="K872" s="2" t="b">
        <v>0</v>
      </c>
    </row>
    <row r="873" spans="1:11" x14ac:dyDescent="0.3">
      <c r="A873" s="3" t="s">
        <v>1102</v>
      </c>
      <c r="B873" s="3" t="s">
        <v>22</v>
      </c>
      <c r="C873" s="3" t="s">
        <v>41</v>
      </c>
      <c r="D873" s="3" t="s">
        <v>87</v>
      </c>
      <c r="E873" s="4">
        <v>41</v>
      </c>
      <c r="F873" s="4">
        <v>7</v>
      </c>
      <c r="G873" s="4">
        <v>287</v>
      </c>
      <c r="H873" s="3" t="s">
        <v>15</v>
      </c>
      <c r="I873" s="3" t="s">
        <v>16</v>
      </c>
      <c r="J873" s="5">
        <v>45321</v>
      </c>
      <c r="K873" s="2" t="s">
        <v>1233</v>
      </c>
    </row>
    <row r="874" spans="1:11" x14ac:dyDescent="0.3">
      <c r="A874" s="3" t="s">
        <v>1103</v>
      </c>
      <c r="B874" s="3" t="s">
        <v>84</v>
      </c>
      <c r="C874" s="3" t="s">
        <v>13</v>
      </c>
      <c r="D874" s="3" t="s">
        <v>372</v>
      </c>
      <c r="E874" s="4">
        <v>23</v>
      </c>
      <c r="F874" s="4">
        <v>4</v>
      </c>
      <c r="G874" s="4">
        <v>92</v>
      </c>
      <c r="H874" s="3" t="s">
        <v>25</v>
      </c>
      <c r="I874" s="3" t="s">
        <v>38</v>
      </c>
      <c r="J874" s="5">
        <v>45337</v>
      </c>
      <c r="K874" s="2" t="b">
        <v>0</v>
      </c>
    </row>
    <row r="875" spans="1:11" x14ac:dyDescent="0.3">
      <c r="A875" s="3" t="s">
        <v>1104</v>
      </c>
      <c r="B875" s="3" t="s">
        <v>36</v>
      </c>
      <c r="C875" s="3" t="s">
        <v>41</v>
      </c>
      <c r="D875" s="3" t="s">
        <v>233</v>
      </c>
      <c r="E875" s="4">
        <v>11</v>
      </c>
      <c r="F875" s="4">
        <v>9</v>
      </c>
      <c r="G875" s="4">
        <v>99</v>
      </c>
      <c r="H875" s="3" t="s">
        <v>15</v>
      </c>
      <c r="I875" s="3" t="s">
        <v>38</v>
      </c>
      <c r="J875" s="5">
        <v>44985</v>
      </c>
      <c r="K875" s="2" t="s">
        <v>1233</v>
      </c>
    </row>
    <row r="876" spans="1:11" x14ac:dyDescent="0.3">
      <c r="A876" s="3" t="s">
        <v>1105</v>
      </c>
      <c r="B876" s="3" t="s">
        <v>74</v>
      </c>
      <c r="C876" s="3" t="s">
        <v>66</v>
      </c>
      <c r="D876" s="3" t="s">
        <v>1233</v>
      </c>
      <c r="E876" s="4">
        <v>24.5</v>
      </c>
      <c r="F876" s="4" t="s">
        <v>1233</v>
      </c>
      <c r="G876" s="4" t="s">
        <v>1233</v>
      </c>
      <c r="H876" s="3" t="s">
        <v>25</v>
      </c>
      <c r="I876" s="3" t="s">
        <v>16</v>
      </c>
      <c r="J876" s="5">
        <v>45455</v>
      </c>
      <c r="K876" s="2" t="b">
        <v>1</v>
      </c>
    </row>
    <row r="877" spans="1:11" x14ac:dyDescent="0.3">
      <c r="A877" s="3" t="s">
        <v>1106</v>
      </c>
      <c r="B877" s="3" t="s">
        <v>100</v>
      </c>
      <c r="C877" s="3" t="s">
        <v>32</v>
      </c>
      <c r="D877" s="3" t="s">
        <v>94</v>
      </c>
      <c r="E877" s="4">
        <v>20</v>
      </c>
      <c r="F877" s="4">
        <v>10</v>
      </c>
      <c r="G877" s="4">
        <v>200</v>
      </c>
      <c r="H877" s="3" t="s">
        <v>25</v>
      </c>
      <c r="I877" s="3" t="s">
        <v>16</v>
      </c>
      <c r="J877" s="5">
        <v>44999</v>
      </c>
      <c r="K877" s="2" t="b">
        <v>0</v>
      </c>
    </row>
    <row r="878" spans="1:11" x14ac:dyDescent="0.3">
      <c r="A878" s="3" t="s">
        <v>1107</v>
      </c>
      <c r="B878" s="3" t="s">
        <v>100</v>
      </c>
      <c r="C878" s="3" t="s">
        <v>23</v>
      </c>
      <c r="D878" s="3" t="s">
        <v>383</v>
      </c>
      <c r="E878" s="4">
        <v>41</v>
      </c>
      <c r="F878" s="4">
        <v>9</v>
      </c>
      <c r="G878" s="4">
        <v>369</v>
      </c>
      <c r="H878" s="3" t="s">
        <v>25</v>
      </c>
      <c r="I878" s="3" t="s">
        <v>16</v>
      </c>
      <c r="J878" s="5">
        <v>45292</v>
      </c>
      <c r="K878" s="2" t="s">
        <v>1233</v>
      </c>
    </row>
    <row r="879" spans="1:11" x14ac:dyDescent="0.3">
      <c r="A879" s="3" t="s">
        <v>1108</v>
      </c>
      <c r="B879" s="3" t="s">
        <v>65</v>
      </c>
      <c r="C879" s="3" t="s">
        <v>41</v>
      </c>
      <c r="D879" s="3" t="s">
        <v>342</v>
      </c>
      <c r="E879" s="4">
        <v>29</v>
      </c>
      <c r="F879" s="4">
        <v>7</v>
      </c>
      <c r="G879" s="4">
        <v>203</v>
      </c>
      <c r="H879" s="3" t="s">
        <v>25</v>
      </c>
      <c r="I879" s="3" t="s">
        <v>38</v>
      </c>
      <c r="J879" s="5">
        <v>45260</v>
      </c>
      <c r="K879" s="2" t="b">
        <v>1</v>
      </c>
    </row>
    <row r="880" spans="1:11" x14ac:dyDescent="0.3">
      <c r="A880" s="3" t="s">
        <v>1109</v>
      </c>
      <c r="B880" s="3" t="s">
        <v>55</v>
      </c>
      <c r="C880" s="3" t="s">
        <v>41</v>
      </c>
      <c r="D880" s="3" t="s">
        <v>453</v>
      </c>
      <c r="E880" s="4">
        <v>26</v>
      </c>
      <c r="F880" s="4">
        <v>9</v>
      </c>
      <c r="G880" s="4">
        <v>234</v>
      </c>
      <c r="H880" s="3" t="s">
        <v>15</v>
      </c>
      <c r="I880" s="3" t="s">
        <v>16</v>
      </c>
      <c r="J880" s="5">
        <v>45286</v>
      </c>
      <c r="K880" s="2" t="b">
        <v>0</v>
      </c>
    </row>
    <row r="881" spans="1:11" x14ac:dyDescent="0.3">
      <c r="A881" s="3" t="s">
        <v>1110</v>
      </c>
      <c r="B881" s="3" t="s">
        <v>69</v>
      </c>
      <c r="C881" s="3" t="s">
        <v>28</v>
      </c>
      <c r="D881" s="3" t="s">
        <v>513</v>
      </c>
      <c r="E881" s="4">
        <v>18.5</v>
      </c>
      <c r="F881" s="4">
        <v>9</v>
      </c>
      <c r="G881" s="4">
        <v>166.5</v>
      </c>
      <c r="H881" s="3" t="s">
        <v>48</v>
      </c>
      <c r="I881" s="3" t="s">
        <v>16</v>
      </c>
      <c r="J881" s="5">
        <v>45615</v>
      </c>
      <c r="K881" s="2" t="b">
        <v>0</v>
      </c>
    </row>
    <row r="882" spans="1:11" x14ac:dyDescent="0.3">
      <c r="A882" s="3" t="s">
        <v>1111</v>
      </c>
      <c r="B882" s="3" t="s">
        <v>27</v>
      </c>
      <c r="C882" s="3" t="s">
        <v>32</v>
      </c>
      <c r="D882" s="3" t="s">
        <v>33</v>
      </c>
      <c r="E882" s="4">
        <v>12.5</v>
      </c>
      <c r="F882" s="4">
        <v>1</v>
      </c>
      <c r="G882" s="4">
        <v>12.5</v>
      </c>
      <c r="H882" s="3" t="s">
        <v>25</v>
      </c>
      <c r="I882" s="3" t="s">
        <v>16</v>
      </c>
      <c r="J882" s="5">
        <v>45325</v>
      </c>
      <c r="K882" s="2" t="b">
        <v>0</v>
      </c>
    </row>
    <row r="883" spans="1:11" x14ac:dyDescent="0.3">
      <c r="A883" s="3" t="s">
        <v>1112</v>
      </c>
      <c r="B883" s="3" t="s">
        <v>123</v>
      </c>
      <c r="C883" s="3" t="s">
        <v>28</v>
      </c>
      <c r="D883" s="3" t="s">
        <v>401</v>
      </c>
      <c r="E883" s="4">
        <v>21.5</v>
      </c>
      <c r="F883" s="4">
        <v>5</v>
      </c>
      <c r="G883" s="4">
        <v>107.5</v>
      </c>
      <c r="H883" s="3" t="s">
        <v>48</v>
      </c>
      <c r="I883" s="3" t="s">
        <v>16</v>
      </c>
      <c r="J883" s="5">
        <v>44718</v>
      </c>
      <c r="K883" s="2" t="s">
        <v>1233</v>
      </c>
    </row>
    <row r="884" spans="1:11" x14ac:dyDescent="0.3">
      <c r="A884" s="3" t="s">
        <v>1113</v>
      </c>
      <c r="B884" s="3" t="s">
        <v>40</v>
      </c>
      <c r="C884" s="3" t="s">
        <v>23</v>
      </c>
      <c r="D884" s="3" t="s">
        <v>355</v>
      </c>
      <c r="E884" s="4">
        <v>14</v>
      </c>
      <c r="F884" s="4">
        <v>6</v>
      </c>
      <c r="G884" s="4">
        <v>84</v>
      </c>
      <c r="H884" s="3" t="s">
        <v>48</v>
      </c>
      <c r="I884" s="3" t="s">
        <v>38</v>
      </c>
      <c r="J884" s="5">
        <v>45134</v>
      </c>
      <c r="K884" s="2" t="s">
        <v>1233</v>
      </c>
    </row>
    <row r="885" spans="1:11" x14ac:dyDescent="0.3">
      <c r="A885" s="3" t="s">
        <v>1114</v>
      </c>
      <c r="B885" s="3" t="s">
        <v>123</v>
      </c>
      <c r="C885" s="3" t="s">
        <v>19</v>
      </c>
      <c r="D885" s="3" t="s">
        <v>287</v>
      </c>
      <c r="E885" s="4">
        <v>20</v>
      </c>
      <c r="F885" s="4">
        <v>5</v>
      </c>
      <c r="G885" s="4">
        <v>100</v>
      </c>
      <c r="H885" s="3" t="s">
        <v>25</v>
      </c>
      <c r="I885" s="3" t="s">
        <v>16</v>
      </c>
      <c r="J885" s="5">
        <v>44851</v>
      </c>
      <c r="K885" s="2" t="s">
        <v>1233</v>
      </c>
    </row>
    <row r="886" spans="1:11" x14ac:dyDescent="0.3">
      <c r="A886" s="3" t="s">
        <v>1115</v>
      </c>
      <c r="B886" s="3" t="s">
        <v>55</v>
      </c>
      <c r="C886" s="3" t="s">
        <v>23</v>
      </c>
      <c r="D886" s="3" t="s">
        <v>85</v>
      </c>
      <c r="E886" s="4">
        <v>33.5</v>
      </c>
      <c r="F886" s="4">
        <v>4</v>
      </c>
      <c r="G886" s="4">
        <v>134</v>
      </c>
      <c r="H886" s="3" t="s">
        <v>48</v>
      </c>
      <c r="I886" s="3" t="s">
        <v>16</v>
      </c>
      <c r="J886" s="5">
        <v>45560</v>
      </c>
      <c r="K886" s="2" t="b">
        <v>0</v>
      </c>
    </row>
    <row r="887" spans="1:11" x14ac:dyDescent="0.3">
      <c r="A887" s="3" t="s">
        <v>1116</v>
      </c>
      <c r="B887" s="3" t="s">
        <v>55</v>
      </c>
      <c r="C887" s="3" t="s">
        <v>41</v>
      </c>
      <c r="D887" s="3" t="s">
        <v>1233</v>
      </c>
      <c r="E887" s="4" t="s">
        <v>1233</v>
      </c>
      <c r="F887" s="4">
        <v>10</v>
      </c>
      <c r="G887" s="4">
        <v>110</v>
      </c>
      <c r="H887" s="3" t="s">
        <v>15</v>
      </c>
      <c r="I887" s="3" t="s">
        <v>38</v>
      </c>
      <c r="J887" s="5">
        <v>45381</v>
      </c>
      <c r="K887" s="2" t="s">
        <v>1233</v>
      </c>
    </row>
    <row r="888" spans="1:11" x14ac:dyDescent="0.3">
      <c r="A888" s="3" t="s">
        <v>1117</v>
      </c>
      <c r="B888" s="3" t="s">
        <v>27</v>
      </c>
      <c r="C888" s="3" t="s">
        <v>66</v>
      </c>
      <c r="D888" s="3" t="s">
        <v>322</v>
      </c>
      <c r="E888" s="4">
        <v>32</v>
      </c>
      <c r="F888" s="4">
        <v>6</v>
      </c>
      <c r="G888" s="4">
        <v>192</v>
      </c>
      <c r="H888" s="3" t="s">
        <v>48</v>
      </c>
      <c r="I888" s="3" t="s">
        <v>38</v>
      </c>
      <c r="J888" s="5">
        <v>44819</v>
      </c>
      <c r="K888" s="2" t="b">
        <v>0</v>
      </c>
    </row>
    <row r="889" spans="1:11" x14ac:dyDescent="0.3">
      <c r="A889" s="3" t="s">
        <v>1118</v>
      </c>
      <c r="B889" s="3" t="s">
        <v>43</v>
      </c>
      <c r="C889" s="3" t="s">
        <v>41</v>
      </c>
      <c r="D889" s="3" t="s">
        <v>1119</v>
      </c>
      <c r="E889" s="4">
        <v>30.5</v>
      </c>
      <c r="F889" s="4">
        <v>1</v>
      </c>
      <c r="G889" s="4">
        <v>30.5</v>
      </c>
      <c r="H889" s="3" t="s">
        <v>25</v>
      </c>
      <c r="I889" s="3" t="s">
        <v>16</v>
      </c>
      <c r="J889" s="5">
        <v>44956</v>
      </c>
      <c r="K889" s="2" t="s">
        <v>1233</v>
      </c>
    </row>
    <row r="890" spans="1:11" x14ac:dyDescent="0.3">
      <c r="A890" s="3" t="s">
        <v>1120</v>
      </c>
      <c r="B890" s="3" t="s">
        <v>18</v>
      </c>
      <c r="C890" s="3" t="s">
        <v>28</v>
      </c>
      <c r="D890" s="3" t="s">
        <v>205</v>
      </c>
      <c r="E890" s="4">
        <v>24.5</v>
      </c>
      <c r="F890" s="4">
        <v>8</v>
      </c>
      <c r="G890" s="4">
        <v>196</v>
      </c>
      <c r="H890" s="3" t="s">
        <v>15</v>
      </c>
      <c r="I890" s="3" t="s">
        <v>16</v>
      </c>
      <c r="J890" s="5">
        <v>44704</v>
      </c>
      <c r="K890" s="2" t="b">
        <v>0</v>
      </c>
    </row>
    <row r="891" spans="1:11" x14ac:dyDescent="0.3">
      <c r="A891" s="3" t="s">
        <v>1121</v>
      </c>
      <c r="B891" s="3" t="s">
        <v>46</v>
      </c>
      <c r="C891" s="3" t="s">
        <v>66</v>
      </c>
      <c r="D891" s="3" t="s">
        <v>367</v>
      </c>
      <c r="E891" s="4">
        <v>21.5</v>
      </c>
      <c r="F891" s="4">
        <v>6</v>
      </c>
      <c r="G891" s="4">
        <v>129</v>
      </c>
      <c r="H891" s="3" t="s">
        <v>15</v>
      </c>
      <c r="I891" s="3" t="s">
        <v>38</v>
      </c>
      <c r="J891" s="5">
        <v>44609</v>
      </c>
      <c r="K891" s="2" t="b">
        <v>0</v>
      </c>
    </row>
    <row r="892" spans="1:11" x14ac:dyDescent="0.3">
      <c r="A892" s="3" t="s">
        <v>1122</v>
      </c>
      <c r="B892" s="3" t="s">
        <v>55</v>
      </c>
      <c r="C892" s="3" t="s">
        <v>19</v>
      </c>
      <c r="D892" s="3" t="s">
        <v>540</v>
      </c>
      <c r="E892" s="4">
        <v>23</v>
      </c>
      <c r="F892" s="4">
        <v>4</v>
      </c>
      <c r="G892" s="4">
        <v>92</v>
      </c>
      <c r="H892" s="3" t="s">
        <v>25</v>
      </c>
      <c r="I892" s="3" t="s">
        <v>38</v>
      </c>
      <c r="J892" s="5">
        <v>44893</v>
      </c>
      <c r="K892" s="2" t="s">
        <v>1233</v>
      </c>
    </row>
    <row r="893" spans="1:11" x14ac:dyDescent="0.3">
      <c r="A893" s="3" t="s">
        <v>1123</v>
      </c>
      <c r="B893" s="3" t="s">
        <v>89</v>
      </c>
      <c r="C893" s="3" t="s">
        <v>130</v>
      </c>
      <c r="D893" s="3" t="s">
        <v>240</v>
      </c>
      <c r="E893" s="4">
        <v>35</v>
      </c>
      <c r="F893" s="4">
        <v>7</v>
      </c>
      <c r="G893" s="4">
        <v>245</v>
      </c>
      <c r="H893" s="3" t="s">
        <v>15</v>
      </c>
      <c r="I893" s="3" t="s">
        <v>38</v>
      </c>
      <c r="J893" s="5">
        <v>45009</v>
      </c>
      <c r="K893" s="2" t="b">
        <v>1</v>
      </c>
    </row>
    <row r="894" spans="1:11" x14ac:dyDescent="0.3">
      <c r="A894" s="3" t="s">
        <v>1124</v>
      </c>
      <c r="B894" s="3" t="s">
        <v>12</v>
      </c>
      <c r="C894" s="3" t="s">
        <v>23</v>
      </c>
      <c r="D894" s="3" t="s">
        <v>1233</v>
      </c>
      <c r="E894" s="4" t="s">
        <v>1233</v>
      </c>
      <c r="F894" s="4">
        <v>5</v>
      </c>
      <c r="G894" s="4">
        <v>115</v>
      </c>
      <c r="H894" s="3" t="s">
        <v>25</v>
      </c>
      <c r="I894" s="3" t="s">
        <v>38</v>
      </c>
      <c r="J894" s="5">
        <v>44858</v>
      </c>
      <c r="K894" s="2" t="s">
        <v>1233</v>
      </c>
    </row>
    <row r="895" spans="1:11" x14ac:dyDescent="0.3">
      <c r="A895" s="3" t="s">
        <v>1125</v>
      </c>
      <c r="B895" s="3" t="s">
        <v>12</v>
      </c>
      <c r="C895" s="3" t="s">
        <v>66</v>
      </c>
      <c r="D895" s="3" t="s">
        <v>119</v>
      </c>
      <c r="E895" s="4">
        <v>18.5</v>
      </c>
      <c r="F895" s="4">
        <v>1</v>
      </c>
      <c r="G895" s="4">
        <v>18.5</v>
      </c>
      <c r="H895" s="3" t="s">
        <v>15</v>
      </c>
      <c r="I895" s="3" t="s">
        <v>38</v>
      </c>
      <c r="J895" s="5">
        <v>44815</v>
      </c>
      <c r="K895" s="2" t="b">
        <v>1</v>
      </c>
    </row>
    <row r="896" spans="1:11" x14ac:dyDescent="0.3">
      <c r="A896" s="3" t="s">
        <v>1126</v>
      </c>
      <c r="B896" s="3" t="s">
        <v>116</v>
      </c>
      <c r="C896" s="3" t="s">
        <v>66</v>
      </c>
      <c r="D896" s="3" t="s">
        <v>643</v>
      </c>
      <c r="E896" s="4">
        <v>26</v>
      </c>
      <c r="F896" s="4">
        <v>5</v>
      </c>
      <c r="G896" s="4">
        <v>130</v>
      </c>
      <c r="H896" s="3" t="s">
        <v>25</v>
      </c>
      <c r="I896" s="3" t="s">
        <v>38</v>
      </c>
      <c r="J896" s="5">
        <v>45468</v>
      </c>
      <c r="K896" s="2" t="b">
        <v>0</v>
      </c>
    </row>
    <row r="897" spans="1:11" x14ac:dyDescent="0.3">
      <c r="A897" s="3" t="s">
        <v>1127</v>
      </c>
      <c r="B897" s="3" t="s">
        <v>31</v>
      </c>
      <c r="C897" s="3" t="s">
        <v>19</v>
      </c>
      <c r="D897" s="3" t="s">
        <v>1128</v>
      </c>
      <c r="E897" s="4">
        <v>41</v>
      </c>
      <c r="F897" s="4">
        <v>3</v>
      </c>
      <c r="G897" s="4">
        <v>123</v>
      </c>
      <c r="H897" s="3" t="s">
        <v>15</v>
      </c>
      <c r="I897" s="3" t="s">
        <v>38</v>
      </c>
      <c r="J897" s="5">
        <v>45122</v>
      </c>
      <c r="K897" s="2" t="b">
        <v>0</v>
      </c>
    </row>
    <row r="898" spans="1:11" x14ac:dyDescent="0.3">
      <c r="A898" s="3" t="s">
        <v>1129</v>
      </c>
      <c r="B898" s="3" t="s">
        <v>100</v>
      </c>
      <c r="C898" s="3" t="s">
        <v>23</v>
      </c>
      <c r="D898" s="3" t="s">
        <v>47</v>
      </c>
      <c r="E898" s="4">
        <v>36.5</v>
      </c>
      <c r="F898" s="4">
        <v>1</v>
      </c>
      <c r="G898" s="4">
        <v>36.5</v>
      </c>
      <c r="H898" s="3" t="s">
        <v>48</v>
      </c>
      <c r="I898" s="3" t="s">
        <v>38</v>
      </c>
      <c r="J898" s="5">
        <v>45388</v>
      </c>
      <c r="K898" s="2" t="s">
        <v>1233</v>
      </c>
    </row>
    <row r="899" spans="1:11" x14ac:dyDescent="0.3">
      <c r="A899" s="3" t="s">
        <v>1130</v>
      </c>
      <c r="B899" s="3" t="s">
        <v>123</v>
      </c>
      <c r="C899" s="3" t="s">
        <v>130</v>
      </c>
      <c r="D899" s="3" t="s">
        <v>427</v>
      </c>
      <c r="E899" s="4">
        <v>17</v>
      </c>
      <c r="F899" s="4">
        <v>3</v>
      </c>
      <c r="G899" s="4">
        <v>51</v>
      </c>
      <c r="H899" s="3" t="s">
        <v>15</v>
      </c>
      <c r="I899" s="3" t="s">
        <v>16</v>
      </c>
      <c r="J899" s="5">
        <v>45519</v>
      </c>
      <c r="K899" s="2" t="b">
        <v>0</v>
      </c>
    </row>
    <row r="900" spans="1:11" x14ac:dyDescent="0.3">
      <c r="A900" s="3" t="s">
        <v>1131</v>
      </c>
      <c r="B900" s="3" t="s">
        <v>55</v>
      </c>
      <c r="C900" s="3" t="s">
        <v>23</v>
      </c>
      <c r="D900" s="3" t="s">
        <v>47</v>
      </c>
      <c r="E900" s="4">
        <v>36.5</v>
      </c>
      <c r="F900" s="4">
        <v>4</v>
      </c>
      <c r="G900" s="4">
        <v>146</v>
      </c>
      <c r="H900" s="3" t="s">
        <v>15</v>
      </c>
      <c r="I900" s="3" t="s">
        <v>16</v>
      </c>
      <c r="J900" s="5">
        <v>44987</v>
      </c>
      <c r="K900" s="2" t="s">
        <v>1233</v>
      </c>
    </row>
    <row r="901" spans="1:11" x14ac:dyDescent="0.3">
      <c r="A901" s="3" t="s">
        <v>1132</v>
      </c>
      <c r="B901" s="3" t="s">
        <v>65</v>
      </c>
      <c r="C901" s="3" t="s">
        <v>13</v>
      </c>
      <c r="D901" s="3" t="s">
        <v>56</v>
      </c>
      <c r="E901" s="4">
        <v>39.5</v>
      </c>
      <c r="F901" s="4">
        <v>6</v>
      </c>
      <c r="G901" s="4">
        <v>237</v>
      </c>
      <c r="H901" s="3" t="s">
        <v>48</v>
      </c>
      <c r="I901" s="3" t="s">
        <v>16</v>
      </c>
      <c r="J901" s="5">
        <v>44575</v>
      </c>
      <c r="K901" s="2" t="s">
        <v>1233</v>
      </c>
    </row>
    <row r="902" spans="1:11" x14ac:dyDescent="0.3">
      <c r="A902" s="3" t="s">
        <v>1133</v>
      </c>
      <c r="B902" s="3" t="s">
        <v>22</v>
      </c>
      <c r="C902" s="3" t="s">
        <v>23</v>
      </c>
      <c r="D902" s="3" t="s">
        <v>306</v>
      </c>
      <c r="E902" s="4">
        <v>23</v>
      </c>
      <c r="F902" s="4">
        <v>9</v>
      </c>
      <c r="G902" s="4">
        <v>207</v>
      </c>
      <c r="H902" s="3" t="s">
        <v>25</v>
      </c>
      <c r="I902" s="3" t="s">
        <v>38</v>
      </c>
      <c r="J902" s="5">
        <v>45161</v>
      </c>
      <c r="K902" s="2" t="b">
        <v>0</v>
      </c>
    </row>
    <row r="903" spans="1:11" x14ac:dyDescent="0.3">
      <c r="A903" s="3" t="s">
        <v>1134</v>
      </c>
      <c r="B903" s="3" t="s">
        <v>168</v>
      </c>
      <c r="C903" s="3" t="s">
        <v>130</v>
      </c>
      <c r="D903" s="3" t="s">
        <v>131</v>
      </c>
      <c r="E903" s="4">
        <v>27.5</v>
      </c>
      <c r="F903" s="4">
        <v>10</v>
      </c>
      <c r="G903" s="4">
        <v>275</v>
      </c>
      <c r="H903" s="3" t="s">
        <v>48</v>
      </c>
      <c r="I903" s="3" t="s">
        <v>38</v>
      </c>
      <c r="J903" s="5">
        <v>45347</v>
      </c>
      <c r="K903" s="2" t="b">
        <v>0</v>
      </c>
    </row>
    <row r="904" spans="1:11" x14ac:dyDescent="0.3">
      <c r="A904" s="3" t="s">
        <v>1135</v>
      </c>
      <c r="B904" s="3" t="s">
        <v>43</v>
      </c>
      <c r="C904" s="3" t="s">
        <v>13</v>
      </c>
      <c r="D904" s="3" t="s">
        <v>164</v>
      </c>
      <c r="E904" s="4">
        <v>24.5</v>
      </c>
      <c r="F904" s="4">
        <v>8</v>
      </c>
      <c r="G904" s="4">
        <v>196</v>
      </c>
      <c r="H904" s="3" t="s">
        <v>25</v>
      </c>
      <c r="I904" s="3" t="s">
        <v>16</v>
      </c>
      <c r="J904" s="5">
        <v>45662</v>
      </c>
      <c r="K904" s="2" t="b">
        <v>0</v>
      </c>
    </row>
    <row r="905" spans="1:11" x14ac:dyDescent="0.3">
      <c r="A905" s="3" t="s">
        <v>1136</v>
      </c>
      <c r="B905" s="3" t="s">
        <v>89</v>
      </c>
      <c r="C905" s="3" t="s">
        <v>32</v>
      </c>
      <c r="D905" s="3" t="s">
        <v>1233</v>
      </c>
      <c r="E905" s="4">
        <v>24.5</v>
      </c>
      <c r="F905" s="4" t="s">
        <v>1233</v>
      </c>
      <c r="G905" s="4" t="s">
        <v>1233</v>
      </c>
      <c r="H905" s="3" t="s">
        <v>25</v>
      </c>
      <c r="I905" s="3" t="s">
        <v>38</v>
      </c>
      <c r="J905" s="5">
        <v>44937</v>
      </c>
      <c r="K905" s="2" t="b">
        <v>0</v>
      </c>
    </row>
    <row r="906" spans="1:11" x14ac:dyDescent="0.3">
      <c r="A906" s="3" t="s">
        <v>1137</v>
      </c>
      <c r="B906" s="3" t="s">
        <v>74</v>
      </c>
      <c r="C906" s="3" t="s">
        <v>130</v>
      </c>
      <c r="D906" s="3" t="s">
        <v>229</v>
      </c>
      <c r="E906" s="4">
        <v>18.5</v>
      </c>
      <c r="F906" s="4">
        <v>4</v>
      </c>
      <c r="G906" s="4">
        <v>74</v>
      </c>
      <c r="H906" s="3" t="s">
        <v>25</v>
      </c>
      <c r="I906" s="3" t="s">
        <v>38</v>
      </c>
      <c r="J906" s="5">
        <v>45088</v>
      </c>
      <c r="K906" s="2" t="s">
        <v>1233</v>
      </c>
    </row>
    <row r="907" spans="1:11" x14ac:dyDescent="0.3">
      <c r="A907" s="3" t="s">
        <v>1138</v>
      </c>
      <c r="B907" s="3" t="s">
        <v>116</v>
      </c>
      <c r="C907" s="3" t="s">
        <v>130</v>
      </c>
      <c r="D907" s="3" t="s">
        <v>1048</v>
      </c>
      <c r="E907" s="4">
        <v>8</v>
      </c>
      <c r="F907" s="4">
        <v>9</v>
      </c>
      <c r="G907" s="4">
        <v>72</v>
      </c>
      <c r="H907" s="3" t="s">
        <v>25</v>
      </c>
      <c r="I907" s="3" t="s">
        <v>16</v>
      </c>
      <c r="J907" s="5">
        <v>44711</v>
      </c>
      <c r="K907" s="2" t="b">
        <v>0</v>
      </c>
    </row>
    <row r="908" spans="1:11" x14ac:dyDescent="0.3">
      <c r="A908" s="3" t="s">
        <v>1139</v>
      </c>
      <c r="B908" s="3" t="s">
        <v>123</v>
      </c>
      <c r="C908" s="3" t="s">
        <v>13</v>
      </c>
      <c r="D908" s="3" t="s">
        <v>579</v>
      </c>
      <c r="E908" s="4">
        <v>32</v>
      </c>
      <c r="F908" s="4">
        <v>2</v>
      </c>
      <c r="G908" s="4">
        <v>64</v>
      </c>
      <c r="H908" s="3" t="s">
        <v>48</v>
      </c>
      <c r="I908" s="3" t="s">
        <v>16</v>
      </c>
      <c r="J908" s="5">
        <v>45089</v>
      </c>
      <c r="K908" s="2" t="s">
        <v>1233</v>
      </c>
    </row>
    <row r="909" spans="1:11" x14ac:dyDescent="0.3">
      <c r="A909" s="3" t="s">
        <v>1140</v>
      </c>
      <c r="B909" s="3" t="s">
        <v>31</v>
      </c>
      <c r="C909" s="3" t="s">
        <v>41</v>
      </c>
      <c r="D909" s="3" t="s">
        <v>87</v>
      </c>
      <c r="E909" s="4">
        <v>41</v>
      </c>
      <c r="F909" s="4">
        <v>2</v>
      </c>
      <c r="G909" s="4">
        <v>82</v>
      </c>
      <c r="H909" s="3" t="s">
        <v>48</v>
      </c>
      <c r="I909" s="3" t="s">
        <v>38</v>
      </c>
      <c r="J909" s="5">
        <v>44985</v>
      </c>
      <c r="K909" s="2" t="b">
        <v>1</v>
      </c>
    </row>
    <row r="910" spans="1:11" x14ac:dyDescent="0.3">
      <c r="A910" s="3" t="s">
        <v>1141</v>
      </c>
      <c r="B910" s="3" t="s">
        <v>36</v>
      </c>
      <c r="C910" s="3" t="s">
        <v>28</v>
      </c>
      <c r="D910" s="3" t="s">
        <v>111</v>
      </c>
      <c r="E910" s="4">
        <v>20</v>
      </c>
      <c r="F910" s="4">
        <v>3</v>
      </c>
      <c r="G910" s="4">
        <v>60</v>
      </c>
      <c r="H910" s="3" t="s">
        <v>25</v>
      </c>
      <c r="I910" s="3" t="s">
        <v>16</v>
      </c>
      <c r="J910" s="5">
        <v>45197</v>
      </c>
      <c r="K910" s="2" t="b">
        <v>0</v>
      </c>
    </row>
    <row r="911" spans="1:11" x14ac:dyDescent="0.3">
      <c r="A911" s="3" t="s">
        <v>1142</v>
      </c>
      <c r="B911" s="3" t="s">
        <v>40</v>
      </c>
      <c r="C911" s="3" t="s">
        <v>66</v>
      </c>
      <c r="D911" s="3" t="s">
        <v>67</v>
      </c>
      <c r="E911" s="4">
        <v>23</v>
      </c>
      <c r="F911" s="4">
        <v>7</v>
      </c>
      <c r="G911" s="4">
        <v>161</v>
      </c>
      <c r="H911" s="3" t="s">
        <v>25</v>
      </c>
      <c r="I911" s="3" t="s">
        <v>16</v>
      </c>
      <c r="J911" s="5">
        <v>45156</v>
      </c>
      <c r="K911" s="2" t="b">
        <v>0</v>
      </c>
    </row>
    <row r="912" spans="1:11" x14ac:dyDescent="0.3">
      <c r="A912" s="3" t="s">
        <v>1143</v>
      </c>
      <c r="B912" s="3" t="s">
        <v>46</v>
      </c>
      <c r="C912" s="3" t="s">
        <v>66</v>
      </c>
      <c r="D912" s="3" t="s">
        <v>643</v>
      </c>
      <c r="E912" s="4">
        <v>26</v>
      </c>
      <c r="F912" s="4">
        <v>5</v>
      </c>
      <c r="G912" s="4">
        <v>130</v>
      </c>
      <c r="H912" s="3" t="s">
        <v>25</v>
      </c>
      <c r="I912" s="3" t="s">
        <v>38</v>
      </c>
      <c r="J912" s="5">
        <v>45531</v>
      </c>
      <c r="K912" s="2" t="s">
        <v>1233</v>
      </c>
    </row>
    <row r="913" spans="1:11" x14ac:dyDescent="0.3">
      <c r="A913" s="3" t="s">
        <v>1144</v>
      </c>
      <c r="B913" s="3" t="s">
        <v>69</v>
      </c>
      <c r="C913" s="3" t="s">
        <v>130</v>
      </c>
      <c r="D913" s="3" t="s">
        <v>427</v>
      </c>
      <c r="E913" s="4">
        <v>17</v>
      </c>
      <c r="F913" s="4">
        <v>2</v>
      </c>
      <c r="G913" s="4">
        <v>34</v>
      </c>
      <c r="H913" s="3" t="s">
        <v>15</v>
      </c>
      <c r="I913" s="3" t="s">
        <v>38</v>
      </c>
      <c r="J913" s="5">
        <v>44644</v>
      </c>
      <c r="K913" s="2" t="b">
        <v>1</v>
      </c>
    </row>
    <row r="914" spans="1:11" x14ac:dyDescent="0.3">
      <c r="A914" s="3" t="s">
        <v>1145</v>
      </c>
      <c r="B914" s="3" t="s">
        <v>22</v>
      </c>
      <c r="C914" s="3" t="s">
        <v>28</v>
      </c>
      <c r="D914" s="3" t="s">
        <v>676</v>
      </c>
      <c r="E914" s="4">
        <v>39.5</v>
      </c>
      <c r="F914" s="4">
        <v>8</v>
      </c>
      <c r="G914" s="4">
        <v>316</v>
      </c>
      <c r="H914" s="3" t="s">
        <v>48</v>
      </c>
      <c r="I914" s="3" t="s">
        <v>16</v>
      </c>
      <c r="J914" s="5">
        <v>45116</v>
      </c>
      <c r="K914" s="2" t="b">
        <v>1</v>
      </c>
    </row>
    <row r="915" spans="1:11" x14ac:dyDescent="0.3">
      <c r="A915" s="3" t="s">
        <v>1146</v>
      </c>
      <c r="B915" s="3" t="s">
        <v>40</v>
      </c>
      <c r="C915" s="3" t="s">
        <v>66</v>
      </c>
      <c r="D915" s="3" t="s">
        <v>486</v>
      </c>
      <c r="E915" s="4">
        <v>20</v>
      </c>
      <c r="F915" s="4">
        <v>9</v>
      </c>
      <c r="G915" s="4">
        <v>180</v>
      </c>
      <c r="H915" s="3" t="s">
        <v>48</v>
      </c>
      <c r="I915" s="3" t="s">
        <v>38</v>
      </c>
      <c r="J915" s="5">
        <v>44949</v>
      </c>
      <c r="K915" s="2" t="b">
        <v>0</v>
      </c>
    </row>
    <row r="916" spans="1:11" x14ac:dyDescent="0.3">
      <c r="A916" s="3" t="s">
        <v>1147</v>
      </c>
      <c r="B916" s="3" t="s">
        <v>108</v>
      </c>
      <c r="C916" s="3" t="s">
        <v>28</v>
      </c>
      <c r="D916" s="3" t="s">
        <v>256</v>
      </c>
      <c r="E916" s="4">
        <v>32</v>
      </c>
      <c r="F916" s="4">
        <v>5</v>
      </c>
      <c r="G916" s="4">
        <v>160</v>
      </c>
      <c r="H916" s="3" t="s">
        <v>15</v>
      </c>
      <c r="I916" s="3" t="s">
        <v>16</v>
      </c>
      <c r="J916" s="5">
        <v>44719</v>
      </c>
      <c r="K916" s="2" t="s">
        <v>1233</v>
      </c>
    </row>
    <row r="917" spans="1:11" x14ac:dyDescent="0.3">
      <c r="A917" s="3" t="s">
        <v>1148</v>
      </c>
      <c r="B917" s="3" t="s">
        <v>113</v>
      </c>
      <c r="C917" s="3" t="s">
        <v>28</v>
      </c>
      <c r="D917" s="3" t="s">
        <v>308</v>
      </c>
      <c r="E917" s="4">
        <v>6.5</v>
      </c>
      <c r="F917" s="4">
        <v>3</v>
      </c>
      <c r="G917" s="4">
        <v>19.5</v>
      </c>
      <c r="H917" s="3" t="s">
        <v>48</v>
      </c>
      <c r="I917" s="3" t="s">
        <v>38</v>
      </c>
      <c r="J917" s="5">
        <v>45386</v>
      </c>
      <c r="K917" s="2" t="b">
        <v>1</v>
      </c>
    </row>
    <row r="918" spans="1:11" x14ac:dyDescent="0.3">
      <c r="A918" s="3" t="s">
        <v>1149</v>
      </c>
      <c r="B918" s="3" t="s">
        <v>77</v>
      </c>
      <c r="C918" s="3" t="s">
        <v>130</v>
      </c>
      <c r="D918" s="3" t="s">
        <v>516</v>
      </c>
      <c r="E918" s="4">
        <v>29</v>
      </c>
      <c r="F918" s="4">
        <v>10</v>
      </c>
      <c r="G918" s="4">
        <v>290</v>
      </c>
      <c r="H918" s="3" t="s">
        <v>25</v>
      </c>
      <c r="I918" s="3" t="s">
        <v>38</v>
      </c>
      <c r="J918" s="5">
        <v>44765</v>
      </c>
      <c r="K918" s="2" t="s">
        <v>1233</v>
      </c>
    </row>
    <row r="919" spans="1:11" x14ac:dyDescent="0.3">
      <c r="A919" s="3" t="s">
        <v>1150</v>
      </c>
      <c r="B919" s="3" t="s">
        <v>65</v>
      </c>
      <c r="C919" s="3" t="s">
        <v>66</v>
      </c>
      <c r="D919" s="3" t="s">
        <v>420</v>
      </c>
      <c r="E919" s="4">
        <v>41</v>
      </c>
      <c r="F919" s="4">
        <v>4</v>
      </c>
      <c r="G919" s="4">
        <v>164</v>
      </c>
      <c r="H919" s="3" t="s">
        <v>48</v>
      </c>
      <c r="I919" s="3" t="s">
        <v>38</v>
      </c>
      <c r="J919" s="5">
        <v>45258</v>
      </c>
      <c r="K919" s="2" t="b">
        <v>0</v>
      </c>
    </row>
    <row r="920" spans="1:11" x14ac:dyDescent="0.3">
      <c r="A920" s="3" t="s">
        <v>1151</v>
      </c>
      <c r="B920" s="3" t="s">
        <v>65</v>
      </c>
      <c r="C920" s="3" t="s">
        <v>19</v>
      </c>
      <c r="D920" s="3" t="s">
        <v>142</v>
      </c>
      <c r="E920" s="4">
        <v>32</v>
      </c>
      <c r="F920" s="4">
        <v>8</v>
      </c>
      <c r="G920" s="4">
        <v>256</v>
      </c>
      <c r="H920" s="3" t="s">
        <v>25</v>
      </c>
      <c r="I920" s="3" t="s">
        <v>38</v>
      </c>
      <c r="J920" s="5">
        <v>45191</v>
      </c>
      <c r="K920" s="2" t="b">
        <v>0</v>
      </c>
    </row>
    <row r="921" spans="1:11" x14ac:dyDescent="0.3">
      <c r="A921" s="3" t="s">
        <v>1152</v>
      </c>
      <c r="B921" s="3" t="s">
        <v>98</v>
      </c>
      <c r="C921" s="3" t="s">
        <v>32</v>
      </c>
      <c r="D921" s="3" t="s">
        <v>78</v>
      </c>
      <c r="E921" s="4">
        <v>18.5</v>
      </c>
      <c r="F921" s="4">
        <v>6</v>
      </c>
      <c r="G921" s="4">
        <v>111</v>
      </c>
      <c r="H921" s="3" t="s">
        <v>15</v>
      </c>
      <c r="I921" s="3" t="s">
        <v>16</v>
      </c>
      <c r="J921" s="5">
        <v>44875</v>
      </c>
      <c r="K921" s="2" t="b">
        <v>1</v>
      </c>
    </row>
    <row r="922" spans="1:11" x14ac:dyDescent="0.3">
      <c r="A922" s="3" t="s">
        <v>1153</v>
      </c>
      <c r="B922" s="3" t="s">
        <v>100</v>
      </c>
      <c r="C922" s="3" t="s">
        <v>23</v>
      </c>
      <c r="D922" s="3" t="s">
        <v>1233</v>
      </c>
      <c r="E922" s="4" t="s">
        <v>1233</v>
      </c>
      <c r="F922" s="4">
        <v>1</v>
      </c>
      <c r="G922" s="4">
        <v>6.5</v>
      </c>
      <c r="H922" s="3" t="s">
        <v>25</v>
      </c>
      <c r="I922" s="3" t="s">
        <v>16</v>
      </c>
      <c r="J922" s="5">
        <v>45484</v>
      </c>
      <c r="K922" s="2" t="b">
        <v>1</v>
      </c>
    </row>
    <row r="923" spans="1:11" x14ac:dyDescent="0.3">
      <c r="A923" s="3" t="s">
        <v>1154</v>
      </c>
      <c r="B923" s="3" t="s">
        <v>36</v>
      </c>
      <c r="C923" s="3" t="s">
        <v>32</v>
      </c>
      <c r="D923" s="3" t="s">
        <v>170</v>
      </c>
      <c r="E923" s="4">
        <v>30.5</v>
      </c>
      <c r="F923" s="4">
        <v>5</v>
      </c>
      <c r="G923" s="4">
        <v>152.5</v>
      </c>
      <c r="H923" s="3" t="s">
        <v>48</v>
      </c>
      <c r="I923" s="3" t="s">
        <v>38</v>
      </c>
      <c r="J923" s="5">
        <v>44661</v>
      </c>
      <c r="K923" s="2" t="b">
        <v>1</v>
      </c>
    </row>
    <row r="924" spans="1:11" x14ac:dyDescent="0.3">
      <c r="A924" s="3" t="s">
        <v>1155</v>
      </c>
      <c r="B924" s="3" t="s">
        <v>43</v>
      </c>
      <c r="C924" s="3" t="s">
        <v>23</v>
      </c>
      <c r="D924" s="3" t="s">
        <v>47</v>
      </c>
      <c r="E924" s="4">
        <v>36.5</v>
      </c>
      <c r="F924" s="4">
        <v>7</v>
      </c>
      <c r="G924" s="4">
        <v>255.5</v>
      </c>
      <c r="H924" s="3" t="s">
        <v>25</v>
      </c>
      <c r="I924" s="3" t="s">
        <v>38</v>
      </c>
      <c r="J924" s="5">
        <v>44944</v>
      </c>
      <c r="K924" s="2" t="b">
        <v>1</v>
      </c>
    </row>
    <row r="925" spans="1:11" x14ac:dyDescent="0.3">
      <c r="A925" s="3" t="s">
        <v>1156</v>
      </c>
      <c r="B925" s="3" t="s">
        <v>69</v>
      </c>
      <c r="C925" s="3" t="s">
        <v>130</v>
      </c>
      <c r="D925" s="3" t="s">
        <v>275</v>
      </c>
      <c r="E925" s="4">
        <v>6.5</v>
      </c>
      <c r="F925" s="4">
        <v>10</v>
      </c>
      <c r="G925" s="4">
        <v>65</v>
      </c>
      <c r="H925" s="3" t="s">
        <v>48</v>
      </c>
      <c r="I925" s="3" t="s">
        <v>16</v>
      </c>
      <c r="J925" s="5">
        <v>45672</v>
      </c>
      <c r="K925" s="2" t="b">
        <v>0</v>
      </c>
    </row>
    <row r="926" spans="1:11" x14ac:dyDescent="0.3">
      <c r="A926" s="3" t="s">
        <v>1157</v>
      </c>
      <c r="B926" s="3" t="s">
        <v>84</v>
      </c>
      <c r="C926" s="3" t="s">
        <v>32</v>
      </c>
      <c r="D926" s="3" t="s">
        <v>482</v>
      </c>
      <c r="E926" s="4">
        <v>23</v>
      </c>
      <c r="F926" s="4">
        <v>2</v>
      </c>
      <c r="G926" s="4">
        <v>46</v>
      </c>
      <c r="H926" s="3" t="s">
        <v>25</v>
      </c>
      <c r="I926" s="3" t="s">
        <v>16</v>
      </c>
      <c r="J926" s="5">
        <v>44613</v>
      </c>
      <c r="K926" s="2" t="b">
        <v>1</v>
      </c>
    </row>
    <row r="927" spans="1:11" x14ac:dyDescent="0.3">
      <c r="A927" s="3" t="s">
        <v>1158</v>
      </c>
      <c r="B927" s="3" t="s">
        <v>36</v>
      </c>
      <c r="C927" s="3" t="s">
        <v>32</v>
      </c>
      <c r="D927" s="3" t="s">
        <v>1233</v>
      </c>
      <c r="E927" s="4">
        <v>8</v>
      </c>
      <c r="F927" s="4" t="s">
        <v>1233</v>
      </c>
      <c r="G927" s="4" t="s">
        <v>1233</v>
      </c>
      <c r="H927" s="3" t="s">
        <v>25</v>
      </c>
      <c r="I927" s="3" t="s">
        <v>16</v>
      </c>
      <c r="J927" s="5">
        <v>45189</v>
      </c>
      <c r="K927" s="2" t="s">
        <v>1233</v>
      </c>
    </row>
    <row r="928" spans="1:11" x14ac:dyDescent="0.3">
      <c r="A928" s="3" t="s">
        <v>1159</v>
      </c>
      <c r="B928" s="3" t="s">
        <v>31</v>
      </c>
      <c r="C928" s="3" t="s">
        <v>41</v>
      </c>
      <c r="D928" s="3" t="s">
        <v>1119</v>
      </c>
      <c r="E928" s="4">
        <v>30.5</v>
      </c>
      <c r="F928" s="4">
        <v>8</v>
      </c>
      <c r="G928" s="4">
        <v>244</v>
      </c>
      <c r="H928" s="3" t="s">
        <v>25</v>
      </c>
      <c r="I928" s="3" t="s">
        <v>16</v>
      </c>
      <c r="J928" s="5">
        <v>44700</v>
      </c>
      <c r="K928" s="2" t="b">
        <v>0</v>
      </c>
    </row>
    <row r="929" spans="1:11" x14ac:dyDescent="0.3">
      <c r="A929" s="3" t="s">
        <v>1160</v>
      </c>
      <c r="B929" s="3" t="s">
        <v>168</v>
      </c>
      <c r="C929" s="3" t="s">
        <v>130</v>
      </c>
      <c r="D929" s="3" t="s">
        <v>229</v>
      </c>
      <c r="E929" s="4">
        <v>18.5</v>
      </c>
      <c r="F929" s="4">
        <v>9</v>
      </c>
      <c r="G929" s="4">
        <v>166.5</v>
      </c>
      <c r="H929" s="3" t="s">
        <v>48</v>
      </c>
      <c r="I929" s="3" t="s">
        <v>16</v>
      </c>
      <c r="J929" s="5">
        <v>44966</v>
      </c>
      <c r="K929" s="2" t="s">
        <v>1233</v>
      </c>
    </row>
    <row r="930" spans="1:11" x14ac:dyDescent="0.3">
      <c r="A930" s="3" t="s">
        <v>1161</v>
      </c>
      <c r="B930" s="3" t="s">
        <v>27</v>
      </c>
      <c r="C930" s="3" t="s">
        <v>32</v>
      </c>
      <c r="D930" s="3" t="s">
        <v>126</v>
      </c>
      <c r="E930" s="4">
        <v>8</v>
      </c>
      <c r="F930" s="4">
        <v>1</v>
      </c>
      <c r="G930" s="4">
        <v>8</v>
      </c>
      <c r="H930" s="3" t="s">
        <v>15</v>
      </c>
      <c r="I930" s="3" t="s">
        <v>38</v>
      </c>
      <c r="J930" s="5">
        <v>45379</v>
      </c>
      <c r="K930" s="2" t="s">
        <v>1233</v>
      </c>
    </row>
    <row r="931" spans="1:11" x14ac:dyDescent="0.3">
      <c r="A931" s="3" t="s">
        <v>1162</v>
      </c>
      <c r="B931" s="3" t="s">
        <v>31</v>
      </c>
      <c r="C931" s="3" t="s">
        <v>66</v>
      </c>
      <c r="D931" s="3" t="s">
        <v>67</v>
      </c>
      <c r="E931" s="4">
        <v>23</v>
      </c>
      <c r="F931" s="4">
        <v>9</v>
      </c>
      <c r="G931" s="4">
        <v>207</v>
      </c>
      <c r="H931" s="3" t="s">
        <v>48</v>
      </c>
      <c r="I931" s="3" t="s">
        <v>16</v>
      </c>
      <c r="J931" s="5">
        <v>44621</v>
      </c>
      <c r="K931" s="2" t="b">
        <v>1</v>
      </c>
    </row>
    <row r="932" spans="1:11" x14ac:dyDescent="0.3">
      <c r="A932" s="3" t="s">
        <v>1163</v>
      </c>
      <c r="B932" s="3" t="s">
        <v>22</v>
      </c>
      <c r="C932" s="3" t="s">
        <v>28</v>
      </c>
      <c r="D932" s="3" t="s">
        <v>1233</v>
      </c>
      <c r="E932" s="4">
        <v>33.5</v>
      </c>
      <c r="F932" s="4" t="s">
        <v>1233</v>
      </c>
      <c r="G932" s="4" t="s">
        <v>1233</v>
      </c>
      <c r="H932" s="3" t="s">
        <v>15</v>
      </c>
      <c r="I932" s="3" t="s">
        <v>38</v>
      </c>
      <c r="J932" s="5">
        <v>44663</v>
      </c>
      <c r="K932" s="2" t="b">
        <v>1</v>
      </c>
    </row>
    <row r="933" spans="1:11" x14ac:dyDescent="0.3">
      <c r="A933" s="3" t="s">
        <v>1164</v>
      </c>
      <c r="B933" s="3" t="s">
        <v>22</v>
      </c>
      <c r="C933" s="3" t="s">
        <v>23</v>
      </c>
      <c r="D933" s="3" t="s">
        <v>1165</v>
      </c>
      <c r="E933" s="4">
        <v>9.5</v>
      </c>
      <c r="F933" s="4">
        <v>5</v>
      </c>
      <c r="G933" s="4">
        <v>47.5</v>
      </c>
      <c r="H933" s="3" t="s">
        <v>25</v>
      </c>
      <c r="I933" s="3" t="s">
        <v>38</v>
      </c>
      <c r="J933" s="5">
        <v>45005</v>
      </c>
      <c r="K933" s="2" t="b">
        <v>0</v>
      </c>
    </row>
    <row r="934" spans="1:11" x14ac:dyDescent="0.3">
      <c r="A934" s="3" t="s">
        <v>1166</v>
      </c>
      <c r="B934" s="3" t="s">
        <v>69</v>
      </c>
      <c r="C934" s="3" t="s">
        <v>66</v>
      </c>
      <c r="D934" s="3" t="s">
        <v>464</v>
      </c>
      <c r="E934" s="4">
        <v>11</v>
      </c>
      <c r="F934" s="4">
        <v>8</v>
      </c>
      <c r="G934" s="4">
        <v>88</v>
      </c>
      <c r="H934" s="3" t="s">
        <v>48</v>
      </c>
      <c r="I934" s="3" t="s">
        <v>16</v>
      </c>
      <c r="J934" s="5">
        <v>44765</v>
      </c>
      <c r="K934" s="2" t="b">
        <v>1</v>
      </c>
    </row>
    <row r="935" spans="1:11" x14ac:dyDescent="0.3">
      <c r="A935" s="3" t="s">
        <v>1167</v>
      </c>
      <c r="B935" s="3" t="s">
        <v>46</v>
      </c>
      <c r="C935" s="3" t="s">
        <v>28</v>
      </c>
      <c r="D935" s="3" t="s">
        <v>104</v>
      </c>
      <c r="E935" s="4">
        <v>41</v>
      </c>
      <c r="F935" s="4">
        <v>4</v>
      </c>
      <c r="G935" s="4">
        <v>164</v>
      </c>
      <c r="H935" s="3" t="s">
        <v>25</v>
      </c>
      <c r="I935" s="3" t="s">
        <v>16</v>
      </c>
      <c r="J935" s="5">
        <v>44793</v>
      </c>
      <c r="K935" s="2" t="b">
        <v>0</v>
      </c>
    </row>
    <row r="936" spans="1:11" x14ac:dyDescent="0.3">
      <c r="A936" s="3" t="s">
        <v>1168</v>
      </c>
      <c r="B936" s="3" t="s">
        <v>69</v>
      </c>
      <c r="C936" s="3" t="s">
        <v>23</v>
      </c>
      <c r="D936" s="3" t="s">
        <v>135</v>
      </c>
      <c r="E936" s="4">
        <v>27.5</v>
      </c>
      <c r="F936" s="4">
        <v>5</v>
      </c>
      <c r="G936" s="4">
        <v>137.5</v>
      </c>
      <c r="H936" s="3" t="s">
        <v>25</v>
      </c>
      <c r="I936" s="3" t="s">
        <v>16</v>
      </c>
      <c r="J936" s="5">
        <v>45096</v>
      </c>
      <c r="K936" s="2" t="b">
        <v>1</v>
      </c>
    </row>
    <row r="937" spans="1:11" x14ac:dyDescent="0.3">
      <c r="A937" s="3" t="s">
        <v>1169</v>
      </c>
      <c r="B937" s="3" t="s">
        <v>84</v>
      </c>
      <c r="C937" s="3" t="s">
        <v>23</v>
      </c>
      <c r="D937" s="3" t="s">
        <v>121</v>
      </c>
      <c r="E937" s="4">
        <v>39.5</v>
      </c>
      <c r="F937" s="4">
        <v>6</v>
      </c>
      <c r="G937" s="4">
        <v>237</v>
      </c>
      <c r="H937" s="3" t="s">
        <v>48</v>
      </c>
      <c r="I937" s="3" t="s">
        <v>38</v>
      </c>
      <c r="J937" s="5">
        <v>44574</v>
      </c>
      <c r="K937" s="2" t="s">
        <v>1233</v>
      </c>
    </row>
    <row r="938" spans="1:11" x14ac:dyDescent="0.3">
      <c r="A938" s="3" t="s">
        <v>1170</v>
      </c>
      <c r="B938" s="3" t="s">
        <v>74</v>
      </c>
      <c r="C938" s="3" t="s">
        <v>41</v>
      </c>
      <c r="D938" s="3" t="s">
        <v>303</v>
      </c>
      <c r="E938" s="4">
        <v>15.5</v>
      </c>
      <c r="F938" s="4">
        <v>7</v>
      </c>
      <c r="G938" s="4">
        <v>108.5</v>
      </c>
      <c r="H938" s="3" t="s">
        <v>25</v>
      </c>
      <c r="I938" s="3" t="s">
        <v>16</v>
      </c>
      <c r="J938" s="5">
        <v>45214</v>
      </c>
      <c r="K938" s="2" t="b">
        <v>1</v>
      </c>
    </row>
    <row r="939" spans="1:11" x14ac:dyDescent="0.3">
      <c r="A939" s="3" t="s">
        <v>1171</v>
      </c>
      <c r="B939" s="3" t="s">
        <v>123</v>
      </c>
      <c r="C939" s="3" t="s">
        <v>23</v>
      </c>
      <c r="D939" s="3" t="s">
        <v>1098</v>
      </c>
      <c r="E939" s="4">
        <v>18.5</v>
      </c>
      <c r="F939" s="4">
        <v>6</v>
      </c>
      <c r="G939" s="4">
        <v>111</v>
      </c>
      <c r="H939" s="3" t="s">
        <v>48</v>
      </c>
      <c r="I939" s="3" t="s">
        <v>16</v>
      </c>
      <c r="J939" s="5">
        <v>44759</v>
      </c>
      <c r="K939" s="2" t="s">
        <v>1233</v>
      </c>
    </row>
    <row r="940" spans="1:11" x14ac:dyDescent="0.3">
      <c r="A940" s="3" t="s">
        <v>1172</v>
      </c>
      <c r="B940" s="3" t="s">
        <v>100</v>
      </c>
      <c r="C940" s="3" t="s">
        <v>32</v>
      </c>
      <c r="D940" s="3" t="s">
        <v>128</v>
      </c>
      <c r="E940" s="4">
        <v>21.5</v>
      </c>
      <c r="F940" s="4">
        <v>4</v>
      </c>
      <c r="G940" s="4">
        <v>86</v>
      </c>
      <c r="H940" s="3" t="s">
        <v>48</v>
      </c>
      <c r="I940" s="3" t="s">
        <v>38</v>
      </c>
      <c r="J940" s="5">
        <v>45639</v>
      </c>
      <c r="K940" s="2" t="b">
        <v>0</v>
      </c>
    </row>
    <row r="941" spans="1:11" x14ac:dyDescent="0.3">
      <c r="A941" s="3" t="s">
        <v>1173</v>
      </c>
      <c r="B941" s="3" t="s">
        <v>100</v>
      </c>
      <c r="C941" s="3" t="s">
        <v>41</v>
      </c>
      <c r="D941" s="3" t="s">
        <v>144</v>
      </c>
      <c r="E941" s="4">
        <v>38</v>
      </c>
      <c r="F941" s="4">
        <v>10</v>
      </c>
      <c r="G941" s="4">
        <v>380</v>
      </c>
      <c r="H941" s="3" t="s">
        <v>15</v>
      </c>
      <c r="I941" s="3" t="s">
        <v>16</v>
      </c>
      <c r="J941" s="5">
        <v>45360</v>
      </c>
      <c r="K941" s="2" t="b">
        <v>0</v>
      </c>
    </row>
    <row r="942" spans="1:11" x14ac:dyDescent="0.3">
      <c r="A942" s="3" t="s">
        <v>1174</v>
      </c>
      <c r="B942" s="3" t="s">
        <v>40</v>
      </c>
      <c r="C942" s="3" t="s">
        <v>66</v>
      </c>
      <c r="D942" s="3" t="s">
        <v>346</v>
      </c>
      <c r="E942" s="4">
        <v>33.5</v>
      </c>
      <c r="F942" s="4">
        <v>6</v>
      </c>
      <c r="G942" s="4">
        <v>201</v>
      </c>
      <c r="H942" s="3" t="s">
        <v>48</v>
      </c>
      <c r="I942" s="3" t="s">
        <v>38</v>
      </c>
      <c r="J942" s="5">
        <v>44915</v>
      </c>
      <c r="K942" s="2" t="s">
        <v>1233</v>
      </c>
    </row>
    <row r="943" spans="1:11" x14ac:dyDescent="0.3">
      <c r="A943" s="3" t="s">
        <v>1175</v>
      </c>
      <c r="B943" s="3" t="s">
        <v>18</v>
      </c>
      <c r="C943" s="3" t="s">
        <v>130</v>
      </c>
      <c r="D943" s="3" t="s">
        <v>139</v>
      </c>
      <c r="E943" s="4">
        <v>11</v>
      </c>
      <c r="F943" s="4">
        <v>10</v>
      </c>
      <c r="G943" s="4">
        <v>110</v>
      </c>
      <c r="H943" s="3" t="s">
        <v>25</v>
      </c>
      <c r="I943" s="3" t="s">
        <v>16</v>
      </c>
      <c r="J943" s="5">
        <v>45187</v>
      </c>
      <c r="K943" s="2" t="b">
        <v>0</v>
      </c>
    </row>
    <row r="944" spans="1:11" x14ac:dyDescent="0.3">
      <c r="A944" s="3" t="s">
        <v>1176</v>
      </c>
      <c r="B944" s="3" t="s">
        <v>116</v>
      </c>
      <c r="C944" s="3" t="s">
        <v>32</v>
      </c>
      <c r="D944" s="3" t="s">
        <v>237</v>
      </c>
      <c r="E944" s="4">
        <v>17</v>
      </c>
      <c r="F944" s="4">
        <v>6</v>
      </c>
      <c r="G944" s="4">
        <v>102</v>
      </c>
      <c r="H944" s="3" t="s">
        <v>25</v>
      </c>
      <c r="I944" s="3" t="s">
        <v>16</v>
      </c>
      <c r="J944" s="5">
        <v>44614</v>
      </c>
      <c r="K944" s="2" t="s">
        <v>1233</v>
      </c>
    </row>
    <row r="945" spans="1:11" x14ac:dyDescent="0.3">
      <c r="A945" s="3" t="s">
        <v>1177</v>
      </c>
      <c r="B945" s="3" t="s">
        <v>43</v>
      </c>
      <c r="C945" s="3" t="s">
        <v>23</v>
      </c>
      <c r="D945" s="3" t="s">
        <v>227</v>
      </c>
      <c r="E945" s="4">
        <v>15.5</v>
      </c>
      <c r="F945" s="4">
        <v>1</v>
      </c>
      <c r="G945" s="4">
        <v>15.5</v>
      </c>
      <c r="H945" s="3" t="s">
        <v>48</v>
      </c>
      <c r="I945" s="3" t="s">
        <v>16</v>
      </c>
      <c r="J945" s="5">
        <v>45631</v>
      </c>
      <c r="K945" s="2" t="b">
        <v>1</v>
      </c>
    </row>
    <row r="946" spans="1:11" x14ac:dyDescent="0.3">
      <c r="A946" s="3" t="s">
        <v>1178</v>
      </c>
      <c r="B946" s="3" t="s">
        <v>46</v>
      </c>
      <c r="C946" s="3" t="s">
        <v>130</v>
      </c>
      <c r="D946" s="3" t="s">
        <v>326</v>
      </c>
      <c r="E946" s="4">
        <v>30.5</v>
      </c>
      <c r="F946" s="4">
        <v>6</v>
      </c>
      <c r="G946" s="4">
        <v>183</v>
      </c>
      <c r="H946" s="3" t="s">
        <v>48</v>
      </c>
      <c r="I946" s="3" t="s">
        <v>16</v>
      </c>
      <c r="J946" s="5">
        <v>44812</v>
      </c>
      <c r="K946" s="2" t="s">
        <v>1233</v>
      </c>
    </row>
    <row r="947" spans="1:11" x14ac:dyDescent="0.3">
      <c r="A947" s="3" t="s">
        <v>1179</v>
      </c>
      <c r="B947" s="3" t="s">
        <v>89</v>
      </c>
      <c r="C947" s="3" t="s">
        <v>32</v>
      </c>
      <c r="D947" s="3" t="s">
        <v>160</v>
      </c>
      <c r="E947" s="4">
        <v>36.5</v>
      </c>
      <c r="F947" s="4">
        <v>9</v>
      </c>
      <c r="G947" s="4">
        <v>328.5</v>
      </c>
      <c r="H947" s="3" t="s">
        <v>48</v>
      </c>
      <c r="I947" s="3" t="s">
        <v>16</v>
      </c>
      <c r="J947" s="5">
        <v>45137</v>
      </c>
      <c r="K947" s="2" t="b">
        <v>1</v>
      </c>
    </row>
    <row r="948" spans="1:11" x14ac:dyDescent="0.3">
      <c r="A948" s="3" t="s">
        <v>1180</v>
      </c>
      <c r="B948" s="3" t="s">
        <v>31</v>
      </c>
      <c r="C948" s="3" t="s">
        <v>28</v>
      </c>
      <c r="D948" s="3" t="s">
        <v>513</v>
      </c>
      <c r="E948" s="4">
        <v>18.5</v>
      </c>
      <c r="F948" s="4">
        <v>1</v>
      </c>
      <c r="G948" s="4">
        <v>18.5</v>
      </c>
      <c r="H948" s="3" t="s">
        <v>48</v>
      </c>
      <c r="I948" s="3" t="s">
        <v>16</v>
      </c>
      <c r="J948" s="5">
        <v>45613</v>
      </c>
      <c r="K948" s="2" t="b">
        <v>1</v>
      </c>
    </row>
    <row r="949" spans="1:11" x14ac:dyDescent="0.3">
      <c r="A949" s="3" t="s">
        <v>1181</v>
      </c>
      <c r="B949" s="3" t="s">
        <v>22</v>
      </c>
      <c r="C949" s="3" t="s">
        <v>28</v>
      </c>
      <c r="D949" s="3" t="s">
        <v>1233</v>
      </c>
      <c r="E949" s="4">
        <v>15.5</v>
      </c>
      <c r="F949" s="4" t="s">
        <v>1233</v>
      </c>
      <c r="G949" s="4" t="s">
        <v>1233</v>
      </c>
      <c r="H949" s="3" t="s">
        <v>15</v>
      </c>
      <c r="I949" s="3" t="s">
        <v>16</v>
      </c>
      <c r="J949" s="5">
        <v>45338</v>
      </c>
      <c r="K949" s="2" t="s">
        <v>1233</v>
      </c>
    </row>
    <row r="950" spans="1:11" x14ac:dyDescent="0.3">
      <c r="A950" s="3" t="s">
        <v>1182</v>
      </c>
      <c r="B950" s="3" t="s">
        <v>69</v>
      </c>
      <c r="C950" s="3" t="s">
        <v>19</v>
      </c>
      <c r="D950" s="3" t="s">
        <v>1070</v>
      </c>
      <c r="E950" s="4">
        <v>14</v>
      </c>
      <c r="F950" s="4">
        <v>8</v>
      </c>
      <c r="G950" s="4">
        <v>112</v>
      </c>
      <c r="H950" s="3" t="s">
        <v>15</v>
      </c>
      <c r="I950" s="3" t="s">
        <v>16</v>
      </c>
      <c r="J950" s="5">
        <v>45276</v>
      </c>
      <c r="K950" s="2" t="b">
        <v>0</v>
      </c>
    </row>
    <row r="951" spans="1:11" x14ac:dyDescent="0.3">
      <c r="A951" s="3" t="s">
        <v>1183</v>
      </c>
      <c r="B951" s="3" t="s">
        <v>108</v>
      </c>
      <c r="C951" s="3" t="s">
        <v>32</v>
      </c>
      <c r="D951" s="3" t="s">
        <v>498</v>
      </c>
      <c r="E951" s="4">
        <v>29</v>
      </c>
      <c r="F951" s="4">
        <v>6</v>
      </c>
      <c r="G951" s="4">
        <v>174</v>
      </c>
      <c r="H951" s="3" t="s">
        <v>48</v>
      </c>
      <c r="I951" s="3" t="s">
        <v>38</v>
      </c>
      <c r="J951" s="5">
        <v>45258</v>
      </c>
      <c r="K951" s="2" t="b">
        <v>0</v>
      </c>
    </row>
    <row r="952" spans="1:11" x14ac:dyDescent="0.3">
      <c r="A952" s="3" t="s">
        <v>1184</v>
      </c>
      <c r="B952" s="3" t="s">
        <v>36</v>
      </c>
      <c r="C952" s="3" t="s">
        <v>32</v>
      </c>
      <c r="D952" s="3" t="s">
        <v>1233</v>
      </c>
      <c r="E952" s="4" t="s">
        <v>1233</v>
      </c>
      <c r="F952" s="4">
        <v>9</v>
      </c>
      <c r="G952" s="4">
        <v>207</v>
      </c>
      <c r="H952" s="3" t="s">
        <v>48</v>
      </c>
      <c r="I952" s="3" t="s">
        <v>38</v>
      </c>
      <c r="J952" s="5">
        <v>45633</v>
      </c>
      <c r="K952" s="2" t="b">
        <v>0</v>
      </c>
    </row>
    <row r="953" spans="1:11" x14ac:dyDescent="0.3">
      <c r="A953" s="3" t="s">
        <v>1185</v>
      </c>
      <c r="B953" s="3" t="s">
        <v>63</v>
      </c>
      <c r="C953" s="3" t="s">
        <v>23</v>
      </c>
      <c r="D953" s="3" t="s">
        <v>938</v>
      </c>
      <c r="E953" s="4">
        <v>20</v>
      </c>
      <c r="F953" s="4">
        <v>9</v>
      </c>
      <c r="G953" s="4">
        <v>180</v>
      </c>
      <c r="H953" s="3" t="s">
        <v>15</v>
      </c>
      <c r="I953" s="3" t="s">
        <v>38</v>
      </c>
      <c r="J953" s="5">
        <v>45278</v>
      </c>
      <c r="K953" s="2" t="b">
        <v>1</v>
      </c>
    </row>
    <row r="954" spans="1:11" x14ac:dyDescent="0.3">
      <c r="A954" s="3" t="s">
        <v>1186</v>
      </c>
      <c r="B954" s="3" t="s">
        <v>69</v>
      </c>
      <c r="C954" s="3" t="s">
        <v>19</v>
      </c>
      <c r="D954" s="3" t="s">
        <v>1233</v>
      </c>
      <c r="E954" s="4">
        <v>8</v>
      </c>
      <c r="F954" s="4" t="s">
        <v>1233</v>
      </c>
      <c r="G954" s="4" t="s">
        <v>1233</v>
      </c>
      <c r="H954" s="3" t="s">
        <v>15</v>
      </c>
      <c r="I954" s="3" t="s">
        <v>38</v>
      </c>
      <c r="J954" s="5">
        <v>45104</v>
      </c>
      <c r="K954" s="2" t="b">
        <v>0</v>
      </c>
    </row>
    <row r="955" spans="1:11" x14ac:dyDescent="0.3">
      <c r="A955" s="3" t="s">
        <v>1187</v>
      </c>
      <c r="B955" s="3" t="s">
        <v>63</v>
      </c>
      <c r="C955" s="3" t="s">
        <v>13</v>
      </c>
      <c r="D955" s="3" t="s">
        <v>178</v>
      </c>
      <c r="E955" s="4">
        <v>14</v>
      </c>
      <c r="F955" s="4">
        <v>3</v>
      </c>
      <c r="G955" s="4">
        <v>42</v>
      </c>
      <c r="H955" s="3" t="s">
        <v>48</v>
      </c>
      <c r="I955" s="3" t="s">
        <v>16</v>
      </c>
      <c r="J955" s="5">
        <v>45564</v>
      </c>
      <c r="K955" s="2" t="b">
        <v>1</v>
      </c>
    </row>
    <row r="956" spans="1:11" x14ac:dyDescent="0.3">
      <c r="A956" s="3" t="s">
        <v>1188</v>
      </c>
      <c r="B956" s="3" t="s">
        <v>123</v>
      </c>
      <c r="C956" s="3" t="s">
        <v>28</v>
      </c>
      <c r="D956" s="3" t="s">
        <v>1233</v>
      </c>
      <c r="E956" s="4">
        <v>21.5</v>
      </c>
      <c r="F956" s="4" t="s">
        <v>1233</v>
      </c>
      <c r="G956" s="4" t="s">
        <v>1233</v>
      </c>
      <c r="H956" s="3" t="s">
        <v>48</v>
      </c>
      <c r="I956" s="3" t="s">
        <v>16</v>
      </c>
      <c r="J956" s="5">
        <v>45147</v>
      </c>
      <c r="K956" s="2" t="b">
        <v>1</v>
      </c>
    </row>
    <row r="957" spans="1:11" x14ac:dyDescent="0.3">
      <c r="A957" s="3" t="s">
        <v>1189</v>
      </c>
      <c r="B957" s="3" t="s">
        <v>100</v>
      </c>
      <c r="C957" s="3" t="s">
        <v>41</v>
      </c>
      <c r="D957" s="3" t="s">
        <v>594</v>
      </c>
      <c r="E957" s="4">
        <v>33.5</v>
      </c>
      <c r="F957" s="4">
        <v>3</v>
      </c>
      <c r="G957" s="4">
        <v>100.5</v>
      </c>
      <c r="H957" s="3" t="s">
        <v>25</v>
      </c>
      <c r="I957" s="3" t="s">
        <v>16</v>
      </c>
      <c r="J957" s="5">
        <v>45379</v>
      </c>
      <c r="K957" s="2" t="s">
        <v>1233</v>
      </c>
    </row>
    <row r="958" spans="1:11" x14ac:dyDescent="0.3">
      <c r="A958" s="3" t="s">
        <v>1190</v>
      </c>
      <c r="B958" s="3" t="s">
        <v>113</v>
      </c>
      <c r="C958" s="3" t="s">
        <v>32</v>
      </c>
      <c r="D958" s="3" t="s">
        <v>1233</v>
      </c>
      <c r="E958" s="4" t="s">
        <v>1233</v>
      </c>
      <c r="F958" s="4">
        <v>5</v>
      </c>
      <c r="G958" s="4">
        <v>55</v>
      </c>
      <c r="H958" s="3" t="s">
        <v>25</v>
      </c>
      <c r="I958" s="3" t="s">
        <v>38</v>
      </c>
      <c r="J958" s="5">
        <v>44844</v>
      </c>
      <c r="K958" s="2" t="b">
        <v>0</v>
      </c>
    </row>
    <row r="959" spans="1:11" x14ac:dyDescent="0.3">
      <c r="A959" s="3" t="s">
        <v>1191</v>
      </c>
      <c r="B959" s="3" t="s">
        <v>113</v>
      </c>
      <c r="C959" s="3" t="s">
        <v>32</v>
      </c>
      <c r="D959" s="3" t="s">
        <v>409</v>
      </c>
      <c r="E959" s="4">
        <v>11</v>
      </c>
      <c r="F959" s="4">
        <v>10</v>
      </c>
      <c r="G959" s="4">
        <v>110</v>
      </c>
      <c r="H959" s="3" t="s">
        <v>48</v>
      </c>
      <c r="I959" s="3" t="s">
        <v>38</v>
      </c>
      <c r="J959" s="5">
        <v>45184</v>
      </c>
      <c r="K959" s="2" t="b">
        <v>0</v>
      </c>
    </row>
    <row r="960" spans="1:11" x14ac:dyDescent="0.3">
      <c r="A960" s="3" t="s">
        <v>1192</v>
      </c>
      <c r="B960" s="3" t="s">
        <v>123</v>
      </c>
      <c r="C960" s="3" t="s">
        <v>13</v>
      </c>
      <c r="D960" s="3" t="s">
        <v>166</v>
      </c>
      <c r="E960" s="4">
        <v>21.5</v>
      </c>
      <c r="F960" s="4">
        <v>5</v>
      </c>
      <c r="G960" s="4">
        <v>107.5</v>
      </c>
      <c r="H960" s="3" t="s">
        <v>48</v>
      </c>
      <c r="I960" s="3" t="s">
        <v>16</v>
      </c>
      <c r="J960" s="5">
        <v>45659</v>
      </c>
      <c r="K960" s="2" t="b">
        <v>0</v>
      </c>
    </row>
    <row r="961" spans="1:11" x14ac:dyDescent="0.3">
      <c r="A961" s="3" t="s">
        <v>1193</v>
      </c>
      <c r="B961" s="3" t="s">
        <v>22</v>
      </c>
      <c r="C961" s="3" t="s">
        <v>28</v>
      </c>
      <c r="D961" s="3" t="s">
        <v>124</v>
      </c>
      <c r="E961" s="4">
        <v>15.5</v>
      </c>
      <c r="F961" s="4">
        <v>7</v>
      </c>
      <c r="G961" s="4">
        <v>108.5</v>
      </c>
      <c r="H961" s="3" t="s">
        <v>25</v>
      </c>
      <c r="I961" s="3" t="s">
        <v>16</v>
      </c>
      <c r="J961" s="5">
        <v>45533</v>
      </c>
      <c r="K961" s="2" t="b">
        <v>1</v>
      </c>
    </row>
    <row r="962" spans="1:11" x14ac:dyDescent="0.3">
      <c r="A962" s="3" t="s">
        <v>1194</v>
      </c>
      <c r="B962" s="3" t="s">
        <v>46</v>
      </c>
      <c r="C962" s="3" t="s">
        <v>66</v>
      </c>
      <c r="D962" s="3" t="s">
        <v>420</v>
      </c>
      <c r="E962" s="4">
        <v>41</v>
      </c>
      <c r="F962" s="4">
        <v>5</v>
      </c>
      <c r="G962" s="4">
        <v>205</v>
      </c>
      <c r="H962" s="3" t="s">
        <v>25</v>
      </c>
      <c r="I962" s="3" t="s">
        <v>38</v>
      </c>
      <c r="J962" s="5">
        <v>45654</v>
      </c>
      <c r="K962" s="2" t="b">
        <v>1</v>
      </c>
    </row>
    <row r="963" spans="1:11" x14ac:dyDescent="0.3">
      <c r="A963" s="3" t="s">
        <v>1195</v>
      </c>
      <c r="B963" s="3" t="s">
        <v>113</v>
      </c>
      <c r="C963" s="3" t="s">
        <v>41</v>
      </c>
      <c r="D963" s="3" t="s">
        <v>81</v>
      </c>
      <c r="E963" s="4">
        <v>24.5</v>
      </c>
      <c r="F963" s="4">
        <v>2</v>
      </c>
      <c r="G963" s="4">
        <v>49</v>
      </c>
      <c r="H963" s="3" t="s">
        <v>15</v>
      </c>
      <c r="I963" s="3" t="s">
        <v>38</v>
      </c>
      <c r="J963" s="5">
        <v>44680</v>
      </c>
      <c r="K963" s="2" t="s">
        <v>1233</v>
      </c>
    </row>
    <row r="964" spans="1:11" x14ac:dyDescent="0.3">
      <c r="A964" s="3" t="s">
        <v>1196</v>
      </c>
      <c r="B964" s="3" t="s">
        <v>113</v>
      </c>
      <c r="C964" s="3" t="s">
        <v>19</v>
      </c>
      <c r="D964" s="3" t="s">
        <v>210</v>
      </c>
      <c r="E964" s="4">
        <v>9.5</v>
      </c>
      <c r="F964" s="4">
        <v>10</v>
      </c>
      <c r="G964" s="4">
        <v>95</v>
      </c>
      <c r="H964" s="3" t="s">
        <v>25</v>
      </c>
      <c r="I964" s="3" t="s">
        <v>16</v>
      </c>
      <c r="J964" s="5">
        <v>45009</v>
      </c>
      <c r="K964" s="2" t="s">
        <v>1233</v>
      </c>
    </row>
    <row r="965" spans="1:11" x14ac:dyDescent="0.3">
      <c r="A965" s="3" t="s">
        <v>1197</v>
      </c>
      <c r="B965" s="3" t="s">
        <v>168</v>
      </c>
      <c r="C965" s="3" t="s">
        <v>32</v>
      </c>
      <c r="D965" s="3" t="s">
        <v>33</v>
      </c>
      <c r="E965" s="4">
        <v>12.5</v>
      </c>
      <c r="F965" s="4">
        <v>8</v>
      </c>
      <c r="G965" s="4">
        <v>100</v>
      </c>
      <c r="H965" s="3" t="s">
        <v>48</v>
      </c>
      <c r="I965" s="3" t="s">
        <v>16</v>
      </c>
      <c r="J965" s="5">
        <v>45254</v>
      </c>
      <c r="K965" s="2" t="b">
        <v>1</v>
      </c>
    </row>
    <row r="966" spans="1:11" x14ac:dyDescent="0.3">
      <c r="A966" s="3" t="s">
        <v>1198</v>
      </c>
      <c r="B966" s="3" t="s">
        <v>89</v>
      </c>
      <c r="C966" s="3" t="s">
        <v>19</v>
      </c>
      <c r="D966" s="3" t="s">
        <v>284</v>
      </c>
      <c r="E966" s="4">
        <v>8</v>
      </c>
      <c r="F966" s="4">
        <v>1</v>
      </c>
      <c r="G966" s="4">
        <v>8</v>
      </c>
      <c r="H966" s="3" t="s">
        <v>48</v>
      </c>
      <c r="I966" s="3" t="s">
        <v>38</v>
      </c>
      <c r="J966" s="5">
        <v>44713</v>
      </c>
      <c r="K966" s="2" t="b">
        <v>1</v>
      </c>
    </row>
    <row r="967" spans="1:11" x14ac:dyDescent="0.3">
      <c r="A967" s="3" t="s">
        <v>1199</v>
      </c>
      <c r="B967" s="3" t="s">
        <v>77</v>
      </c>
      <c r="C967" s="3" t="s">
        <v>23</v>
      </c>
      <c r="D967" s="3" t="s">
        <v>1233</v>
      </c>
      <c r="E967" s="4" t="s">
        <v>1233</v>
      </c>
      <c r="F967" s="4">
        <v>8</v>
      </c>
      <c r="G967" s="4">
        <v>64</v>
      </c>
      <c r="H967" s="3" t="s">
        <v>48</v>
      </c>
      <c r="I967" s="3" t="s">
        <v>16</v>
      </c>
      <c r="J967" s="5">
        <v>44631</v>
      </c>
      <c r="K967" s="2" t="b">
        <v>0</v>
      </c>
    </row>
    <row r="968" spans="1:11" x14ac:dyDescent="0.3">
      <c r="A968" s="3" t="s">
        <v>1200</v>
      </c>
      <c r="B968" s="3" t="s">
        <v>77</v>
      </c>
      <c r="C968" s="3" t="s">
        <v>23</v>
      </c>
      <c r="D968" s="3" t="s">
        <v>1233</v>
      </c>
      <c r="E968" s="4" t="s">
        <v>1233</v>
      </c>
      <c r="F968" s="4">
        <v>8</v>
      </c>
      <c r="G968" s="4">
        <v>172</v>
      </c>
      <c r="H968" s="3" t="s">
        <v>25</v>
      </c>
      <c r="I968" s="3" t="s">
        <v>16</v>
      </c>
      <c r="J968" s="5">
        <v>44585</v>
      </c>
      <c r="K968" s="2" t="b">
        <v>1</v>
      </c>
    </row>
    <row r="969" spans="1:11" x14ac:dyDescent="0.3">
      <c r="A969" s="3" t="s">
        <v>1201</v>
      </c>
      <c r="B969" s="3" t="s">
        <v>80</v>
      </c>
      <c r="C969" s="3" t="s">
        <v>130</v>
      </c>
      <c r="D969" s="3" t="s">
        <v>427</v>
      </c>
      <c r="E969" s="4">
        <v>17</v>
      </c>
      <c r="F969" s="4">
        <v>8</v>
      </c>
      <c r="G969" s="4">
        <v>136</v>
      </c>
      <c r="H969" s="3" t="s">
        <v>15</v>
      </c>
      <c r="I969" s="3" t="s">
        <v>16</v>
      </c>
      <c r="J969" s="5">
        <v>45338</v>
      </c>
      <c r="K969" s="2" t="b">
        <v>0</v>
      </c>
    </row>
    <row r="970" spans="1:11" x14ac:dyDescent="0.3">
      <c r="A970" s="3" t="s">
        <v>1202</v>
      </c>
      <c r="B970" s="3" t="s">
        <v>43</v>
      </c>
      <c r="C970" s="3" t="s">
        <v>32</v>
      </c>
      <c r="D970" s="3" t="s">
        <v>365</v>
      </c>
      <c r="E970" s="4">
        <v>41</v>
      </c>
      <c r="F970" s="4">
        <v>3</v>
      </c>
      <c r="G970" s="4">
        <v>123</v>
      </c>
      <c r="H970" s="3" t="s">
        <v>15</v>
      </c>
      <c r="I970" s="3" t="s">
        <v>38</v>
      </c>
      <c r="J970" s="5">
        <v>45559</v>
      </c>
      <c r="K970" s="2" t="b">
        <v>0</v>
      </c>
    </row>
    <row r="971" spans="1:11" x14ac:dyDescent="0.3">
      <c r="A971" s="3" t="s">
        <v>1203</v>
      </c>
      <c r="B971" s="3" t="s">
        <v>108</v>
      </c>
      <c r="C971" s="3" t="s">
        <v>32</v>
      </c>
      <c r="D971" s="3" t="s">
        <v>128</v>
      </c>
      <c r="E971" s="4">
        <v>21.5</v>
      </c>
      <c r="F971" s="4">
        <v>5</v>
      </c>
      <c r="G971" s="4">
        <v>107.5</v>
      </c>
      <c r="H971" s="3" t="s">
        <v>48</v>
      </c>
      <c r="I971" s="3" t="s">
        <v>16</v>
      </c>
      <c r="J971" s="5">
        <v>45048</v>
      </c>
      <c r="K971" s="2" t="b">
        <v>0</v>
      </c>
    </row>
    <row r="972" spans="1:11" x14ac:dyDescent="0.3">
      <c r="A972" s="3" t="s">
        <v>1204</v>
      </c>
      <c r="B972" s="3" t="s">
        <v>43</v>
      </c>
      <c r="C972" s="3" t="s">
        <v>13</v>
      </c>
      <c r="D972" s="3" t="s">
        <v>1233</v>
      </c>
      <c r="E972" s="4">
        <v>38</v>
      </c>
      <c r="F972" s="4" t="s">
        <v>1233</v>
      </c>
      <c r="G972" s="4" t="s">
        <v>1233</v>
      </c>
      <c r="H972" s="3" t="s">
        <v>48</v>
      </c>
      <c r="I972" s="3" t="s">
        <v>38</v>
      </c>
      <c r="J972" s="5">
        <v>45428</v>
      </c>
      <c r="K972" s="2" t="b">
        <v>0</v>
      </c>
    </row>
    <row r="973" spans="1:11" x14ac:dyDescent="0.3">
      <c r="A973" s="3" t="s">
        <v>1205</v>
      </c>
      <c r="B973" s="3" t="s">
        <v>84</v>
      </c>
      <c r="C973" s="3" t="s">
        <v>130</v>
      </c>
      <c r="D973" s="3" t="s">
        <v>621</v>
      </c>
      <c r="E973" s="4">
        <v>21.5</v>
      </c>
      <c r="F973" s="4">
        <v>7</v>
      </c>
      <c r="G973" s="4">
        <v>150.5</v>
      </c>
      <c r="H973" s="3" t="s">
        <v>25</v>
      </c>
      <c r="I973" s="3" t="s">
        <v>38</v>
      </c>
      <c r="J973" s="5">
        <v>44939</v>
      </c>
      <c r="K973" s="2" t="s">
        <v>1233</v>
      </c>
    </row>
    <row r="974" spans="1:11" x14ac:dyDescent="0.3">
      <c r="A974" s="3" t="s">
        <v>1206</v>
      </c>
      <c r="B974" s="3" t="s">
        <v>123</v>
      </c>
      <c r="C974" s="3" t="s">
        <v>23</v>
      </c>
      <c r="D974" s="3" t="s">
        <v>383</v>
      </c>
      <c r="E974" s="4">
        <v>41</v>
      </c>
      <c r="F974" s="4">
        <v>5</v>
      </c>
      <c r="G974" s="4">
        <v>205</v>
      </c>
      <c r="H974" s="3" t="s">
        <v>48</v>
      </c>
      <c r="I974" s="3" t="s">
        <v>16</v>
      </c>
      <c r="J974" s="5">
        <v>44838</v>
      </c>
      <c r="K974" s="2" t="b">
        <v>1</v>
      </c>
    </row>
    <row r="975" spans="1:11" x14ac:dyDescent="0.3">
      <c r="A975" s="3" t="s">
        <v>1207</v>
      </c>
      <c r="B975" s="3" t="s">
        <v>168</v>
      </c>
      <c r="C975" s="3" t="s">
        <v>41</v>
      </c>
      <c r="D975" s="3" t="s">
        <v>87</v>
      </c>
      <c r="E975" s="4">
        <v>41</v>
      </c>
      <c r="F975" s="4">
        <v>9</v>
      </c>
      <c r="G975" s="4">
        <v>369</v>
      </c>
      <c r="H975" s="3" t="s">
        <v>15</v>
      </c>
      <c r="I975" s="3" t="s">
        <v>16</v>
      </c>
      <c r="J975" s="5">
        <v>45623</v>
      </c>
      <c r="K975" s="2" t="s">
        <v>1233</v>
      </c>
    </row>
    <row r="976" spans="1:11" x14ac:dyDescent="0.3">
      <c r="A976" s="3" t="s">
        <v>1208</v>
      </c>
      <c r="B976" s="3" t="s">
        <v>22</v>
      </c>
      <c r="C976" s="3" t="s">
        <v>41</v>
      </c>
      <c r="D976" s="3" t="s">
        <v>146</v>
      </c>
      <c r="E976" s="4">
        <v>14</v>
      </c>
      <c r="F976" s="4">
        <v>1</v>
      </c>
      <c r="G976" s="4">
        <v>14</v>
      </c>
      <c r="H976" s="3" t="s">
        <v>15</v>
      </c>
      <c r="I976" s="3" t="s">
        <v>16</v>
      </c>
      <c r="J976" s="5">
        <v>45578</v>
      </c>
      <c r="K976" s="2" t="b">
        <v>0</v>
      </c>
    </row>
    <row r="977" spans="1:11" x14ac:dyDescent="0.3">
      <c r="A977" s="3" t="s">
        <v>1209</v>
      </c>
      <c r="B977" s="3" t="s">
        <v>46</v>
      </c>
      <c r="C977" s="3" t="s">
        <v>28</v>
      </c>
      <c r="D977" s="3" t="s">
        <v>478</v>
      </c>
      <c r="E977" s="4">
        <v>8</v>
      </c>
      <c r="F977" s="4">
        <v>10</v>
      </c>
      <c r="G977" s="4">
        <v>80</v>
      </c>
      <c r="H977" s="3" t="s">
        <v>15</v>
      </c>
      <c r="I977" s="3" t="s">
        <v>16</v>
      </c>
      <c r="J977" s="5">
        <v>44745</v>
      </c>
      <c r="K977" s="2" t="b">
        <v>1</v>
      </c>
    </row>
    <row r="978" spans="1:11" x14ac:dyDescent="0.3">
      <c r="A978" s="3" t="s">
        <v>1210</v>
      </c>
      <c r="B978" s="3" t="s">
        <v>63</v>
      </c>
      <c r="C978" s="3" t="s">
        <v>130</v>
      </c>
      <c r="D978" s="3" t="s">
        <v>621</v>
      </c>
      <c r="E978" s="4">
        <v>21.5</v>
      </c>
      <c r="F978" s="4">
        <v>5</v>
      </c>
      <c r="G978" s="4">
        <v>107.5</v>
      </c>
      <c r="H978" s="3" t="s">
        <v>15</v>
      </c>
      <c r="I978" s="3" t="s">
        <v>16</v>
      </c>
      <c r="J978" s="5">
        <v>45496</v>
      </c>
      <c r="K978" s="2" t="b">
        <v>1</v>
      </c>
    </row>
    <row r="979" spans="1:11" x14ac:dyDescent="0.3">
      <c r="A979" s="3" t="s">
        <v>1211</v>
      </c>
      <c r="B979" s="3" t="s">
        <v>63</v>
      </c>
      <c r="C979" s="3" t="s">
        <v>41</v>
      </c>
      <c r="D979" s="3" t="s">
        <v>81</v>
      </c>
      <c r="E979" s="4">
        <v>24.5</v>
      </c>
      <c r="F979" s="4">
        <v>8</v>
      </c>
      <c r="G979" s="4">
        <v>196</v>
      </c>
      <c r="H979" s="3" t="s">
        <v>48</v>
      </c>
      <c r="I979" s="3" t="s">
        <v>16</v>
      </c>
      <c r="J979" s="5">
        <v>44566</v>
      </c>
      <c r="K979" s="2" t="b">
        <v>1</v>
      </c>
    </row>
    <row r="980" spans="1:11" x14ac:dyDescent="0.3">
      <c r="A980" s="3" t="s">
        <v>1212</v>
      </c>
      <c r="B980" s="3" t="s">
        <v>22</v>
      </c>
      <c r="C980" s="3" t="s">
        <v>13</v>
      </c>
      <c r="D980" s="3" t="s">
        <v>796</v>
      </c>
      <c r="E980" s="4">
        <v>38</v>
      </c>
      <c r="F980" s="4">
        <v>9</v>
      </c>
      <c r="G980" s="4">
        <v>342</v>
      </c>
      <c r="H980" s="3" t="s">
        <v>25</v>
      </c>
      <c r="I980" s="3" t="s">
        <v>16</v>
      </c>
      <c r="J980" s="5">
        <v>45472</v>
      </c>
      <c r="K980" s="2" t="s">
        <v>1233</v>
      </c>
    </row>
    <row r="981" spans="1:11" x14ac:dyDescent="0.3">
      <c r="A981" s="3" t="s">
        <v>1213</v>
      </c>
      <c r="B981" s="3" t="s">
        <v>123</v>
      </c>
      <c r="C981" s="3" t="s">
        <v>130</v>
      </c>
      <c r="D981" s="3" t="s">
        <v>212</v>
      </c>
      <c r="E981" s="4">
        <v>14</v>
      </c>
      <c r="F981" s="4">
        <v>9</v>
      </c>
      <c r="G981" s="4">
        <v>126</v>
      </c>
      <c r="H981" s="3" t="s">
        <v>25</v>
      </c>
      <c r="I981" s="3" t="s">
        <v>38</v>
      </c>
      <c r="J981" s="5">
        <v>45078</v>
      </c>
      <c r="K981" s="2" t="b">
        <v>0</v>
      </c>
    </row>
    <row r="982" spans="1:11" x14ac:dyDescent="0.3">
      <c r="A982" s="3" t="s">
        <v>1214</v>
      </c>
      <c r="B982" s="3" t="s">
        <v>77</v>
      </c>
      <c r="C982" s="3" t="s">
        <v>28</v>
      </c>
      <c r="D982" s="3" t="s">
        <v>308</v>
      </c>
      <c r="E982" s="4">
        <v>6.5</v>
      </c>
      <c r="F982" s="4">
        <v>10</v>
      </c>
      <c r="G982" s="4">
        <v>65</v>
      </c>
      <c r="H982" s="3" t="s">
        <v>48</v>
      </c>
      <c r="I982" s="3" t="s">
        <v>38</v>
      </c>
      <c r="J982" s="5">
        <v>45173</v>
      </c>
      <c r="K982" s="2" t="s">
        <v>1233</v>
      </c>
    </row>
    <row r="983" spans="1:11" x14ac:dyDescent="0.3">
      <c r="A983" s="3" t="s">
        <v>1215</v>
      </c>
      <c r="B983" s="3" t="s">
        <v>46</v>
      </c>
      <c r="C983" s="3" t="s">
        <v>66</v>
      </c>
      <c r="D983" s="3" t="s">
        <v>246</v>
      </c>
      <c r="E983" s="4">
        <v>15.5</v>
      </c>
      <c r="F983" s="4">
        <v>2</v>
      </c>
      <c r="G983" s="4">
        <v>31</v>
      </c>
      <c r="H983" s="3" t="s">
        <v>25</v>
      </c>
      <c r="I983" s="3" t="s">
        <v>38</v>
      </c>
      <c r="J983" s="5">
        <v>44876</v>
      </c>
      <c r="K983" s="2" t="s">
        <v>1233</v>
      </c>
    </row>
    <row r="984" spans="1:11" x14ac:dyDescent="0.3">
      <c r="A984" s="3" t="s">
        <v>1216</v>
      </c>
      <c r="B984" s="3" t="s">
        <v>43</v>
      </c>
      <c r="C984" s="3" t="s">
        <v>66</v>
      </c>
      <c r="D984" s="3" t="s">
        <v>369</v>
      </c>
      <c r="E984" s="4">
        <v>36.5</v>
      </c>
      <c r="F984" s="4">
        <v>5</v>
      </c>
      <c r="G984" s="4">
        <v>182.5</v>
      </c>
      <c r="H984" s="3" t="s">
        <v>15</v>
      </c>
      <c r="I984" s="3" t="s">
        <v>16</v>
      </c>
      <c r="J984" s="5">
        <v>45671</v>
      </c>
      <c r="K984" s="2" t="b">
        <v>1</v>
      </c>
    </row>
    <row r="985" spans="1:11" x14ac:dyDescent="0.3">
      <c r="A985" s="3" t="s">
        <v>1217</v>
      </c>
      <c r="B985" s="3" t="s">
        <v>84</v>
      </c>
      <c r="C985" s="3" t="s">
        <v>66</v>
      </c>
      <c r="D985" s="3" t="s">
        <v>420</v>
      </c>
      <c r="E985" s="4">
        <v>41</v>
      </c>
      <c r="F985" s="4">
        <v>1</v>
      </c>
      <c r="G985" s="4">
        <v>41</v>
      </c>
      <c r="H985" s="3" t="s">
        <v>25</v>
      </c>
      <c r="I985" s="3" t="s">
        <v>38</v>
      </c>
      <c r="J985" s="5">
        <v>45387</v>
      </c>
      <c r="K985" s="2" t="b">
        <v>0</v>
      </c>
    </row>
    <row r="986" spans="1:11" x14ac:dyDescent="0.3">
      <c r="A986" s="3" t="s">
        <v>1218</v>
      </c>
      <c r="B986" s="3" t="s">
        <v>43</v>
      </c>
      <c r="C986" s="3" t="s">
        <v>13</v>
      </c>
      <c r="D986" s="3" t="s">
        <v>1233</v>
      </c>
      <c r="E986" s="4" t="s">
        <v>1233</v>
      </c>
      <c r="F986" s="4">
        <v>8</v>
      </c>
      <c r="G986" s="4">
        <v>304</v>
      </c>
      <c r="H986" s="3" t="s">
        <v>15</v>
      </c>
      <c r="I986" s="3" t="s">
        <v>38</v>
      </c>
      <c r="J986" s="5">
        <v>44727</v>
      </c>
      <c r="K986" s="2" t="s">
        <v>1233</v>
      </c>
    </row>
    <row r="987" spans="1:11" x14ac:dyDescent="0.3">
      <c r="A987" s="3" t="s">
        <v>1219</v>
      </c>
      <c r="B987" s="3" t="s">
        <v>63</v>
      </c>
      <c r="C987" s="3" t="s">
        <v>23</v>
      </c>
      <c r="D987" s="3" t="s">
        <v>24</v>
      </c>
      <c r="E987" s="4">
        <v>21.5</v>
      </c>
      <c r="F987" s="4">
        <v>4</v>
      </c>
      <c r="G987" s="4">
        <v>86</v>
      </c>
      <c r="H987" s="3" t="s">
        <v>48</v>
      </c>
      <c r="I987" s="3" t="s">
        <v>16</v>
      </c>
      <c r="J987" s="5">
        <v>44814</v>
      </c>
      <c r="K987" s="2" t="b">
        <v>0</v>
      </c>
    </row>
    <row r="988" spans="1:11" x14ac:dyDescent="0.3">
      <c r="A988" s="3" t="s">
        <v>1220</v>
      </c>
      <c r="B988" s="3" t="s">
        <v>116</v>
      </c>
      <c r="C988" s="3" t="s">
        <v>19</v>
      </c>
      <c r="D988" s="3" t="s">
        <v>1233</v>
      </c>
      <c r="E988" s="4" t="s">
        <v>1233</v>
      </c>
      <c r="F988" s="4">
        <v>8</v>
      </c>
      <c r="G988" s="4">
        <v>112</v>
      </c>
      <c r="H988" s="3" t="s">
        <v>15</v>
      </c>
      <c r="I988" s="3" t="s">
        <v>38</v>
      </c>
      <c r="J988" s="5">
        <v>45191</v>
      </c>
      <c r="K988" s="2" t="b">
        <v>1</v>
      </c>
    </row>
    <row r="989" spans="1:11" x14ac:dyDescent="0.3">
      <c r="A989" s="3" t="s">
        <v>1221</v>
      </c>
      <c r="B989" s="3" t="s">
        <v>123</v>
      </c>
      <c r="C989" s="3" t="s">
        <v>130</v>
      </c>
      <c r="D989" s="3" t="s">
        <v>621</v>
      </c>
      <c r="E989" s="4">
        <v>21.5</v>
      </c>
      <c r="F989" s="4">
        <v>5</v>
      </c>
      <c r="G989" s="4">
        <v>107.5</v>
      </c>
      <c r="H989" s="3" t="s">
        <v>15</v>
      </c>
      <c r="I989" s="3" t="s">
        <v>38</v>
      </c>
      <c r="J989" s="5">
        <v>45350</v>
      </c>
      <c r="K989" s="2" t="s">
        <v>1233</v>
      </c>
    </row>
    <row r="990" spans="1:11" x14ac:dyDescent="0.3">
      <c r="A990" s="3" t="s">
        <v>1222</v>
      </c>
      <c r="B990" s="3" t="s">
        <v>98</v>
      </c>
      <c r="C990" s="3" t="s">
        <v>19</v>
      </c>
      <c r="D990" s="3" t="s">
        <v>391</v>
      </c>
      <c r="E990" s="4">
        <v>6.5</v>
      </c>
      <c r="F990" s="4">
        <v>10</v>
      </c>
      <c r="G990" s="4">
        <v>65</v>
      </c>
      <c r="H990" s="3" t="s">
        <v>25</v>
      </c>
      <c r="I990" s="3" t="s">
        <v>38</v>
      </c>
      <c r="J990" s="5">
        <v>45476</v>
      </c>
      <c r="K990" s="2" t="b">
        <v>1</v>
      </c>
    </row>
    <row r="991" spans="1:11" x14ac:dyDescent="0.3">
      <c r="A991" s="3" t="s">
        <v>1223</v>
      </c>
      <c r="B991" s="3" t="s">
        <v>63</v>
      </c>
      <c r="C991" s="3" t="s">
        <v>32</v>
      </c>
      <c r="D991" s="3" t="s">
        <v>1233</v>
      </c>
      <c r="E991" s="4">
        <v>39.5</v>
      </c>
      <c r="F991" s="4" t="s">
        <v>1233</v>
      </c>
      <c r="G991" s="4" t="s">
        <v>1233</v>
      </c>
      <c r="H991" s="3" t="s">
        <v>48</v>
      </c>
      <c r="I991" s="3" t="s">
        <v>38</v>
      </c>
      <c r="J991" s="5">
        <v>44804</v>
      </c>
      <c r="K991" s="2" t="b">
        <v>0</v>
      </c>
    </row>
    <row r="992" spans="1:11" x14ac:dyDescent="0.3">
      <c r="A992" s="3" t="s">
        <v>1224</v>
      </c>
      <c r="B992" s="3" t="s">
        <v>46</v>
      </c>
      <c r="C992" s="3" t="s">
        <v>66</v>
      </c>
      <c r="D992" s="3" t="s">
        <v>215</v>
      </c>
      <c r="E992" s="4">
        <v>12.5</v>
      </c>
      <c r="F992" s="4">
        <v>1</v>
      </c>
      <c r="G992" s="4">
        <v>12.5</v>
      </c>
      <c r="H992" s="3" t="s">
        <v>15</v>
      </c>
      <c r="I992" s="3" t="s">
        <v>38</v>
      </c>
      <c r="J992" s="5">
        <v>45446</v>
      </c>
      <c r="K992" s="2" t="s">
        <v>1233</v>
      </c>
    </row>
    <row r="993" spans="1:11" x14ac:dyDescent="0.3">
      <c r="A993" s="3" t="s">
        <v>1225</v>
      </c>
      <c r="B993" s="3" t="s">
        <v>40</v>
      </c>
      <c r="C993" s="3" t="s">
        <v>41</v>
      </c>
      <c r="D993" s="3" t="s">
        <v>199</v>
      </c>
      <c r="E993" s="4">
        <v>39.5</v>
      </c>
      <c r="F993" s="4">
        <v>2</v>
      </c>
      <c r="G993" s="4">
        <v>79</v>
      </c>
      <c r="H993" s="3" t="s">
        <v>15</v>
      </c>
      <c r="I993" s="3" t="s">
        <v>38</v>
      </c>
      <c r="J993" s="5">
        <v>45014</v>
      </c>
      <c r="K993" s="2" t="b">
        <v>0</v>
      </c>
    </row>
    <row r="994" spans="1:11" x14ac:dyDescent="0.3">
      <c r="A994" s="3" t="s">
        <v>1226</v>
      </c>
      <c r="B994" s="3" t="s">
        <v>31</v>
      </c>
      <c r="C994" s="3" t="s">
        <v>13</v>
      </c>
      <c r="D994" s="3" t="s">
        <v>656</v>
      </c>
      <c r="E994" s="4">
        <v>11</v>
      </c>
      <c r="F994" s="4">
        <v>5</v>
      </c>
      <c r="G994" s="4">
        <v>55</v>
      </c>
      <c r="H994" s="3" t="s">
        <v>25</v>
      </c>
      <c r="I994" s="3" t="s">
        <v>38</v>
      </c>
      <c r="J994" s="5">
        <v>45030</v>
      </c>
      <c r="K994" s="2" t="b">
        <v>0</v>
      </c>
    </row>
    <row r="995" spans="1:11" x14ac:dyDescent="0.3">
      <c r="A995" s="3" t="s">
        <v>1227</v>
      </c>
      <c r="B995" s="3" t="s">
        <v>43</v>
      </c>
      <c r="C995" s="3" t="s">
        <v>66</v>
      </c>
      <c r="D995" s="3" t="s">
        <v>346</v>
      </c>
      <c r="E995" s="4">
        <v>33.5</v>
      </c>
      <c r="F995" s="4">
        <v>3</v>
      </c>
      <c r="G995" s="4">
        <v>100.5</v>
      </c>
      <c r="H995" s="3" t="s">
        <v>48</v>
      </c>
      <c r="I995" s="3" t="s">
        <v>16</v>
      </c>
      <c r="J995" s="5">
        <v>44874</v>
      </c>
      <c r="K995" s="2" t="s">
        <v>1233</v>
      </c>
    </row>
    <row r="996" spans="1:11" x14ac:dyDescent="0.3">
      <c r="A996" s="3" t="s">
        <v>1228</v>
      </c>
      <c r="B996" s="3" t="s">
        <v>55</v>
      </c>
      <c r="C996" s="3" t="s">
        <v>28</v>
      </c>
      <c r="D996" s="3" t="s">
        <v>71</v>
      </c>
      <c r="E996" s="4">
        <v>14</v>
      </c>
      <c r="F996" s="4">
        <v>6</v>
      </c>
      <c r="G996" s="4">
        <v>84</v>
      </c>
      <c r="H996" s="3" t="s">
        <v>25</v>
      </c>
      <c r="I996" s="3" t="s">
        <v>16</v>
      </c>
      <c r="J996" s="5">
        <v>45560</v>
      </c>
      <c r="K996" s="2" t="b">
        <v>0</v>
      </c>
    </row>
    <row r="997" spans="1:11" x14ac:dyDescent="0.3">
      <c r="A997" s="3" t="s">
        <v>1229</v>
      </c>
      <c r="B997" s="3" t="s">
        <v>36</v>
      </c>
      <c r="C997" s="3" t="s">
        <v>32</v>
      </c>
      <c r="D997" s="3" t="s">
        <v>90</v>
      </c>
      <c r="E997" s="4">
        <v>24.5</v>
      </c>
      <c r="F997" s="4">
        <v>7</v>
      </c>
      <c r="G997" s="4">
        <v>171.5</v>
      </c>
      <c r="H997" s="3" t="s">
        <v>15</v>
      </c>
      <c r="I997" s="3" t="s">
        <v>38</v>
      </c>
      <c r="J997" s="5">
        <v>45343</v>
      </c>
      <c r="K997" s="2" t="s">
        <v>1233</v>
      </c>
    </row>
    <row r="998" spans="1:11" x14ac:dyDescent="0.3">
      <c r="A998" s="3" t="s">
        <v>1230</v>
      </c>
      <c r="B998" s="3" t="s">
        <v>116</v>
      </c>
      <c r="C998" s="3" t="s">
        <v>66</v>
      </c>
      <c r="D998" s="3" t="s">
        <v>101</v>
      </c>
      <c r="E998" s="4">
        <v>35</v>
      </c>
      <c r="F998" s="4">
        <v>5</v>
      </c>
      <c r="G998" s="4">
        <v>175</v>
      </c>
      <c r="H998" s="3" t="s">
        <v>48</v>
      </c>
      <c r="I998" s="3" t="s">
        <v>38</v>
      </c>
      <c r="J998" s="5">
        <v>45126</v>
      </c>
      <c r="K998" s="2" t="b">
        <v>1</v>
      </c>
    </row>
    <row r="999" spans="1:11" x14ac:dyDescent="0.3">
      <c r="A999" s="3" t="s">
        <v>1231</v>
      </c>
      <c r="B999" s="3" t="s">
        <v>84</v>
      </c>
      <c r="C999" s="3" t="s">
        <v>19</v>
      </c>
      <c r="D999" s="3" t="s">
        <v>58</v>
      </c>
      <c r="E999" s="4">
        <v>27.5</v>
      </c>
      <c r="F999" s="4">
        <v>2</v>
      </c>
      <c r="G999" s="4">
        <v>55</v>
      </c>
      <c r="H999" s="3" t="s">
        <v>15</v>
      </c>
      <c r="I999" s="3" t="s">
        <v>16</v>
      </c>
      <c r="J999" s="5">
        <v>45431</v>
      </c>
      <c r="K999" s="2" t="b">
        <v>0</v>
      </c>
    </row>
    <row r="1000" spans="1:11" x14ac:dyDescent="0.3">
      <c r="A1000" s="3" t="s">
        <v>1232</v>
      </c>
      <c r="B1000" s="3" t="s">
        <v>63</v>
      </c>
      <c r="C1000" s="3" t="s">
        <v>23</v>
      </c>
      <c r="D1000" s="3" t="s">
        <v>47</v>
      </c>
      <c r="E1000" s="4">
        <v>36.5</v>
      </c>
      <c r="F1000" s="4">
        <v>4</v>
      </c>
      <c r="G1000" s="4">
        <v>146</v>
      </c>
      <c r="H1000" s="3" t="s">
        <v>48</v>
      </c>
      <c r="I1000" s="3" t="s">
        <v>16</v>
      </c>
      <c r="J1000" s="5">
        <v>44722</v>
      </c>
      <c r="K1000" s="2" t="b">
        <v>1</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BE009-5BFE-4FE6-8B25-34B95043588D}">
  <dimension ref="A3:B51"/>
  <sheetViews>
    <sheetView tabSelected="1" topLeftCell="A21" workbookViewId="0">
      <selection activeCell="AK11" sqref="AK11"/>
    </sheetView>
  </sheetViews>
  <sheetFormatPr defaultRowHeight="14.4" x14ac:dyDescent="0.3"/>
  <cols>
    <col min="1" max="1" width="12.5546875" bestFit="1" customWidth="1"/>
    <col min="2" max="2" width="18.5546875" bestFit="1" customWidth="1"/>
    <col min="3" max="3" width="10.33203125" bestFit="1" customWidth="1"/>
    <col min="4" max="4" width="12" bestFit="1" customWidth="1"/>
    <col min="5" max="5" width="10.77734375" bestFit="1" customWidth="1"/>
    <col min="6" max="7" width="3" bestFit="1" customWidth="1"/>
    <col min="8" max="8" width="5" bestFit="1" customWidth="1"/>
    <col min="9" max="10" width="3" bestFit="1" customWidth="1"/>
    <col min="11" max="11" width="5" bestFit="1" customWidth="1"/>
    <col min="12" max="12" width="3" bestFit="1" customWidth="1"/>
    <col min="13" max="13" width="5" bestFit="1" customWidth="1"/>
    <col min="14" max="14" width="3" bestFit="1" customWidth="1"/>
    <col min="15" max="15" width="5" bestFit="1" customWidth="1"/>
    <col min="16" max="16" width="3" bestFit="1" customWidth="1"/>
    <col min="17" max="17" width="5" bestFit="1" customWidth="1"/>
    <col min="18" max="20" width="3" bestFit="1" customWidth="1"/>
    <col min="21" max="21" width="5" bestFit="1" customWidth="1"/>
    <col min="22" max="23" width="3" bestFit="1" customWidth="1"/>
    <col min="24" max="24" width="5" bestFit="1" customWidth="1"/>
    <col min="25" max="25" width="3" bestFit="1" customWidth="1"/>
    <col min="26" max="26" width="5" bestFit="1" customWidth="1"/>
    <col min="27" max="28" width="3" bestFit="1" customWidth="1"/>
    <col min="29" max="29" width="5" bestFit="1" customWidth="1"/>
    <col min="30" max="31" width="3" bestFit="1" customWidth="1"/>
    <col min="32" max="32" width="5" bestFit="1" customWidth="1"/>
    <col min="33" max="33" width="3" bestFit="1" customWidth="1"/>
    <col min="34" max="34" width="5" bestFit="1" customWidth="1"/>
    <col min="35" max="36" width="3" bestFit="1" customWidth="1"/>
    <col min="37" max="38" width="5" bestFit="1" customWidth="1"/>
    <col min="39" max="40" width="3" bestFit="1" customWidth="1"/>
    <col min="41" max="41" width="5" bestFit="1" customWidth="1"/>
    <col min="42" max="47" width="3" bestFit="1" customWidth="1"/>
    <col min="48" max="48" width="5" bestFit="1" customWidth="1"/>
    <col min="49" max="49" width="3" bestFit="1" customWidth="1"/>
    <col min="50" max="51" width="5" bestFit="1" customWidth="1"/>
    <col min="52" max="57" width="3" bestFit="1" customWidth="1"/>
    <col min="58" max="58" width="5" bestFit="1" customWidth="1"/>
    <col min="59" max="61" width="3" bestFit="1" customWidth="1"/>
    <col min="62" max="62" width="5" bestFit="1" customWidth="1"/>
    <col min="63" max="65" width="3" bestFit="1" customWidth="1"/>
    <col min="66" max="66" width="5" bestFit="1" customWidth="1"/>
    <col min="67" max="67" width="3" bestFit="1" customWidth="1"/>
    <col min="68" max="68" width="5" bestFit="1" customWidth="1"/>
    <col min="69" max="70" width="3" bestFit="1" customWidth="1"/>
    <col min="71" max="71" width="5" bestFit="1" customWidth="1"/>
    <col min="72" max="81" width="3" bestFit="1" customWidth="1"/>
    <col min="82" max="82" width="5" bestFit="1" customWidth="1"/>
    <col min="83" max="86" width="3" bestFit="1" customWidth="1"/>
    <col min="87" max="87" width="5" bestFit="1" customWidth="1"/>
    <col min="88" max="89" width="3" bestFit="1" customWidth="1"/>
    <col min="90" max="90" width="5" bestFit="1" customWidth="1"/>
    <col min="91" max="92" width="3" bestFit="1" customWidth="1"/>
    <col min="93" max="93" width="5" bestFit="1" customWidth="1"/>
    <col min="94" max="94" width="3" bestFit="1" customWidth="1"/>
    <col min="95" max="95" width="5" bestFit="1" customWidth="1"/>
    <col min="96" max="96" width="3" bestFit="1" customWidth="1"/>
    <col min="97" max="97" width="5" bestFit="1" customWidth="1"/>
    <col min="98" max="102" width="3" bestFit="1" customWidth="1"/>
    <col min="103" max="103" width="4" bestFit="1" customWidth="1"/>
    <col min="104" max="104" width="6" bestFit="1" customWidth="1"/>
    <col min="105" max="107" width="4" bestFit="1" customWidth="1"/>
    <col min="108" max="110" width="6" bestFit="1" customWidth="1"/>
    <col min="111" max="113" width="4" bestFit="1" customWidth="1"/>
    <col min="114" max="114" width="6" bestFit="1" customWidth="1"/>
    <col min="115" max="117" width="4" bestFit="1" customWidth="1"/>
    <col min="118" max="118" width="6" bestFit="1" customWidth="1"/>
    <col min="119" max="121" width="4" bestFit="1" customWidth="1"/>
    <col min="122" max="122" width="6" bestFit="1" customWidth="1"/>
    <col min="123" max="128" width="4" bestFit="1" customWidth="1"/>
    <col min="129" max="129" width="6" bestFit="1" customWidth="1"/>
    <col min="130" max="132" width="4" bestFit="1" customWidth="1"/>
    <col min="133" max="133" width="6" bestFit="1" customWidth="1"/>
    <col min="134" max="134" width="4" bestFit="1" customWidth="1"/>
    <col min="135" max="135" width="6" bestFit="1" customWidth="1"/>
    <col min="136" max="140" width="4" bestFit="1" customWidth="1"/>
    <col min="141" max="141" width="6" bestFit="1" customWidth="1"/>
    <col min="142" max="142" width="4" bestFit="1" customWidth="1"/>
    <col min="143" max="143" width="6" bestFit="1" customWidth="1"/>
    <col min="144" max="151" width="4" bestFit="1" customWidth="1"/>
    <col min="152" max="153" width="6" bestFit="1" customWidth="1"/>
    <col min="154" max="154" width="4" bestFit="1" customWidth="1"/>
    <col min="155" max="155" width="6" bestFit="1" customWidth="1"/>
    <col min="156" max="160" width="4" bestFit="1" customWidth="1"/>
    <col min="161" max="161" width="6" bestFit="1" customWidth="1"/>
    <col min="162" max="166" width="4" bestFit="1" customWidth="1"/>
    <col min="167" max="168" width="6" bestFit="1" customWidth="1"/>
    <col min="169" max="169" width="4" bestFit="1" customWidth="1"/>
    <col min="170" max="170" width="6" bestFit="1" customWidth="1"/>
    <col min="171" max="177" width="4" bestFit="1" customWidth="1"/>
    <col min="178" max="178" width="6" bestFit="1" customWidth="1"/>
    <col min="179" max="181" width="4" bestFit="1" customWidth="1"/>
    <col min="182" max="182" width="6" bestFit="1" customWidth="1"/>
    <col min="183" max="187" width="4" bestFit="1" customWidth="1"/>
    <col min="188" max="188" width="6" bestFit="1" customWidth="1"/>
    <col min="189" max="192" width="4" bestFit="1" customWidth="1"/>
    <col min="193" max="194" width="6" bestFit="1" customWidth="1"/>
    <col min="195" max="199" width="4" bestFit="1" customWidth="1"/>
    <col min="200" max="200" width="6" bestFit="1" customWidth="1"/>
    <col min="201" max="201" width="4" bestFit="1" customWidth="1"/>
    <col min="202" max="202" width="6" bestFit="1" customWidth="1"/>
    <col min="203" max="207" width="4" bestFit="1" customWidth="1"/>
    <col min="208" max="208" width="6" bestFit="1" customWidth="1"/>
    <col min="209" max="214" width="4" bestFit="1" customWidth="1"/>
    <col min="215" max="215" width="6" bestFit="1" customWidth="1"/>
    <col min="216" max="218" width="4" bestFit="1" customWidth="1"/>
    <col min="219" max="219" width="6" bestFit="1" customWidth="1"/>
    <col min="220" max="224" width="4" bestFit="1" customWidth="1"/>
    <col min="225" max="225" width="4.33203125" bestFit="1" customWidth="1"/>
    <col min="226" max="226" width="10.77734375" bestFit="1" customWidth="1"/>
  </cols>
  <sheetData>
    <row r="3" spans="1:2" x14ac:dyDescent="0.3">
      <c r="A3" s="10" t="s">
        <v>1237</v>
      </c>
      <c r="B3" t="s">
        <v>1242</v>
      </c>
    </row>
    <row r="4" spans="1:2" x14ac:dyDescent="0.3">
      <c r="A4" s="3" t="s">
        <v>28</v>
      </c>
      <c r="B4" s="11">
        <v>13417.5</v>
      </c>
    </row>
    <row r="5" spans="1:2" x14ac:dyDescent="0.3">
      <c r="A5" s="3" t="s">
        <v>23</v>
      </c>
      <c r="B5" s="11">
        <v>17995</v>
      </c>
    </row>
    <row r="6" spans="1:2" x14ac:dyDescent="0.3">
      <c r="A6" s="3" t="s">
        <v>130</v>
      </c>
      <c r="B6" s="11">
        <v>16777</v>
      </c>
    </row>
    <row r="7" spans="1:2" x14ac:dyDescent="0.3">
      <c r="A7" s="3" t="s">
        <v>66</v>
      </c>
      <c r="B7" s="11">
        <v>13569</v>
      </c>
    </row>
    <row r="8" spans="1:2" x14ac:dyDescent="0.3">
      <c r="A8" s="3" t="s">
        <v>32</v>
      </c>
      <c r="B8" s="11">
        <v>14888</v>
      </c>
    </row>
    <row r="9" spans="1:2" x14ac:dyDescent="0.3">
      <c r="A9" s="3" t="s">
        <v>41</v>
      </c>
      <c r="B9" s="11">
        <v>17122.5</v>
      </c>
    </row>
    <row r="10" spans="1:2" x14ac:dyDescent="0.3">
      <c r="A10" s="3" t="s">
        <v>19</v>
      </c>
      <c r="B10" s="11">
        <v>12141.5</v>
      </c>
    </row>
    <row r="11" spans="1:2" x14ac:dyDescent="0.3">
      <c r="A11" s="3" t="s">
        <v>13</v>
      </c>
      <c r="B11" s="11">
        <v>15139.5</v>
      </c>
    </row>
    <row r="12" spans="1:2" x14ac:dyDescent="0.3">
      <c r="A12" s="3" t="s">
        <v>1238</v>
      </c>
      <c r="B12" s="11">
        <v>121050</v>
      </c>
    </row>
    <row r="14" spans="1:2" x14ac:dyDescent="0.3">
      <c r="A14" s="10" t="s">
        <v>1237</v>
      </c>
      <c r="B14" t="s">
        <v>1240</v>
      </c>
    </row>
    <row r="15" spans="1:2" x14ac:dyDescent="0.3">
      <c r="A15" s="3" t="s">
        <v>38</v>
      </c>
      <c r="B15" s="11">
        <v>495</v>
      </c>
    </row>
    <row r="16" spans="1:2" x14ac:dyDescent="0.3">
      <c r="A16" s="3" t="s">
        <v>16</v>
      </c>
      <c r="B16" s="11">
        <v>504</v>
      </c>
    </row>
    <row r="17" spans="1:2" x14ac:dyDescent="0.3">
      <c r="A17" s="3" t="s">
        <v>1238</v>
      </c>
      <c r="B17" s="11">
        <v>999</v>
      </c>
    </row>
    <row r="19" spans="1:2" x14ac:dyDescent="0.3">
      <c r="A19" s="10" t="s">
        <v>1237</v>
      </c>
      <c r="B19" t="s">
        <v>1241</v>
      </c>
    </row>
    <row r="20" spans="1:2" x14ac:dyDescent="0.3">
      <c r="A20" s="3" t="s">
        <v>48</v>
      </c>
      <c r="B20" s="11">
        <v>339</v>
      </c>
    </row>
    <row r="21" spans="1:2" x14ac:dyDescent="0.3">
      <c r="A21" s="3" t="s">
        <v>25</v>
      </c>
      <c r="B21" s="11">
        <v>333</v>
      </c>
    </row>
    <row r="22" spans="1:2" x14ac:dyDescent="0.3">
      <c r="A22" s="3" t="s">
        <v>15</v>
      </c>
      <c r="B22" s="11">
        <v>327</v>
      </c>
    </row>
    <row r="23" spans="1:2" x14ac:dyDescent="0.3">
      <c r="A23" s="3" t="s">
        <v>1238</v>
      </c>
      <c r="B23" s="11">
        <v>999</v>
      </c>
    </row>
    <row r="25" spans="1:2" x14ac:dyDescent="0.3">
      <c r="A25" s="10" t="s">
        <v>1237</v>
      </c>
      <c r="B25" t="s">
        <v>1239</v>
      </c>
    </row>
    <row r="26" spans="1:2" x14ac:dyDescent="0.3">
      <c r="A26" s="3" t="s">
        <v>69</v>
      </c>
      <c r="B26" s="11">
        <v>42</v>
      </c>
    </row>
    <row r="27" spans="1:2" x14ac:dyDescent="0.3">
      <c r="A27" s="3" t="s">
        <v>22</v>
      </c>
      <c r="B27" s="11">
        <v>40</v>
      </c>
    </row>
    <row r="28" spans="1:2" x14ac:dyDescent="0.3">
      <c r="A28" s="3" t="s">
        <v>168</v>
      </c>
      <c r="B28" s="11">
        <v>31</v>
      </c>
    </row>
    <row r="29" spans="1:2" x14ac:dyDescent="0.3">
      <c r="A29" s="3" t="s">
        <v>77</v>
      </c>
      <c r="B29" s="11">
        <v>32</v>
      </c>
    </row>
    <row r="30" spans="1:2" x14ac:dyDescent="0.3">
      <c r="A30" s="3" t="s">
        <v>31</v>
      </c>
      <c r="B30" s="11">
        <v>42</v>
      </c>
    </row>
    <row r="31" spans="1:2" x14ac:dyDescent="0.3">
      <c r="A31" s="3" t="s">
        <v>27</v>
      </c>
      <c r="B31" s="11">
        <v>28</v>
      </c>
    </row>
    <row r="32" spans="1:2" x14ac:dyDescent="0.3">
      <c r="A32" s="3" t="s">
        <v>36</v>
      </c>
      <c r="B32" s="11">
        <v>35</v>
      </c>
    </row>
    <row r="33" spans="1:2" x14ac:dyDescent="0.3">
      <c r="A33" s="3" t="s">
        <v>89</v>
      </c>
      <c r="B33" s="11">
        <v>49</v>
      </c>
    </row>
    <row r="34" spans="1:2" x14ac:dyDescent="0.3">
      <c r="A34" s="3" t="s">
        <v>12</v>
      </c>
      <c r="B34" s="11">
        <v>34</v>
      </c>
    </row>
    <row r="35" spans="1:2" x14ac:dyDescent="0.3">
      <c r="A35" s="3" t="s">
        <v>74</v>
      </c>
      <c r="B35" s="11">
        <v>36</v>
      </c>
    </row>
    <row r="36" spans="1:2" x14ac:dyDescent="0.3">
      <c r="A36" s="3" t="s">
        <v>108</v>
      </c>
      <c r="B36" s="11">
        <v>39</v>
      </c>
    </row>
    <row r="37" spans="1:2" x14ac:dyDescent="0.3">
      <c r="A37" s="3" t="s">
        <v>100</v>
      </c>
      <c r="B37" s="11">
        <v>40</v>
      </c>
    </row>
    <row r="38" spans="1:2" x14ac:dyDescent="0.3">
      <c r="A38" s="3" t="s">
        <v>80</v>
      </c>
      <c r="B38" s="11">
        <v>33</v>
      </c>
    </row>
    <row r="39" spans="1:2" x14ac:dyDescent="0.3">
      <c r="A39" s="3" t="s">
        <v>55</v>
      </c>
      <c r="B39" s="11">
        <v>35</v>
      </c>
    </row>
    <row r="40" spans="1:2" x14ac:dyDescent="0.3">
      <c r="A40" s="3" t="s">
        <v>63</v>
      </c>
      <c r="B40" s="11">
        <v>39</v>
      </c>
    </row>
    <row r="41" spans="1:2" x14ac:dyDescent="0.3">
      <c r="A41" s="3" t="s">
        <v>116</v>
      </c>
      <c r="B41" s="11">
        <v>37</v>
      </c>
    </row>
    <row r="42" spans="1:2" x14ac:dyDescent="0.3">
      <c r="A42" s="3" t="s">
        <v>65</v>
      </c>
      <c r="B42" s="11">
        <v>40</v>
      </c>
    </row>
    <row r="43" spans="1:2" x14ac:dyDescent="0.3">
      <c r="A43" s="3" t="s">
        <v>84</v>
      </c>
      <c r="B43" s="11">
        <v>45</v>
      </c>
    </row>
    <row r="44" spans="1:2" x14ac:dyDescent="0.3">
      <c r="A44" s="3" t="s">
        <v>113</v>
      </c>
      <c r="B44" s="11">
        <v>42</v>
      </c>
    </row>
    <row r="45" spans="1:2" x14ac:dyDescent="0.3">
      <c r="A45" s="3" t="s">
        <v>98</v>
      </c>
      <c r="B45" s="11">
        <v>44</v>
      </c>
    </row>
    <row r="46" spans="1:2" x14ac:dyDescent="0.3">
      <c r="A46" s="3" t="s">
        <v>40</v>
      </c>
      <c r="B46" s="11">
        <v>44</v>
      </c>
    </row>
    <row r="47" spans="1:2" x14ac:dyDescent="0.3">
      <c r="A47" s="3" t="s">
        <v>18</v>
      </c>
      <c r="B47" s="11">
        <v>39</v>
      </c>
    </row>
    <row r="48" spans="1:2" x14ac:dyDescent="0.3">
      <c r="A48" s="3" t="s">
        <v>43</v>
      </c>
      <c r="B48" s="11">
        <v>49</v>
      </c>
    </row>
    <row r="49" spans="1:2" x14ac:dyDescent="0.3">
      <c r="A49" s="3" t="s">
        <v>123</v>
      </c>
      <c r="B49" s="11">
        <v>47</v>
      </c>
    </row>
    <row r="50" spans="1:2" x14ac:dyDescent="0.3">
      <c r="A50" s="3" t="s">
        <v>46</v>
      </c>
      <c r="B50" s="11">
        <v>57</v>
      </c>
    </row>
    <row r="51" spans="1:2" x14ac:dyDescent="0.3">
      <c r="A51" s="3" t="s">
        <v>1238</v>
      </c>
      <c r="B51" s="11">
        <v>999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retail_store_sales</vt:lpstr>
      <vt:lpstr>creating_table</vt:lpstr>
      <vt:lpstr>pivot_table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yashi</dc:creator>
  <cp:lastModifiedBy>Yashi Mehta</cp:lastModifiedBy>
  <dcterms:created xsi:type="dcterms:W3CDTF">2026-10-16T16:03:59Z</dcterms:created>
  <dcterms:modified xsi:type="dcterms:W3CDTF">2026-10-16T19:07:54Z</dcterms:modified>
</cp:coreProperties>
</file>